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brooks\Documents\"/>
    </mc:Choice>
  </mc:AlternateContent>
  <xr:revisionPtr revIDLastSave="0" documentId="13_ncr:1_{7AABDC90-FDB3-4FB3-B05A-29790AAD1CB9}" xr6:coauthVersionLast="47" xr6:coauthVersionMax="47" xr10:uidLastSave="{00000000-0000-0000-0000-000000000000}"/>
  <bookViews>
    <workbookView xWindow="-19310" yWindow="-110" windowWidth="19420" windowHeight="10420" xr2:uid="{B361B1E8-22F6-412D-9F84-8BCE9799014C}"/>
  </bookViews>
  <sheets>
    <sheet name="Model" sheetId="7" r:id="rId1"/>
    <sheet name="cost sheets" sheetId="1" r:id="rId2"/>
    <sheet name="2 or greater" sheetId="2" r:id="rId3"/>
    <sheet name="4 or greater" sheetId="3" r:id="rId4"/>
    <sheet name="6 or greater" sheetId="4" r:id="rId5"/>
    <sheet name="8 or greater" sheetId="5" r:id="rId6"/>
    <sheet name="12 or greater" sheetId="6" r:id="rId7"/>
  </sheets>
  <definedNames>
    <definedName name="_xlnm._FilterDatabase" localSheetId="2" hidden="1">'2 or greater'!$O$1:$X$1</definedName>
    <definedName name="_xlnm._FilterDatabase" localSheetId="3" hidden="1">'4 or greater'!$N$1:$W$1</definedName>
    <definedName name="_xlnm._FilterDatabase" localSheetId="4" hidden="1">'6 or greater'!$P$1:$Y$1</definedName>
    <definedName name="_xlnm._FilterDatabase" localSheetId="5" hidden="1">'8 or greater'!$P$1:$Y$1</definedName>
    <definedName name="_xlnm._FilterDatabase" localSheetId="1" hidden="1">'cost sheets'!$M$3:$M$1002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7" l="1"/>
  <c r="B1" i="7"/>
  <c r="AN3" i="1"/>
  <c r="AM3" i="1"/>
  <c r="AL3" i="1"/>
  <c r="AK3" i="1"/>
  <c r="AJ3" i="1"/>
  <c r="D1" i="1"/>
  <c r="D1" i="7" s="1"/>
  <c r="AG3" i="1"/>
  <c r="AF3" i="1"/>
  <c r="AE3" i="1"/>
  <c r="AD3" i="1"/>
  <c r="AC3" i="1"/>
  <c r="Z3" i="1"/>
  <c r="Y3" i="1"/>
  <c r="X3" i="1"/>
  <c r="W3" i="1"/>
  <c r="V3" i="1"/>
  <c r="S3" i="1"/>
  <c r="R3" i="1"/>
  <c r="Q3" i="1"/>
  <c r="P3" i="1"/>
  <c r="O3" i="1"/>
  <c r="M5" i="3"/>
  <c r="L3" i="1"/>
  <c r="K3" i="1"/>
  <c r="J3" i="1"/>
  <c r="I3" i="1"/>
  <c r="H3" i="1"/>
  <c r="J6" i="5"/>
  <c r="J6" i="4"/>
  <c r="H139" i="3"/>
  <c r="H2" i="2"/>
  <c r="H3" i="5"/>
  <c r="I3" i="5"/>
  <c r="J3" i="5"/>
  <c r="K3" i="5"/>
  <c r="L3" i="5"/>
  <c r="H4" i="5"/>
  <c r="I4" i="5"/>
  <c r="J4" i="5"/>
  <c r="K4" i="5"/>
  <c r="L4" i="5"/>
  <c r="H5" i="5"/>
  <c r="I5" i="5"/>
  <c r="J5" i="5"/>
  <c r="K5" i="5"/>
  <c r="L5" i="5"/>
  <c r="H6" i="5"/>
  <c r="I6" i="5"/>
  <c r="K6" i="5"/>
  <c r="L6" i="5"/>
  <c r="H7" i="5"/>
  <c r="I7" i="5"/>
  <c r="J7" i="5"/>
  <c r="K7" i="5"/>
  <c r="L7" i="5"/>
  <c r="H8" i="5"/>
  <c r="I8" i="5"/>
  <c r="J8" i="5"/>
  <c r="K8" i="5"/>
  <c r="L8" i="5"/>
  <c r="H9" i="5"/>
  <c r="I9" i="5"/>
  <c r="J9" i="5"/>
  <c r="K9" i="5"/>
  <c r="L9" i="5"/>
  <c r="H10" i="5"/>
  <c r="I10" i="5"/>
  <c r="J10" i="5"/>
  <c r="K10" i="5"/>
  <c r="L10" i="5"/>
  <c r="H11" i="5"/>
  <c r="I11" i="5"/>
  <c r="J11" i="5"/>
  <c r="K11" i="5"/>
  <c r="L11" i="5"/>
  <c r="H12" i="5"/>
  <c r="I12" i="5"/>
  <c r="J12" i="5"/>
  <c r="K12" i="5"/>
  <c r="L12" i="5"/>
  <c r="H13" i="5"/>
  <c r="I13" i="5"/>
  <c r="J13" i="5"/>
  <c r="K13" i="5"/>
  <c r="L13" i="5"/>
  <c r="H14" i="5"/>
  <c r="I14" i="5"/>
  <c r="J14" i="5"/>
  <c r="K14" i="5"/>
  <c r="L14" i="5"/>
  <c r="H15" i="5"/>
  <c r="I15" i="5"/>
  <c r="J15" i="5"/>
  <c r="K15" i="5"/>
  <c r="L15" i="5"/>
  <c r="H16" i="5"/>
  <c r="I16" i="5"/>
  <c r="J16" i="5"/>
  <c r="K16" i="5"/>
  <c r="L16" i="5"/>
  <c r="H17" i="5"/>
  <c r="I17" i="5"/>
  <c r="J17" i="5"/>
  <c r="K17" i="5"/>
  <c r="L17" i="5"/>
  <c r="H18" i="5"/>
  <c r="I18" i="5"/>
  <c r="J18" i="5"/>
  <c r="K18" i="5"/>
  <c r="L18" i="5"/>
  <c r="H19" i="5"/>
  <c r="I19" i="5"/>
  <c r="J19" i="5"/>
  <c r="K19" i="5"/>
  <c r="L19" i="5"/>
  <c r="H20" i="5"/>
  <c r="I20" i="5"/>
  <c r="J20" i="5"/>
  <c r="K20" i="5"/>
  <c r="L20" i="5"/>
  <c r="H21" i="5"/>
  <c r="I21" i="5"/>
  <c r="J21" i="5"/>
  <c r="K21" i="5"/>
  <c r="L21" i="5"/>
  <c r="H22" i="5"/>
  <c r="I22" i="5"/>
  <c r="J22" i="5"/>
  <c r="K22" i="5"/>
  <c r="L22" i="5"/>
  <c r="H23" i="5"/>
  <c r="I23" i="5"/>
  <c r="J23" i="5"/>
  <c r="K23" i="5"/>
  <c r="L23" i="5"/>
  <c r="H24" i="5"/>
  <c r="I24" i="5"/>
  <c r="J24" i="5"/>
  <c r="K24" i="5"/>
  <c r="L24" i="5"/>
  <c r="H25" i="5"/>
  <c r="I25" i="5"/>
  <c r="J25" i="5"/>
  <c r="K25" i="5"/>
  <c r="L25" i="5"/>
  <c r="H26" i="5"/>
  <c r="I26" i="5"/>
  <c r="J26" i="5"/>
  <c r="K26" i="5"/>
  <c r="L26" i="5"/>
  <c r="H27" i="5"/>
  <c r="I27" i="5"/>
  <c r="J27" i="5"/>
  <c r="K27" i="5"/>
  <c r="L27" i="5"/>
  <c r="H28" i="5"/>
  <c r="I28" i="5"/>
  <c r="J28" i="5"/>
  <c r="K28" i="5"/>
  <c r="L28" i="5"/>
  <c r="H29" i="5"/>
  <c r="I29" i="5"/>
  <c r="J29" i="5"/>
  <c r="K29" i="5"/>
  <c r="L29" i="5"/>
  <c r="H30" i="5"/>
  <c r="I30" i="5"/>
  <c r="J30" i="5"/>
  <c r="K30" i="5"/>
  <c r="L30" i="5"/>
  <c r="H31" i="5"/>
  <c r="I31" i="5"/>
  <c r="J31" i="5"/>
  <c r="K31" i="5"/>
  <c r="L31" i="5"/>
  <c r="H32" i="5"/>
  <c r="I32" i="5"/>
  <c r="J32" i="5"/>
  <c r="K32" i="5"/>
  <c r="L32" i="5"/>
  <c r="H33" i="5"/>
  <c r="I33" i="5"/>
  <c r="J33" i="5"/>
  <c r="K33" i="5"/>
  <c r="L33" i="5"/>
  <c r="H34" i="5"/>
  <c r="I34" i="5"/>
  <c r="J34" i="5"/>
  <c r="K34" i="5"/>
  <c r="L34" i="5"/>
  <c r="H35" i="5"/>
  <c r="I35" i="5"/>
  <c r="J35" i="5"/>
  <c r="K35" i="5"/>
  <c r="L35" i="5"/>
  <c r="H36" i="5"/>
  <c r="I36" i="5"/>
  <c r="J36" i="5"/>
  <c r="K36" i="5"/>
  <c r="L36" i="5"/>
  <c r="H37" i="5"/>
  <c r="I37" i="5"/>
  <c r="J37" i="5"/>
  <c r="K37" i="5"/>
  <c r="L37" i="5"/>
  <c r="H38" i="5"/>
  <c r="I38" i="5"/>
  <c r="J38" i="5"/>
  <c r="K38" i="5"/>
  <c r="L38" i="5"/>
  <c r="H39" i="5"/>
  <c r="I39" i="5"/>
  <c r="J39" i="5"/>
  <c r="K39" i="5"/>
  <c r="L39" i="5"/>
  <c r="H40" i="5"/>
  <c r="I40" i="5"/>
  <c r="J40" i="5"/>
  <c r="K40" i="5"/>
  <c r="L40" i="5"/>
  <c r="H41" i="5"/>
  <c r="I41" i="5"/>
  <c r="J41" i="5"/>
  <c r="K41" i="5"/>
  <c r="L41" i="5"/>
  <c r="H42" i="5"/>
  <c r="I42" i="5"/>
  <c r="J42" i="5"/>
  <c r="K42" i="5"/>
  <c r="L42" i="5"/>
  <c r="H43" i="5"/>
  <c r="I43" i="5"/>
  <c r="J43" i="5"/>
  <c r="K43" i="5"/>
  <c r="L43" i="5"/>
  <c r="H44" i="5"/>
  <c r="I44" i="5"/>
  <c r="J44" i="5"/>
  <c r="K44" i="5"/>
  <c r="L44" i="5"/>
  <c r="H45" i="5"/>
  <c r="I45" i="5"/>
  <c r="J45" i="5"/>
  <c r="K45" i="5"/>
  <c r="L45" i="5"/>
  <c r="H46" i="5"/>
  <c r="I46" i="5"/>
  <c r="J46" i="5"/>
  <c r="K46" i="5"/>
  <c r="L46" i="5"/>
  <c r="H47" i="5"/>
  <c r="I47" i="5"/>
  <c r="J47" i="5"/>
  <c r="K47" i="5"/>
  <c r="L47" i="5"/>
  <c r="H48" i="5"/>
  <c r="I48" i="5"/>
  <c r="J48" i="5"/>
  <c r="K48" i="5"/>
  <c r="L48" i="5"/>
  <c r="H49" i="5"/>
  <c r="I49" i="5"/>
  <c r="J49" i="5"/>
  <c r="K49" i="5"/>
  <c r="L49" i="5"/>
  <c r="H50" i="5"/>
  <c r="I50" i="5"/>
  <c r="J50" i="5"/>
  <c r="K50" i="5"/>
  <c r="L50" i="5"/>
  <c r="H51" i="5"/>
  <c r="I51" i="5"/>
  <c r="J51" i="5"/>
  <c r="K51" i="5"/>
  <c r="L51" i="5"/>
  <c r="H52" i="5"/>
  <c r="I52" i="5"/>
  <c r="J52" i="5"/>
  <c r="K52" i="5"/>
  <c r="L52" i="5"/>
  <c r="H53" i="5"/>
  <c r="I53" i="5"/>
  <c r="J53" i="5"/>
  <c r="K53" i="5"/>
  <c r="L53" i="5"/>
  <c r="H54" i="5"/>
  <c r="I54" i="5"/>
  <c r="J54" i="5"/>
  <c r="K54" i="5"/>
  <c r="L54" i="5"/>
  <c r="H55" i="5"/>
  <c r="I55" i="5"/>
  <c r="J55" i="5"/>
  <c r="K55" i="5"/>
  <c r="L55" i="5"/>
  <c r="H56" i="5"/>
  <c r="I56" i="5"/>
  <c r="J56" i="5"/>
  <c r="K56" i="5"/>
  <c r="L56" i="5"/>
  <c r="H57" i="5"/>
  <c r="I57" i="5"/>
  <c r="J57" i="5"/>
  <c r="K57" i="5"/>
  <c r="L57" i="5"/>
  <c r="H58" i="5"/>
  <c r="I58" i="5"/>
  <c r="J58" i="5"/>
  <c r="K58" i="5"/>
  <c r="L58" i="5"/>
  <c r="H59" i="5"/>
  <c r="I59" i="5"/>
  <c r="J59" i="5"/>
  <c r="K59" i="5"/>
  <c r="L59" i="5"/>
  <c r="H60" i="5"/>
  <c r="I60" i="5"/>
  <c r="J60" i="5"/>
  <c r="K60" i="5"/>
  <c r="L60" i="5"/>
  <c r="H61" i="5"/>
  <c r="I61" i="5"/>
  <c r="J61" i="5"/>
  <c r="K61" i="5"/>
  <c r="L61" i="5"/>
  <c r="H62" i="5"/>
  <c r="I62" i="5"/>
  <c r="J62" i="5"/>
  <c r="K62" i="5"/>
  <c r="L62" i="5"/>
  <c r="H63" i="5"/>
  <c r="I63" i="5"/>
  <c r="J63" i="5"/>
  <c r="K63" i="5"/>
  <c r="L63" i="5"/>
  <c r="H64" i="5"/>
  <c r="I64" i="5"/>
  <c r="J64" i="5"/>
  <c r="K64" i="5"/>
  <c r="L64" i="5"/>
  <c r="H65" i="5"/>
  <c r="I65" i="5"/>
  <c r="J65" i="5"/>
  <c r="K65" i="5"/>
  <c r="L65" i="5"/>
  <c r="H66" i="5"/>
  <c r="I66" i="5"/>
  <c r="J66" i="5"/>
  <c r="K66" i="5"/>
  <c r="L66" i="5"/>
  <c r="H67" i="5"/>
  <c r="I67" i="5"/>
  <c r="J67" i="5"/>
  <c r="K67" i="5"/>
  <c r="L67" i="5"/>
  <c r="H68" i="5"/>
  <c r="I68" i="5"/>
  <c r="J68" i="5"/>
  <c r="K68" i="5"/>
  <c r="L68" i="5"/>
  <c r="H69" i="5"/>
  <c r="Q4" i="5" s="1"/>
  <c r="I69" i="5"/>
  <c r="J69" i="5"/>
  <c r="K69" i="5"/>
  <c r="L69" i="5"/>
  <c r="H70" i="5"/>
  <c r="I70" i="5"/>
  <c r="J70" i="5"/>
  <c r="K70" i="5"/>
  <c r="L70" i="5"/>
  <c r="H71" i="5"/>
  <c r="I71" i="5"/>
  <c r="J71" i="5"/>
  <c r="K71" i="5"/>
  <c r="L71" i="5"/>
  <c r="H72" i="5"/>
  <c r="I72" i="5"/>
  <c r="J72" i="5"/>
  <c r="K72" i="5"/>
  <c r="L72" i="5"/>
  <c r="H73" i="5"/>
  <c r="I73" i="5"/>
  <c r="J73" i="5"/>
  <c r="K73" i="5"/>
  <c r="L73" i="5"/>
  <c r="H74" i="5"/>
  <c r="I74" i="5"/>
  <c r="J74" i="5"/>
  <c r="K74" i="5"/>
  <c r="L74" i="5"/>
  <c r="H75" i="5"/>
  <c r="I75" i="5"/>
  <c r="J75" i="5"/>
  <c r="K75" i="5"/>
  <c r="L75" i="5"/>
  <c r="H76" i="5"/>
  <c r="I76" i="5"/>
  <c r="J76" i="5"/>
  <c r="K76" i="5"/>
  <c r="L76" i="5"/>
  <c r="H77" i="5"/>
  <c r="I77" i="5"/>
  <c r="J77" i="5"/>
  <c r="K77" i="5"/>
  <c r="L77" i="5"/>
  <c r="H78" i="5"/>
  <c r="I78" i="5"/>
  <c r="J78" i="5"/>
  <c r="K78" i="5"/>
  <c r="L78" i="5"/>
  <c r="H79" i="5"/>
  <c r="I79" i="5"/>
  <c r="J79" i="5"/>
  <c r="K79" i="5"/>
  <c r="L79" i="5"/>
  <c r="H80" i="5"/>
  <c r="I80" i="5"/>
  <c r="J80" i="5"/>
  <c r="K80" i="5"/>
  <c r="L80" i="5"/>
  <c r="H81" i="5"/>
  <c r="I81" i="5"/>
  <c r="J81" i="5"/>
  <c r="K81" i="5"/>
  <c r="L81" i="5"/>
  <c r="H82" i="5"/>
  <c r="I82" i="5"/>
  <c r="J82" i="5"/>
  <c r="K82" i="5"/>
  <c r="L82" i="5"/>
  <c r="H83" i="5"/>
  <c r="I83" i="5"/>
  <c r="J83" i="5"/>
  <c r="K83" i="5"/>
  <c r="L83" i="5"/>
  <c r="H84" i="5"/>
  <c r="I84" i="5"/>
  <c r="J84" i="5"/>
  <c r="K84" i="5"/>
  <c r="L84" i="5"/>
  <c r="H85" i="5"/>
  <c r="I85" i="5"/>
  <c r="J85" i="5"/>
  <c r="K85" i="5"/>
  <c r="L85" i="5"/>
  <c r="H86" i="5"/>
  <c r="I86" i="5"/>
  <c r="J86" i="5"/>
  <c r="K86" i="5"/>
  <c r="L86" i="5"/>
  <c r="H87" i="5"/>
  <c r="I87" i="5"/>
  <c r="J87" i="5"/>
  <c r="K87" i="5"/>
  <c r="L87" i="5"/>
  <c r="H88" i="5"/>
  <c r="I88" i="5"/>
  <c r="J88" i="5"/>
  <c r="K88" i="5"/>
  <c r="L88" i="5"/>
  <c r="H89" i="5"/>
  <c r="I89" i="5"/>
  <c r="J89" i="5"/>
  <c r="K89" i="5"/>
  <c r="L89" i="5"/>
  <c r="H90" i="5"/>
  <c r="I90" i="5"/>
  <c r="J90" i="5"/>
  <c r="K90" i="5"/>
  <c r="L90" i="5"/>
  <c r="H91" i="5"/>
  <c r="I91" i="5"/>
  <c r="J91" i="5"/>
  <c r="K91" i="5"/>
  <c r="L91" i="5"/>
  <c r="H92" i="5"/>
  <c r="I92" i="5"/>
  <c r="J92" i="5"/>
  <c r="K92" i="5"/>
  <c r="L92" i="5"/>
  <c r="H93" i="5"/>
  <c r="I93" i="5"/>
  <c r="J93" i="5"/>
  <c r="K93" i="5"/>
  <c r="L93" i="5"/>
  <c r="H94" i="5"/>
  <c r="I94" i="5"/>
  <c r="J94" i="5"/>
  <c r="K94" i="5"/>
  <c r="L94" i="5"/>
  <c r="H95" i="5"/>
  <c r="I95" i="5"/>
  <c r="J95" i="5"/>
  <c r="K95" i="5"/>
  <c r="L95" i="5"/>
  <c r="H96" i="5"/>
  <c r="I96" i="5"/>
  <c r="J96" i="5"/>
  <c r="K96" i="5"/>
  <c r="L96" i="5"/>
  <c r="H97" i="5"/>
  <c r="I97" i="5"/>
  <c r="J97" i="5"/>
  <c r="K97" i="5"/>
  <c r="L97" i="5"/>
  <c r="H98" i="5"/>
  <c r="I98" i="5"/>
  <c r="J98" i="5"/>
  <c r="K98" i="5"/>
  <c r="L98" i="5"/>
  <c r="H99" i="5"/>
  <c r="I99" i="5"/>
  <c r="J99" i="5"/>
  <c r="K99" i="5"/>
  <c r="L99" i="5"/>
  <c r="H100" i="5"/>
  <c r="I100" i="5"/>
  <c r="J100" i="5"/>
  <c r="K100" i="5"/>
  <c r="L100" i="5"/>
  <c r="H101" i="5"/>
  <c r="I101" i="5"/>
  <c r="J101" i="5"/>
  <c r="K101" i="5"/>
  <c r="L101" i="5"/>
  <c r="H102" i="5"/>
  <c r="I102" i="5"/>
  <c r="J102" i="5"/>
  <c r="K102" i="5"/>
  <c r="L102" i="5"/>
  <c r="H103" i="5"/>
  <c r="I103" i="5"/>
  <c r="J103" i="5"/>
  <c r="K103" i="5"/>
  <c r="L103" i="5"/>
  <c r="H104" i="5"/>
  <c r="I104" i="5"/>
  <c r="J104" i="5"/>
  <c r="K104" i="5"/>
  <c r="L104" i="5"/>
  <c r="H105" i="5"/>
  <c r="I105" i="5"/>
  <c r="J105" i="5"/>
  <c r="K105" i="5"/>
  <c r="L105" i="5"/>
  <c r="H106" i="5"/>
  <c r="I106" i="5"/>
  <c r="J106" i="5"/>
  <c r="K106" i="5"/>
  <c r="L106" i="5"/>
  <c r="H107" i="5"/>
  <c r="I107" i="5"/>
  <c r="J107" i="5"/>
  <c r="K107" i="5"/>
  <c r="L107" i="5"/>
  <c r="H108" i="5"/>
  <c r="I108" i="5"/>
  <c r="J108" i="5"/>
  <c r="K108" i="5"/>
  <c r="L108" i="5"/>
  <c r="H109" i="5"/>
  <c r="I109" i="5"/>
  <c r="J109" i="5"/>
  <c r="K109" i="5"/>
  <c r="L109" i="5"/>
  <c r="H110" i="5"/>
  <c r="I110" i="5"/>
  <c r="J110" i="5"/>
  <c r="K110" i="5"/>
  <c r="L110" i="5"/>
  <c r="H111" i="5"/>
  <c r="I111" i="5"/>
  <c r="J111" i="5"/>
  <c r="K111" i="5"/>
  <c r="L111" i="5"/>
  <c r="H112" i="5"/>
  <c r="I112" i="5"/>
  <c r="J112" i="5"/>
  <c r="K112" i="5"/>
  <c r="L112" i="5"/>
  <c r="H113" i="5"/>
  <c r="I113" i="5"/>
  <c r="J113" i="5"/>
  <c r="K113" i="5"/>
  <c r="L113" i="5"/>
  <c r="H114" i="5"/>
  <c r="I114" i="5"/>
  <c r="J114" i="5"/>
  <c r="K114" i="5"/>
  <c r="L114" i="5"/>
  <c r="H115" i="5"/>
  <c r="I115" i="5"/>
  <c r="J115" i="5"/>
  <c r="K115" i="5"/>
  <c r="L115" i="5"/>
  <c r="H116" i="5"/>
  <c r="I116" i="5"/>
  <c r="J116" i="5"/>
  <c r="K116" i="5"/>
  <c r="L116" i="5"/>
  <c r="H117" i="5"/>
  <c r="I117" i="5"/>
  <c r="J117" i="5"/>
  <c r="K117" i="5"/>
  <c r="L117" i="5"/>
  <c r="H118" i="5"/>
  <c r="I118" i="5"/>
  <c r="J118" i="5"/>
  <c r="K118" i="5"/>
  <c r="L118" i="5"/>
  <c r="H119" i="5"/>
  <c r="I119" i="5"/>
  <c r="J119" i="5"/>
  <c r="K119" i="5"/>
  <c r="L119" i="5"/>
  <c r="H120" i="5"/>
  <c r="I120" i="5"/>
  <c r="J120" i="5"/>
  <c r="K120" i="5"/>
  <c r="L120" i="5"/>
  <c r="H121" i="5"/>
  <c r="I121" i="5"/>
  <c r="J121" i="5"/>
  <c r="K121" i="5"/>
  <c r="L121" i="5"/>
  <c r="H122" i="5"/>
  <c r="I122" i="5"/>
  <c r="J122" i="5"/>
  <c r="K122" i="5"/>
  <c r="L122" i="5"/>
  <c r="H123" i="5"/>
  <c r="I123" i="5"/>
  <c r="J123" i="5"/>
  <c r="K123" i="5"/>
  <c r="L123" i="5"/>
  <c r="H124" i="5"/>
  <c r="I124" i="5"/>
  <c r="J124" i="5"/>
  <c r="K124" i="5"/>
  <c r="L124" i="5"/>
  <c r="H125" i="5"/>
  <c r="I125" i="5"/>
  <c r="J125" i="5"/>
  <c r="K125" i="5"/>
  <c r="L125" i="5"/>
  <c r="H126" i="5"/>
  <c r="I126" i="5"/>
  <c r="J126" i="5"/>
  <c r="K126" i="5"/>
  <c r="L126" i="5"/>
  <c r="H127" i="5"/>
  <c r="I127" i="5"/>
  <c r="J127" i="5"/>
  <c r="K127" i="5"/>
  <c r="L127" i="5"/>
  <c r="H128" i="5"/>
  <c r="I128" i="5"/>
  <c r="J128" i="5"/>
  <c r="K128" i="5"/>
  <c r="L128" i="5"/>
  <c r="H129" i="5"/>
  <c r="I129" i="5"/>
  <c r="J129" i="5"/>
  <c r="K129" i="5"/>
  <c r="L129" i="5"/>
  <c r="H130" i="5"/>
  <c r="I130" i="5"/>
  <c r="J130" i="5"/>
  <c r="K130" i="5"/>
  <c r="L130" i="5"/>
  <c r="H131" i="5"/>
  <c r="I131" i="5"/>
  <c r="J131" i="5"/>
  <c r="K131" i="5"/>
  <c r="L131" i="5"/>
  <c r="H132" i="5"/>
  <c r="I132" i="5"/>
  <c r="J132" i="5"/>
  <c r="K132" i="5"/>
  <c r="L132" i="5"/>
  <c r="H133" i="5"/>
  <c r="I133" i="5"/>
  <c r="J133" i="5"/>
  <c r="K133" i="5"/>
  <c r="L133" i="5"/>
  <c r="H134" i="5"/>
  <c r="I134" i="5"/>
  <c r="J134" i="5"/>
  <c r="K134" i="5"/>
  <c r="L134" i="5"/>
  <c r="H135" i="5"/>
  <c r="I135" i="5"/>
  <c r="J135" i="5"/>
  <c r="K135" i="5"/>
  <c r="L135" i="5"/>
  <c r="H136" i="5"/>
  <c r="I136" i="5"/>
  <c r="J136" i="5"/>
  <c r="K136" i="5"/>
  <c r="L136" i="5"/>
  <c r="H137" i="5"/>
  <c r="I137" i="5"/>
  <c r="J137" i="5"/>
  <c r="K137" i="5"/>
  <c r="L137" i="5"/>
  <c r="H138" i="5"/>
  <c r="I138" i="5"/>
  <c r="J138" i="5"/>
  <c r="K138" i="5"/>
  <c r="L138" i="5"/>
  <c r="H139" i="5"/>
  <c r="I139" i="5"/>
  <c r="J139" i="5"/>
  <c r="K139" i="5"/>
  <c r="L139" i="5"/>
  <c r="I2" i="5"/>
  <c r="J2" i="5"/>
  <c r="K2" i="5"/>
  <c r="L2" i="5"/>
  <c r="H2" i="5"/>
  <c r="H3" i="4"/>
  <c r="I3" i="4"/>
  <c r="J3" i="4"/>
  <c r="K3" i="4"/>
  <c r="L3" i="4"/>
  <c r="H4" i="4"/>
  <c r="I4" i="4"/>
  <c r="J4" i="4"/>
  <c r="K4" i="4"/>
  <c r="L4" i="4"/>
  <c r="H5" i="4"/>
  <c r="I5" i="4"/>
  <c r="J5" i="4"/>
  <c r="K5" i="4"/>
  <c r="L5" i="4"/>
  <c r="H6" i="4"/>
  <c r="I6" i="4"/>
  <c r="K6" i="4"/>
  <c r="L6" i="4"/>
  <c r="H7" i="4"/>
  <c r="I7" i="4"/>
  <c r="J7" i="4"/>
  <c r="K7" i="4"/>
  <c r="L7" i="4"/>
  <c r="H8" i="4"/>
  <c r="I8" i="4"/>
  <c r="J8" i="4"/>
  <c r="K8" i="4"/>
  <c r="L8" i="4"/>
  <c r="H9" i="4"/>
  <c r="I9" i="4"/>
  <c r="J9" i="4"/>
  <c r="K9" i="4"/>
  <c r="L9" i="4"/>
  <c r="H10" i="4"/>
  <c r="I10" i="4"/>
  <c r="J10" i="4"/>
  <c r="K10" i="4"/>
  <c r="L10" i="4"/>
  <c r="H11" i="4"/>
  <c r="I11" i="4"/>
  <c r="J11" i="4"/>
  <c r="K11" i="4"/>
  <c r="L11" i="4"/>
  <c r="H12" i="4"/>
  <c r="I12" i="4"/>
  <c r="J12" i="4"/>
  <c r="K12" i="4"/>
  <c r="L12" i="4"/>
  <c r="H13" i="4"/>
  <c r="I13" i="4"/>
  <c r="J13" i="4"/>
  <c r="K13" i="4"/>
  <c r="L13" i="4"/>
  <c r="H14" i="4"/>
  <c r="I14" i="4"/>
  <c r="J14" i="4"/>
  <c r="K14" i="4"/>
  <c r="L14" i="4"/>
  <c r="H15" i="4"/>
  <c r="I15" i="4"/>
  <c r="J15" i="4"/>
  <c r="K15" i="4"/>
  <c r="L15" i="4"/>
  <c r="H16" i="4"/>
  <c r="I16" i="4"/>
  <c r="J16" i="4"/>
  <c r="K16" i="4"/>
  <c r="L16" i="4"/>
  <c r="H17" i="4"/>
  <c r="I17" i="4"/>
  <c r="J17" i="4"/>
  <c r="K17" i="4"/>
  <c r="L17" i="4"/>
  <c r="H18" i="4"/>
  <c r="I18" i="4"/>
  <c r="J18" i="4"/>
  <c r="K18" i="4"/>
  <c r="L18" i="4"/>
  <c r="H19" i="4"/>
  <c r="I19" i="4"/>
  <c r="J19" i="4"/>
  <c r="K19" i="4"/>
  <c r="L19" i="4"/>
  <c r="H20" i="4"/>
  <c r="I20" i="4"/>
  <c r="J20" i="4"/>
  <c r="K20" i="4"/>
  <c r="L20" i="4"/>
  <c r="H21" i="4"/>
  <c r="I21" i="4"/>
  <c r="J21" i="4"/>
  <c r="K21" i="4"/>
  <c r="L21" i="4"/>
  <c r="H22" i="4"/>
  <c r="I22" i="4"/>
  <c r="J22" i="4"/>
  <c r="K22" i="4"/>
  <c r="L22" i="4"/>
  <c r="H23" i="4"/>
  <c r="I23" i="4"/>
  <c r="J23" i="4"/>
  <c r="K23" i="4"/>
  <c r="L23" i="4"/>
  <c r="H24" i="4"/>
  <c r="I24" i="4"/>
  <c r="J24" i="4"/>
  <c r="K24" i="4"/>
  <c r="L24" i="4"/>
  <c r="H25" i="4"/>
  <c r="I25" i="4"/>
  <c r="J25" i="4"/>
  <c r="K25" i="4"/>
  <c r="L25" i="4"/>
  <c r="H26" i="4"/>
  <c r="I26" i="4"/>
  <c r="J26" i="4"/>
  <c r="K26" i="4"/>
  <c r="L26" i="4"/>
  <c r="H27" i="4"/>
  <c r="I27" i="4"/>
  <c r="J27" i="4"/>
  <c r="K27" i="4"/>
  <c r="L27" i="4"/>
  <c r="H28" i="4"/>
  <c r="I28" i="4"/>
  <c r="J28" i="4"/>
  <c r="K28" i="4"/>
  <c r="L28" i="4"/>
  <c r="H29" i="4"/>
  <c r="I29" i="4"/>
  <c r="J29" i="4"/>
  <c r="K29" i="4"/>
  <c r="L29" i="4"/>
  <c r="H30" i="4"/>
  <c r="I30" i="4"/>
  <c r="J30" i="4"/>
  <c r="K30" i="4"/>
  <c r="L30" i="4"/>
  <c r="H31" i="4"/>
  <c r="I31" i="4"/>
  <c r="J31" i="4"/>
  <c r="K31" i="4"/>
  <c r="L31" i="4"/>
  <c r="H32" i="4"/>
  <c r="I32" i="4"/>
  <c r="J32" i="4"/>
  <c r="K32" i="4"/>
  <c r="L32" i="4"/>
  <c r="H33" i="4"/>
  <c r="I33" i="4"/>
  <c r="J33" i="4"/>
  <c r="K33" i="4"/>
  <c r="L33" i="4"/>
  <c r="H34" i="4"/>
  <c r="I34" i="4"/>
  <c r="J34" i="4"/>
  <c r="K34" i="4"/>
  <c r="L34" i="4"/>
  <c r="H35" i="4"/>
  <c r="I35" i="4"/>
  <c r="J35" i="4"/>
  <c r="K35" i="4"/>
  <c r="L35" i="4"/>
  <c r="H36" i="4"/>
  <c r="I36" i="4"/>
  <c r="J36" i="4"/>
  <c r="K36" i="4"/>
  <c r="L36" i="4"/>
  <c r="H37" i="4"/>
  <c r="I37" i="4"/>
  <c r="J37" i="4"/>
  <c r="K37" i="4"/>
  <c r="L37" i="4"/>
  <c r="H38" i="4"/>
  <c r="I38" i="4"/>
  <c r="J38" i="4"/>
  <c r="K38" i="4"/>
  <c r="L38" i="4"/>
  <c r="H39" i="4"/>
  <c r="I39" i="4"/>
  <c r="J39" i="4"/>
  <c r="K39" i="4"/>
  <c r="L39" i="4"/>
  <c r="H40" i="4"/>
  <c r="I40" i="4"/>
  <c r="J40" i="4"/>
  <c r="K40" i="4"/>
  <c r="L40" i="4"/>
  <c r="H41" i="4"/>
  <c r="I41" i="4"/>
  <c r="J41" i="4"/>
  <c r="K41" i="4"/>
  <c r="L41" i="4"/>
  <c r="H42" i="4"/>
  <c r="I42" i="4"/>
  <c r="J42" i="4"/>
  <c r="K42" i="4"/>
  <c r="L42" i="4"/>
  <c r="H43" i="4"/>
  <c r="I43" i="4"/>
  <c r="J43" i="4"/>
  <c r="K43" i="4"/>
  <c r="L43" i="4"/>
  <c r="H44" i="4"/>
  <c r="I44" i="4"/>
  <c r="J44" i="4"/>
  <c r="K44" i="4"/>
  <c r="L44" i="4"/>
  <c r="H45" i="4"/>
  <c r="I45" i="4"/>
  <c r="J45" i="4"/>
  <c r="K45" i="4"/>
  <c r="L45" i="4"/>
  <c r="H46" i="4"/>
  <c r="I46" i="4"/>
  <c r="J46" i="4"/>
  <c r="K46" i="4"/>
  <c r="L46" i="4"/>
  <c r="H47" i="4"/>
  <c r="I47" i="4"/>
  <c r="J47" i="4"/>
  <c r="K47" i="4"/>
  <c r="L47" i="4"/>
  <c r="H48" i="4"/>
  <c r="I48" i="4"/>
  <c r="J48" i="4"/>
  <c r="K48" i="4"/>
  <c r="L48" i="4"/>
  <c r="H49" i="4"/>
  <c r="I49" i="4"/>
  <c r="J49" i="4"/>
  <c r="K49" i="4"/>
  <c r="L49" i="4"/>
  <c r="H50" i="4"/>
  <c r="I50" i="4"/>
  <c r="J50" i="4"/>
  <c r="K50" i="4"/>
  <c r="L50" i="4"/>
  <c r="H51" i="4"/>
  <c r="I51" i="4"/>
  <c r="J51" i="4"/>
  <c r="K51" i="4"/>
  <c r="L51" i="4"/>
  <c r="H52" i="4"/>
  <c r="I52" i="4"/>
  <c r="J52" i="4"/>
  <c r="K52" i="4"/>
  <c r="L52" i="4"/>
  <c r="H53" i="4"/>
  <c r="I53" i="4"/>
  <c r="J53" i="4"/>
  <c r="K53" i="4"/>
  <c r="L53" i="4"/>
  <c r="H54" i="4"/>
  <c r="I54" i="4"/>
  <c r="J54" i="4"/>
  <c r="K54" i="4"/>
  <c r="L54" i="4"/>
  <c r="H55" i="4"/>
  <c r="I55" i="4"/>
  <c r="J55" i="4"/>
  <c r="K55" i="4"/>
  <c r="L55" i="4"/>
  <c r="H56" i="4"/>
  <c r="I56" i="4"/>
  <c r="J56" i="4"/>
  <c r="K56" i="4"/>
  <c r="L56" i="4"/>
  <c r="H57" i="4"/>
  <c r="I57" i="4"/>
  <c r="J57" i="4"/>
  <c r="K57" i="4"/>
  <c r="L57" i="4"/>
  <c r="H58" i="4"/>
  <c r="I58" i="4"/>
  <c r="J58" i="4"/>
  <c r="K58" i="4"/>
  <c r="L58" i="4"/>
  <c r="H59" i="4"/>
  <c r="I59" i="4"/>
  <c r="J59" i="4"/>
  <c r="K59" i="4"/>
  <c r="L59" i="4"/>
  <c r="H60" i="4"/>
  <c r="I60" i="4"/>
  <c r="J60" i="4"/>
  <c r="K60" i="4"/>
  <c r="L60" i="4"/>
  <c r="H61" i="4"/>
  <c r="I61" i="4"/>
  <c r="J61" i="4"/>
  <c r="K61" i="4"/>
  <c r="L61" i="4"/>
  <c r="H62" i="4"/>
  <c r="I62" i="4"/>
  <c r="J62" i="4"/>
  <c r="K62" i="4"/>
  <c r="L62" i="4"/>
  <c r="H63" i="4"/>
  <c r="I63" i="4"/>
  <c r="J63" i="4"/>
  <c r="K63" i="4"/>
  <c r="L63" i="4"/>
  <c r="H64" i="4"/>
  <c r="I64" i="4"/>
  <c r="J64" i="4"/>
  <c r="K64" i="4"/>
  <c r="L64" i="4"/>
  <c r="H65" i="4"/>
  <c r="I65" i="4"/>
  <c r="J65" i="4"/>
  <c r="K65" i="4"/>
  <c r="L65" i="4"/>
  <c r="H66" i="4"/>
  <c r="I66" i="4"/>
  <c r="J66" i="4"/>
  <c r="K66" i="4"/>
  <c r="L66" i="4"/>
  <c r="H67" i="4"/>
  <c r="I67" i="4"/>
  <c r="J67" i="4"/>
  <c r="K67" i="4"/>
  <c r="L67" i="4"/>
  <c r="H68" i="4"/>
  <c r="I68" i="4"/>
  <c r="J68" i="4"/>
  <c r="K68" i="4"/>
  <c r="L68" i="4"/>
  <c r="H69" i="4"/>
  <c r="I69" i="4"/>
  <c r="J69" i="4"/>
  <c r="K69" i="4"/>
  <c r="L69" i="4"/>
  <c r="H70" i="4"/>
  <c r="I70" i="4"/>
  <c r="J70" i="4"/>
  <c r="K70" i="4"/>
  <c r="L70" i="4"/>
  <c r="H71" i="4"/>
  <c r="I71" i="4"/>
  <c r="J71" i="4"/>
  <c r="K71" i="4"/>
  <c r="L71" i="4"/>
  <c r="H72" i="4"/>
  <c r="I72" i="4"/>
  <c r="J72" i="4"/>
  <c r="K72" i="4"/>
  <c r="L72" i="4"/>
  <c r="H73" i="4"/>
  <c r="I73" i="4"/>
  <c r="J73" i="4"/>
  <c r="K73" i="4"/>
  <c r="L73" i="4"/>
  <c r="H74" i="4"/>
  <c r="I74" i="4"/>
  <c r="J74" i="4"/>
  <c r="K74" i="4"/>
  <c r="L74" i="4"/>
  <c r="H75" i="4"/>
  <c r="I75" i="4"/>
  <c r="J75" i="4"/>
  <c r="K75" i="4"/>
  <c r="L75" i="4"/>
  <c r="H76" i="4"/>
  <c r="I76" i="4"/>
  <c r="J76" i="4"/>
  <c r="K76" i="4"/>
  <c r="L76" i="4"/>
  <c r="H77" i="4"/>
  <c r="I77" i="4"/>
  <c r="J77" i="4"/>
  <c r="K77" i="4"/>
  <c r="L77" i="4"/>
  <c r="H78" i="4"/>
  <c r="I78" i="4"/>
  <c r="J78" i="4"/>
  <c r="K78" i="4"/>
  <c r="L78" i="4"/>
  <c r="H79" i="4"/>
  <c r="I79" i="4"/>
  <c r="J79" i="4"/>
  <c r="K79" i="4"/>
  <c r="L79" i="4"/>
  <c r="H80" i="4"/>
  <c r="I80" i="4"/>
  <c r="J80" i="4"/>
  <c r="K80" i="4"/>
  <c r="L80" i="4"/>
  <c r="H81" i="4"/>
  <c r="I81" i="4"/>
  <c r="J81" i="4"/>
  <c r="K81" i="4"/>
  <c r="L81" i="4"/>
  <c r="H82" i="4"/>
  <c r="I82" i="4"/>
  <c r="J82" i="4"/>
  <c r="K82" i="4"/>
  <c r="L82" i="4"/>
  <c r="H83" i="4"/>
  <c r="I83" i="4"/>
  <c r="J83" i="4"/>
  <c r="K83" i="4"/>
  <c r="L83" i="4"/>
  <c r="H84" i="4"/>
  <c r="I84" i="4"/>
  <c r="J84" i="4"/>
  <c r="K84" i="4"/>
  <c r="L84" i="4"/>
  <c r="H85" i="4"/>
  <c r="I85" i="4"/>
  <c r="J85" i="4"/>
  <c r="K85" i="4"/>
  <c r="L85" i="4"/>
  <c r="H86" i="4"/>
  <c r="I86" i="4"/>
  <c r="J86" i="4"/>
  <c r="K86" i="4"/>
  <c r="L86" i="4"/>
  <c r="H87" i="4"/>
  <c r="I87" i="4"/>
  <c r="J87" i="4"/>
  <c r="K87" i="4"/>
  <c r="L87" i="4"/>
  <c r="H88" i="4"/>
  <c r="I88" i="4"/>
  <c r="J88" i="4"/>
  <c r="K88" i="4"/>
  <c r="L88" i="4"/>
  <c r="H89" i="4"/>
  <c r="I89" i="4"/>
  <c r="J89" i="4"/>
  <c r="K89" i="4"/>
  <c r="L89" i="4"/>
  <c r="H90" i="4"/>
  <c r="I90" i="4"/>
  <c r="J90" i="4"/>
  <c r="K90" i="4"/>
  <c r="L90" i="4"/>
  <c r="H91" i="4"/>
  <c r="I91" i="4"/>
  <c r="J91" i="4"/>
  <c r="K91" i="4"/>
  <c r="L91" i="4"/>
  <c r="H92" i="4"/>
  <c r="I92" i="4"/>
  <c r="J92" i="4"/>
  <c r="K92" i="4"/>
  <c r="L92" i="4"/>
  <c r="H93" i="4"/>
  <c r="I93" i="4"/>
  <c r="J93" i="4"/>
  <c r="K93" i="4"/>
  <c r="L93" i="4"/>
  <c r="H94" i="4"/>
  <c r="I94" i="4"/>
  <c r="J94" i="4"/>
  <c r="K94" i="4"/>
  <c r="L94" i="4"/>
  <c r="H95" i="4"/>
  <c r="I95" i="4"/>
  <c r="J95" i="4"/>
  <c r="K95" i="4"/>
  <c r="L95" i="4"/>
  <c r="H96" i="4"/>
  <c r="I96" i="4"/>
  <c r="J96" i="4"/>
  <c r="K96" i="4"/>
  <c r="L96" i="4"/>
  <c r="H97" i="4"/>
  <c r="I97" i="4"/>
  <c r="J97" i="4"/>
  <c r="K97" i="4"/>
  <c r="L97" i="4"/>
  <c r="H98" i="4"/>
  <c r="I98" i="4"/>
  <c r="J98" i="4"/>
  <c r="K98" i="4"/>
  <c r="L98" i="4"/>
  <c r="H99" i="4"/>
  <c r="I99" i="4"/>
  <c r="J99" i="4"/>
  <c r="K99" i="4"/>
  <c r="L99" i="4"/>
  <c r="H100" i="4"/>
  <c r="I100" i="4"/>
  <c r="J100" i="4"/>
  <c r="K100" i="4"/>
  <c r="L100" i="4"/>
  <c r="H101" i="4"/>
  <c r="I101" i="4"/>
  <c r="J101" i="4"/>
  <c r="K101" i="4"/>
  <c r="L101" i="4"/>
  <c r="H102" i="4"/>
  <c r="I102" i="4"/>
  <c r="J102" i="4"/>
  <c r="K102" i="4"/>
  <c r="L102" i="4"/>
  <c r="H103" i="4"/>
  <c r="I103" i="4"/>
  <c r="J103" i="4"/>
  <c r="K103" i="4"/>
  <c r="L103" i="4"/>
  <c r="H104" i="4"/>
  <c r="I104" i="4"/>
  <c r="J104" i="4"/>
  <c r="K104" i="4"/>
  <c r="L104" i="4"/>
  <c r="H105" i="4"/>
  <c r="I105" i="4"/>
  <c r="J105" i="4"/>
  <c r="K105" i="4"/>
  <c r="L105" i="4"/>
  <c r="H106" i="4"/>
  <c r="I106" i="4"/>
  <c r="J106" i="4"/>
  <c r="K106" i="4"/>
  <c r="L106" i="4"/>
  <c r="H107" i="4"/>
  <c r="I107" i="4"/>
  <c r="J107" i="4"/>
  <c r="K107" i="4"/>
  <c r="L107" i="4"/>
  <c r="H108" i="4"/>
  <c r="I108" i="4"/>
  <c r="J108" i="4"/>
  <c r="K108" i="4"/>
  <c r="L108" i="4"/>
  <c r="H109" i="4"/>
  <c r="I109" i="4"/>
  <c r="J109" i="4"/>
  <c r="K109" i="4"/>
  <c r="L109" i="4"/>
  <c r="H110" i="4"/>
  <c r="I110" i="4"/>
  <c r="J110" i="4"/>
  <c r="K110" i="4"/>
  <c r="L110" i="4"/>
  <c r="H111" i="4"/>
  <c r="I111" i="4"/>
  <c r="J111" i="4"/>
  <c r="K111" i="4"/>
  <c r="L111" i="4"/>
  <c r="H112" i="4"/>
  <c r="I112" i="4"/>
  <c r="J112" i="4"/>
  <c r="K112" i="4"/>
  <c r="L112" i="4"/>
  <c r="H113" i="4"/>
  <c r="I113" i="4"/>
  <c r="J113" i="4"/>
  <c r="K113" i="4"/>
  <c r="L113" i="4"/>
  <c r="H114" i="4"/>
  <c r="I114" i="4"/>
  <c r="J114" i="4"/>
  <c r="K114" i="4"/>
  <c r="L114" i="4"/>
  <c r="H115" i="4"/>
  <c r="I115" i="4"/>
  <c r="J115" i="4"/>
  <c r="K115" i="4"/>
  <c r="L115" i="4"/>
  <c r="H116" i="4"/>
  <c r="I116" i="4"/>
  <c r="J116" i="4"/>
  <c r="K116" i="4"/>
  <c r="L116" i="4"/>
  <c r="H117" i="4"/>
  <c r="I117" i="4"/>
  <c r="J117" i="4"/>
  <c r="K117" i="4"/>
  <c r="L117" i="4"/>
  <c r="H118" i="4"/>
  <c r="I118" i="4"/>
  <c r="J118" i="4"/>
  <c r="K118" i="4"/>
  <c r="L118" i="4"/>
  <c r="H119" i="4"/>
  <c r="I119" i="4"/>
  <c r="J119" i="4"/>
  <c r="K119" i="4"/>
  <c r="L119" i="4"/>
  <c r="H120" i="4"/>
  <c r="I120" i="4"/>
  <c r="J120" i="4"/>
  <c r="K120" i="4"/>
  <c r="L120" i="4"/>
  <c r="H121" i="4"/>
  <c r="I121" i="4"/>
  <c r="J121" i="4"/>
  <c r="K121" i="4"/>
  <c r="L121" i="4"/>
  <c r="H122" i="4"/>
  <c r="I122" i="4"/>
  <c r="J122" i="4"/>
  <c r="K122" i="4"/>
  <c r="L122" i="4"/>
  <c r="H123" i="4"/>
  <c r="I123" i="4"/>
  <c r="J123" i="4"/>
  <c r="K123" i="4"/>
  <c r="L123" i="4"/>
  <c r="H124" i="4"/>
  <c r="I124" i="4"/>
  <c r="J124" i="4"/>
  <c r="K124" i="4"/>
  <c r="L124" i="4"/>
  <c r="H125" i="4"/>
  <c r="I125" i="4"/>
  <c r="J125" i="4"/>
  <c r="K125" i="4"/>
  <c r="L125" i="4"/>
  <c r="H126" i="4"/>
  <c r="I126" i="4"/>
  <c r="J126" i="4"/>
  <c r="K126" i="4"/>
  <c r="L126" i="4"/>
  <c r="H127" i="4"/>
  <c r="I127" i="4"/>
  <c r="J127" i="4"/>
  <c r="K127" i="4"/>
  <c r="L127" i="4"/>
  <c r="H128" i="4"/>
  <c r="I128" i="4"/>
  <c r="J128" i="4"/>
  <c r="K128" i="4"/>
  <c r="L128" i="4"/>
  <c r="H129" i="4"/>
  <c r="I129" i="4"/>
  <c r="J129" i="4"/>
  <c r="K129" i="4"/>
  <c r="L129" i="4"/>
  <c r="H130" i="4"/>
  <c r="I130" i="4"/>
  <c r="J130" i="4"/>
  <c r="K130" i="4"/>
  <c r="L130" i="4"/>
  <c r="H131" i="4"/>
  <c r="I131" i="4"/>
  <c r="J131" i="4"/>
  <c r="K131" i="4"/>
  <c r="L131" i="4"/>
  <c r="H132" i="4"/>
  <c r="I132" i="4"/>
  <c r="J132" i="4"/>
  <c r="K132" i="4"/>
  <c r="L132" i="4"/>
  <c r="H133" i="4"/>
  <c r="I133" i="4"/>
  <c r="J133" i="4"/>
  <c r="K133" i="4"/>
  <c r="L133" i="4"/>
  <c r="H134" i="4"/>
  <c r="I134" i="4"/>
  <c r="J134" i="4"/>
  <c r="K134" i="4"/>
  <c r="L134" i="4"/>
  <c r="H135" i="4"/>
  <c r="I135" i="4"/>
  <c r="J135" i="4"/>
  <c r="K135" i="4"/>
  <c r="L135" i="4"/>
  <c r="H136" i="4"/>
  <c r="I136" i="4"/>
  <c r="J136" i="4"/>
  <c r="K136" i="4"/>
  <c r="L136" i="4"/>
  <c r="H137" i="4"/>
  <c r="I137" i="4"/>
  <c r="J137" i="4"/>
  <c r="K137" i="4"/>
  <c r="L137" i="4"/>
  <c r="H138" i="4"/>
  <c r="I138" i="4"/>
  <c r="J138" i="4"/>
  <c r="K138" i="4"/>
  <c r="L138" i="4"/>
  <c r="H139" i="4"/>
  <c r="I139" i="4"/>
  <c r="J139" i="4"/>
  <c r="K139" i="4"/>
  <c r="L139" i="4"/>
  <c r="I2" i="4"/>
  <c r="J2" i="4"/>
  <c r="K2" i="4"/>
  <c r="L2" i="4"/>
  <c r="H2" i="4"/>
  <c r="H3" i="3"/>
  <c r="I3" i="3"/>
  <c r="J3" i="3"/>
  <c r="K3" i="3"/>
  <c r="L3" i="3"/>
  <c r="H4" i="3"/>
  <c r="I4" i="3"/>
  <c r="J4" i="3"/>
  <c r="K4" i="3"/>
  <c r="L4" i="3"/>
  <c r="H5" i="3"/>
  <c r="I5" i="3"/>
  <c r="J5" i="3"/>
  <c r="K5" i="3"/>
  <c r="L5" i="3"/>
  <c r="H6" i="3"/>
  <c r="I6" i="3"/>
  <c r="J6" i="3"/>
  <c r="K6" i="3"/>
  <c r="L6" i="3"/>
  <c r="H7" i="3"/>
  <c r="I7" i="3"/>
  <c r="J7" i="3"/>
  <c r="K7" i="3"/>
  <c r="L7" i="3"/>
  <c r="H8" i="3"/>
  <c r="I8" i="3"/>
  <c r="J8" i="3"/>
  <c r="K8" i="3"/>
  <c r="L8" i="3"/>
  <c r="H9" i="3"/>
  <c r="I9" i="3"/>
  <c r="J9" i="3"/>
  <c r="K9" i="3"/>
  <c r="L9" i="3"/>
  <c r="H10" i="3"/>
  <c r="I10" i="3"/>
  <c r="J10" i="3"/>
  <c r="K10" i="3"/>
  <c r="L10" i="3"/>
  <c r="H11" i="3"/>
  <c r="I11" i="3"/>
  <c r="J11" i="3"/>
  <c r="K11" i="3"/>
  <c r="L11" i="3"/>
  <c r="H12" i="3"/>
  <c r="I12" i="3"/>
  <c r="J12" i="3"/>
  <c r="K12" i="3"/>
  <c r="L12" i="3"/>
  <c r="H13" i="3"/>
  <c r="I13" i="3"/>
  <c r="J13" i="3"/>
  <c r="K13" i="3"/>
  <c r="L13" i="3"/>
  <c r="H14" i="3"/>
  <c r="I14" i="3"/>
  <c r="J14" i="3"/>
  <c r="K14" i="3"/>
  <c r="L14" i="3"/>
  <c r="H15" i="3"/>
  <c r="I15" i="3"/>
  <c r="J15" i="3"/>
  <c r="K15" i="3"/>
  <c r="L15" i="3"/>
  <c r="H16" i="3"/>
  <c r="I16" i="3"/>
  <c r="J16" i="3"/>
  <c r="K16" i="3"/>
  <c r="L16" i="3"/>
  <c r="H17" i="3"/>
  <c r="I17" i="3"/>
  <c r="J17" i="3"/>
  <c r="K17" i="3"/>
  <c r="L17" i="3"/>
  <c r="H18" i="3"/>
  <c r="I18" i="3"/>
  <c r="J18" i="3"/>
  <c r="K18" i="3"/>
  <c r="L18" i="3"/>
  <c r="H19" i="3"/>
  <c r="I19" i="3"/>
  <c r="J19" i="3"/>
  <c r="K19" i="3"/>
  <c r="L19" i="3"/>
  <c r="H20" i="3"/>
  <c r="I20" i="3"/>
  <c r="J20" i="3"/>
  <c r="K20" i="3"/>
  <c r="L20" i="3"/>
  <c r="H21" i="3"/>
  <c r="I21" i="3"/>
  <c r="J21" i="3"/>
  <c r="K21" i="3"/>
  <c r="L21" i="3"/>
  <c r="H22" i="3"/>
  <c r="I22" i="3"/>
  <c r="J22" i="3"/>
  <c r="K22" i="3"/>
  <c r="L22" i="3"/>
  <c r="H23" i="3"/>
  <c r="I23" i="3"/>
  <c r="J23" i="3"/>
  <c r="K23" i="3"/>
  <c r="L23" i="3"/>
  <c r="H24" i="3"/>
  <c r="I24" i="3"/>
  <c r="J24" i="3"/>
  <c r="K24" i="3"/>
  <c r="L24" i="3"/>
  <c r="H25" i="3"/>
  <c r="I25" i="3"/>
  <c r="J25" i="3"/>
  <c r="K25" i="3"/>
  <c r="L25" i="3"/>
  <c r="H26" i="3"/>
  <c r="I26" i="3"/>
  <c r="J26" i="3"/>
  <c r="K26" i="3"/>
  <c r="L26" i="3"/>
  <c r="H27" i="3"/>
  <c r="I27" i="3"/>
  <c r="J27" i="3"/>
  <c r="K27" i="3"/>
  <c r="L27" i="3"/>
  <c r="H28" i="3"/>
  <c r="I28" i="3"/>
  <c r="J28" i="3"/>
  <c r="K28" i="3"/>
  <c r="L28" i="3"/>
  <c r="H29" i="3"/>
  <c r="I29" i="3"/>
  <c r="J29" i="3"/>
  <c r="K29" i="3"/>
  <c r="L29" i="3"/>
  <c r="H30" i="3"/>
  <c r="I30" i="3"/>
  <c r="J30" i="3"/>
  <c r="K30" i="3"/>
  <c r="L30" i="3"/>
  <c r="H31" i="3"/>
  <c r="I31" i="3"/>
  <c r="J31" i="3"/>
  <c r="K31" i="3"/>
  <c r="L31" i="3"/>
  <c r="H32" i="3"/>
  <c r="I32" i="3"/>
  <c r="J32" i="3"/>
  <c r="K32" i="3"/>
  <c r="L32" i="3"/>
  <c r="H33" i="3"/>
  <c r="I33" i="3"/>
  <c r="J33" i="3"/>
  <c r="K33" i="3"/>
  <c r="L33" i="3"/>
  <c r="H34" i="3"/>
  <c r="I34" i="3"/>
  <c r="J34" i="3"/>
  <c r="K34" i="3"/>
  <c r="L34" i="3"/>
  <c r="H35" i="3"/>
  <c r="I35" i="3"/>
  <c r="J35" i="3"/>
  <c r="K35" i="3"/>
  <c r="L35" i="3"/>
  <c r="H36" i="3"/>
  <c r="I36" i="3"/>
  <c r="J36" i="3"/>
  <c r="K36" i="3"/>
  <c r="L36" i="3"/>
  <c r="H37" i="3"/>
  <c r="I37" i="3"/>
  <c r="J37" i="3"/>
  <c r="K37" i="3"/>
  <c r="L37" i="3"/>
  <c r="H38" i="3"/>
  <c r="I38" i="3"/>
  <c r="J38" i="3"/>
  <c r="K38" i="3"/>
  <c r="L38" i="3"/>
  <c r="H39" i="3"/>
  <c r="I39" i="3"/>
  <c r="J39" i="3"/>
  <c r="K39" i="3"/>
  <c r="L39" i="3"/>
  <c r="H40" i="3"/>
  <c r="I40" i="3"/>
  <c r="J40" i="3"/>
  <c r="K40" i="3"/>
  <c r="L40" i="3"/>
  <c r="H41" i="3"/>
  <c r="I41" i="3"/>
  <c r="J41" i="3"/>
  <c r="K41" i="3"/>
  <c r="L41" i="3"/>
  <c r="H42" i="3"/>
  <c r="I42" i="3"/>
  <c r="J42" i="3"/>
  <c r="K42" i="3"/>
  <c r="L42" i="3"/>
  <c r="H43" i="3"/>
  <c r="I43" i="3"/>
  <c r="J43" i="3"/>
  <c r="K43" i="3"/>
  <c r="L43" i="3"/>
  <c r="H44" i="3"/>
  <c r="I44" i="3"/>
  <c r="J44" i="3"/>
  <c r="K44" i="3"/>
  <c r="L44" i="3"/>
  <c r="H45" i="3"/>
  <c r="I45" i="3"/>
  <c r="J45" i="3"/>
  <c r="K45" i="3"/>
  <c r="L45" i="3"/>
  <c r="H46" i="3"/>
  <c r="I46" i="3"/>
  <c r="J46" i="3"/>
  <c r="K46" i="3"/>
  <c r="L46" i="3"/>
  <c r="H47" i="3"/>
  <c r="I47" i="3"/>
  <c r="J47" i="3"/>
  <c r="K47" i="3"/>
  <c r="L47" i="3"/>
  <c r="H48" i="3"/>
  <c r="I48" i="3"/>
  <c r="J48" i="3"/>
  <c r="K48" i="3"/>
  <c r="L48" i="3"/>
  <c r="H49" i="3"/>
  <c r="I49" i="3"/>
  <c r="J49" i="3"/>
  <c r="K49" i="3"/>
  <c r="L49" i="3"/>
  <c r="H50" i="3"/>
  <c r="I50" i="3"/>
  <c r="J50" i="3"/>
  <c r="K50" i="3"/>
  <c r="L50" i="3"/>
  <c r="H51" i="3"/>
  <c r="I51" i="3"/>
  <c r="J51" i="3"/>
  <c r="K51" i="3"/>
  <c r="L51" i="3"/>
  <c r="H52" i="3"/>
  <c r="I52" i="3"/>
  <c r="J52" i="3"/>
  <c r="K52" i="3"/>
  <c r="L52" i="3"/>
  <c r="H53" i="3"/>
  <c r="I53" i="3"/>
  <c r="J53" i="3"/>
  <c r="K53" i="3"/>
  <c r="L53" i="3"/>
  <c r="H54" i="3"/>
  <c r="I54" i="3"/>
  <c r="J54" i="3"/>
  <c r="K54" i="3"/>
  <c r="L54" i="3"/>
  <c r="H55" i="3"/>
  <c r="I55" i="3"/>
  <c r="J55" i="3"/>
  <c r="K55" i="3"/>
  <c r="L55" i="3"/>
  <c r="H56" i="3"/>
  <c r="I56" i="3"/>
  <c r="J56" i="3"/>
  <c r="K56" i="3"/>
  <c r="L56" i="3"/>
  <c r="H57" i="3"/>
  <c r="I57" i="3"/>
  <c r="J57" i="3"/>
  <c r="K57" i="3"/>
  <c r="L57" i="3"/>
  <c r="H58" i="3"/>
  <c r="I58" i="3"/>
  <c r="J58" i="3"/>
  <c r="K58" i="3"/>
  <c r="L58" i="3"/>
  <c r="H59" i="3"/>
  <c r="I59" i="3"/>
  <c r="J59" i="3"/>
  <c r="K59" i="3"/>
  <c r="L59" i="3"/>
  <c r="H60" i="3"/>
  <c r="I60" i="3"/>
  <c r="J60" i="3"/>
  <c r="K60" i="3"/>
  <c r="L60" i="3"/>
  <c r="H61" i="3"/>
  <c r="I61" i="3"/>
  <c r="J61" i="3"/>
  <c r="K61" i="3"/>
  <c r="L61" i="3"/>
  <c r="H62" i="3"/>
  <c r="I62" i="3"/>
  <c r="J62" i="3"/>
  <c r="K62" i="3"/>
  <c r="L62" i="3"/>
  <c r="H63" i="3"/>
  <c r="I63" i="3"/>
  <c r="J63" i="3"/>
  <c r="K63" i="3"/>
  <c r="L63" i="3"/>
  <c r="H64" i="3"/>
  <c r="I64" i="3"/>
  <c r="J64" i="3"/>
  <c r="K64" i="3"/>
  <c r="L64" i="3"/>
  <c r="H65" i="3"/>
  <c r="I65" i="3"/>
  <c r="J65" i="3"/>
  <c r="K65" i="3"/>
  <c r="L65" i="3"/>
  <c r="H66" i="3"/>
  <c r="I66" i="3"/>
  <c r="J66" i="3"/>
  <c r="K66" i="3"/>
  <c r="L66" i="3"/>
  <c r="H67" i="3"/>
  <c r="I67" i="3"/>
  <c r="J67" i="3"/>
  <c r="K67" i="3"/>
  <c r="L67" i="3"/>
  <c r="H68" i="3"/>
  <c r="I68" i="3"/>
  <c r="J68" i="3"/>
  <c r="K68" i="3"/>
  <c r="L68" i="3"/>
  <c r="H69" i="3"/>
  <c r="I69" i="3"/>
  <c r="J69" i="3"/>
  <c r="K69" i="3"/>
  <c r="L69" i="3"/>
  <c r="H70" i="3"/>
  <c r="I70" i="3"/>
  <c r="J70" i="3"/>
  <c r="K70" i="3"/>
  <c r="L70" i="3"/>
  <c r="H71" i="3"/>
  <c r="I71" i="3"/>
  <c r="J71" i="3"/>
  <c r="K71" i="3"/>
  <c r="L71" i="3"/>
  <c r="H72" i="3"/>
  <c r="I72" i="3"/>
  <c r="J72" i="3"/>
  <c r="K72" i="3"/>
  <c r="L72" i="3"/>
  <c r="H73" i="3"/>
  <c r="I73" i="3"/>
  <c r="J73" i="3"/>
  <c r="K73" i="3"/>
  <c r="L73" i="3"/>
  <c r="H74" i="3"/>
  <c r="I74" i="3"/>
  <c r="J74" i="3"/>
  <c r="K74" i="3"/>
  <c r="L74" i="3"/>
  <c r="H75" i="3"/>
  <c r="I75" i="3"/>
  <c r="J75" i="3"/>
  <c r="K75" i="3"/>
  <c r="L75" i="3"/>
  <c r="H76" i="3"/>
  <c r="I76" i="3"/>
  <c r="J76" i="3"/>
  <c r="K76" i="3"/>
  <c r="L76" i="3"/>
  <c r="H77" i="3"/>
  <c r="I77" i="3"/>
  <c r="J77" i="3"/>
  <c r="K77" i="3"/>
  <c r="L77" i="3"/>
  <c r="H78" i="3"/>
  <c r="I78" i="3"/>
  <c r="J78" i="3"/>
  <c r="K78" i="3"/>
  <c r="L78" i="3"/>
  <c r="H79" i="3"/>
  <c r="I79" i="3"/>
  <c r="J79" i="3"/>
  <c r="K79" i="3"/>
  <c r="L79" i="3"/>
  <c r="H80" i="3"/>
  <c r="I80" i="3"/>
  <c r="J80" i="3"/>
  <c r="K80" i="3"/>
  <c r="L80" i="3"/>
  <c r="H81" i="3"/>
  <c r="I81" i="3"/>
  <c r="J81" i="3"/>
  <c r="K81" i="3"/>
  <c r="L81" i="3"/>
  <c r="H82" i="3"/>
  <c r="I82" i="3"/>
  <c r="J82" i="3"/>
  <c r="K82" i="3"/>
  <c r="L82" i="3"/>
  <c r="H83" i="3"/>
  <c r="I83" i="3"/>
  <c r="J83" i="3"/>
  <c r="K83" i="3"/>
  <c r="L83" i="3"/>
  <c r="H84" i="3"/>
  <c r="I84" i="3"/>
  <c r="J84" i="3"/>
  <c r="K84" i="3"/>
  <c r="L84" i="3"/>
  <c r="H85" i="3"/>
  <c r="I85" i="3"/>
  <c r="J85" i="3"/>
  <c r="K85" i="3"/>
  <c r="L85" i="3"/>
  <c r="H86" i="3"/>
  <c r="I86" i="3"/>
  <c r="J86" i="3"/>
  <c r="K86" i="3"/>
  <c r="L86" i="3"/>
  <c r="H87" i="3"/>
  <c r="I87" i="3"/>
  <c r="J87" i="3"/>
  <c r="K87" i="3"/>
  <c r="L87" i="3"/>
  <c r="H88" i="3"/>
  <c r="I88" i="3"/>
  <c r="J88" i="3"/>
  <c r="K88" i="3"/>
  <c r="L88" i="3"/>
  <c r="H89" i="3"/>
  <c r="I89" i="3"/>
  <c r="J89" i="3"/>
  <c r="K89" i="3"/>
  <c r="L89" i="3"/>
  <c r="H90" i="3"/>
  <c r="I90" i="3"/>
  <c r="J90" i="3"/>
  <c r="K90" i="3"/>
  <c r="L90" i="3"/>
  <c r="H91" i="3"/>
  <c r="I91" i="3"/>
  <c r="J91" i="3"/>
  <c r="K91" i="3"/>
  <c r="L91" i="3"/>
  <c r="H92" i="3"/>
  <c r="I92" i="3"/>
  <c r="J92" i="3"/>
  <c r="K92" i="3"/>
  <c r="L92" i="3"/>
  <c r="H93" i="3"/>
  <c r="I93" i="3"/>
  <c r="J93" i="3"/>
  <c r="K93" i="3"/>
  <c r="L93" i="3"/>
  <c r="H94" i="3"/>
  <c r="I94" i="3"/>
  <c r="J94" i="3"/>
  <c r="K94" i="3"/>
  <c r="L94" i="3"/>
  <c r="H95" i="3"/>
  <c r="I95" i="3"/>
  <c r="J95" i="3"/>
  <c r="K95" i="3"/>
  <c r="L95" i="3"/>
  <c r="H96" i="3"/>
  <c r="I96" i="3"/>
  <c r="J96" i="3"/>
  <c r="K96" i="3"/>
  <c r="L96" i="3"/>
  <c r="H97" i="3"/>
  <c r="I97" i="3"/>
  <c r="J97" i="3"/>
  <c r="K97" i="3"/>
  <c r="L97" i="3"/>
  <c r="H98" i="3"/>
  <c r="I98" i="3"/>
  <c r="J98" i="3"/>
  <c r="K98" i="3"/>
  <c r="L98" i="3"/>
  <c r="H99" i="3"/>
  <c r="I99" i="3"/>
  <c r="J99" i="3"/>
  <c r="K99" i="3"/>
  <c r="L99" i="3"/>
  <c r="H100" i="3"/>
  <c r="I100" i="3"/>
  <c r="J100" i="3"/>
  <c r="K100" i="3"/>
  <c r="L100" i="3"/>
  <c r="H101" i="3"/>
  <c r="I101" i="3"/>
  <c r="J101" i="3"/>
  <c r="K101" i="3"/>
  <c r="L101" i="3"/>
  <c r="H102" i="3"/>
  <c r="I102" i="3"/>
  <c r="J102" i="3"/>
  <c r="K102" i="3"/>
  <c r="L102" i="3"/>
  <c r="H103" i="3"/>
  <c r="I103" i="3"/>
  <c r="J103" i="3"/>
  <c r="K103" i="3"/>
  <c r="L103" i="3"/>
  <c r="H104" i="3"/>
  <c r="I104" i="3"/>
  <c r="J104" i="3"/>
  <c r="K104" i="3"/>
  <c r="L104" i="3"/>
  <c r="H105" i="3"/>
  <c r="I105" i="3"/>
  <c r="J105" i="3"/>
  <c r="K105" i="3"/>
  <c r="L105" i="3"/>
  <c r="H106" i="3"/>
  <c r="I106" i="3"/>
  <c r="J106" i="3"/>
  <c r="K106" i="3"/>
  <c r="L106" i="3"/>
  <c r="H107" i="3"/>
  <c r="I107" i="3"/>
  <c r="J107" i="3"/>
  <c r="K107" i="3"/>
  <c r="L107" i="3"/>
  <c r="H108" i="3"/>
  <c r="I108" i="3"/>
  <c r="J108" i="3"/>
  <c r="K108" i="3"/>
  <c r="L108" i="3"/>
  <c r="H109" i="3"/>
  <c r="I109" i="3"/>
  <c r="J109" i="3"/>
  <c r="K109" i="3"/>
  <c r="L109" i="3"/>
  <c r="H110" i="3"/>
  <c r="I110" i="3"/>
  <c r="J110" i="3"/>
  <c r="K110" i="3"/>
  <c r="L110" i="3"/>
  <c r="H111" i="3"/>
  <c r="I111" i="3"/>
  <c r="J111" i="3"/>
  <c r="K111" i="3"/>
  <c r="L111" i="3"/>
  <c r="H112" i="3"/>
  <c r="I112" i="3"/>
  <c r="J112" i="3"/>
  <c r="K112" i="3"/>
  <c r="L112" i="3"/>
  <c r="H113" i="3"/>
  <c r="I113" i="3"/>
  <c r="J113" i="3"/>
  <c r="K113" i="3"/>
  <c r="L113" i="3"/>
  <c r="H114" i="3"/>
  <c r="I114" i="3"/>
  <c r="J114" i="3"/>
  <c r="K114" i="3"/>
  <c r="L114" i="3"/>
  <c r="H115" i="3"/>
  <c r="I115" i="3"/>
  <c r="J115" i="3"/>
  <c r="K115" i="3"/>
  <c r="L115" i="3"/>
  <c r="H116" i="3"/>
  <c r="I116" i="3"/>
  <c r="J116" i="3"/>
  <c r="K116" i="3"/>
  <c r="L116" i="3"/>
  <c r="H117" i="3"/>
  <c r="I117" i="3"/>
  <c r="J117" i="3"/>
  <c r="K117" i="3"/>
  <c r="L117" i="3"/>
  <c r="H118" i="3"/>
  <c r="I118" i="3"/>
  <c r="J118" i="3"/>
  <c r="K118" i="3"/>
  <c r="L118" i="3"/>
  <c r="H119" i="3"/>
  <c r="I119" i="3"/>
  <c r="J119" i="3"/>
  <c r="K119" i="3"/>
  <c r="L119" i="3"/>
  <c r="H120" i="3"/>
  <c r="I120" i="3"/>
  <c r="J120" i="3"/>
  <c r="K120" i="3"/>
  <c r="L120" i="3"/>
  <c r="H121" i="3"/>
  <c r="I121" i="3"/>
  <c r="J121" i="3"/>
  <c r="K121" i="3"/>
  <c r="L121" i="3"/>
  <c r="H122" i="3"/>
  <c r="I122" i="3"/>
  <c r="J122" i="3"/>
  <c r="K122" i="3"/>
  <c r="L122" i="3"/>
  <c r="H123" i="3"/>
  <c r="I123" i="3"/>
  <c r="J123" i="3"/>
  <c r="K123" i="3"/>
  <c r="L123" i="3"/>
  <c r="H124" i="3"/>
  <c r="I124" i="3"/>
  <c r="J124" i="3"/>
  <c r="K124" i="3"/>
  <c r="L124" i="3"/>
  <c r="H125" i="3"/>
  <c r="I125" i="3"/>
  <c r="J125" i="3"/>
  <c r="K125" i="3"/>
  <c r="L125" i="3"/>
  <c r="H126" i="3"/>
  <c r="I126" i="3"/>
  <c r="J126" i="3"/>
  <c r="K126" i="3"/>
  <c r="L126" i="3"/>
  <c r="H127" i="3"/>
  <c r="I127" i="3"/>
  <c r="J127" i="3"/>
  <c r="K127" i="3"/>
  <c r="L127" i="3"/>
  <c r="H128" i="3"/>
  <c r="I128" i="3"/>
  <c r="J128" i="3"/>
  <c r="K128" i="3"/>
  <c r="L128" i="3"/>
  <c r="H129" i="3"/>
  <c r="I129" i="3"/>
  <c r="J129" i="3"/>
  <c r="K129" i="3"/>
  <c r="L129" i="3"/>
  <c r="H130" i="3"/>
  <c r="I130" i="3"/>
  <c r="J130" i="3"/>
  <c r="K130" i="3"/>
  <c r="L130" i="3"/>
  <c r="H131" i="3"/>
  <c r="I131" i="3"/>
  <c r="J131" i="3"/>
  <c r="K131" i="3"/>
  <c r="L131" i="3"/>
  <c r="H132" i="3"/>
  <c r="I132" i="3"/>
  <c r="J132" i="3"/>
  <c r="K132" i="3"/>
  <c r="L132" i="3"/>
  <c r="H133" i="3"/>
  <c r="I133" i="3"/>
  <c r="J133" i="3"/>
  <c r="K133" i="3"/>
  <c r="L133" i="3"/>
  <c r="H134" i="3"/>
  <c r="I134" i="3"/>
  <c r="J134" i="3"/>
  <c r="K134" i="3"/>
  <c r="L134" i="3"/>
  <c r="H135" i="3"/>
  <c r="I135" i="3"/>
  <c r="J135" i="3"/>
  <c r="K135" i="3"/>
  <c r="L135" i="3"/>
  <c r="H136" i="3"/>
  <c r="I136" i="3"/>
  <c r="J136" i="3"/>
  <c r="K136" i="3"/>
  <c r="L136" i="3"/>
  <c r="H137" i="3"/>
  <c r="I137" i="3"/>
  <c r="J137" i="3"/>
  <c r="K137" i="3"/>
  <c r="L137" i="3"/>
  <c r="H138" i="3"/>
  <c r="I138" i="3"/>
  <c r="J138" i="3"/>
  <c r="K138" i="3"/>
  <c r="L138" i="3"/>
  <c r="I139" i="3"/>
  <c r="J139" i="3"/>
  <c r="K139" i="3"/>
  <c r="L139" i="3"/>
  <c r="I2" i="3"/>
  <c r="J2" i="3"/>
  <c r="K2" i="3"/>
  <c r="L2" i="3"/>
  <c r="H2" i="3"/>
  <c r="H6" i="2"/>
  <c r="I6" i="2"/>
  <c r="J6" i="2"/>
  <c r="K6" i="2"/>
  <c r="L6" i="2"/>
  <c r="H7" i="2"/>
  <c r="I7" i="2"/>
  <c r="J7" i="2"/>
  <c r="K7" i="2"/>
  <c r="L7" i="2"/>
  <c r="H8" i="2"/>
  <c r="I8" i="2"/>
  <c r="J8" i="2"/>
  <c r="K8" i="2"/>
  <c r="L8" i="2"/>
  <c r="H9" i="2"/>
  <c r="I9" i="2"/>
  <c r="J9" i="2"/>
  <c r="K9" i="2"/>
  <c r="L9" i="2"/>
  <c r="H10" i="2"/>
  <c r="I10" i="2"/>
  <c r="J10" i="2"/>
  <c r="K10" i="2"/>
  <c r="L10" i="2"/>
  <c r="H11" i="2"/>
  <c r="I11" i="2"/>
  <c r="J11" i="2"/>
  <c r="K11" i="2"/>
  <c r="L11" i="2"/>
  <c r="H12" i="2"/>
  <c r="I12" i="2"/>
  <c r="J12" i="2"/>
  <c r="K12" i="2"/>
  <c r="L12" i="2"/>
  <c r="H13" i="2"/>
  <c r="I13" i="2"/>
  <c r="J13" i="2"/>
  <c r="K13" i="2"/>
  <c r="L13" i="2"/>
  <c r="H14" i="2"/>
  <c r="I14" i="2"/>
  <c r="J14" i="2"/>
  <c r="K14" i="2"/>
  <c r="L14" i="2"/>
  <c r="H15" i="2"/>
  <c r="I15" i="2"/>
  <c r="J15" i="2"/>
  <c r="K15" i="2"/>
  <c r="L15" i="2"/>
  <c r="H16" i="2"/>
  <c r="I16" i="2"/>
  <c r="J16" i="2"/>
  <c r="K16" i="2"/>
  <c r="L16" i="2"/>
  <c r="H17" i="2"/>
  <c r="I17" i="2"/>
  <c r="J17" i="2"/>
  <c r="K17" i="2"/>
  <c r="L17" i="2"/>
  <c r="H18" i="2"/>
  <c r="I18" i="2"/>
  <c r="J18" i="2"/>
  <c r="K18" i="2"/>
  <c r="L18" i="2"/>
  <c r="H19" i="2"/>
  <c r="I19" i="2"/>
  <c r="J19" i="2"/>
  <c r="K19" i="2"/>
  <c r="L19" i="2"/>
  <c r="H20" i="2"/>
  <c r="I20" i="2"/>
  <c r="J20" i="2"/>
  <c r="K20" i="2"/>
  <c r="L20" i="2"/>
  <c r="H21" i="2"/>
  <c r="I21" i="2"/>
  <c r="J21" i="2"/>
  <c r="K21" i="2"/>
  <c r="L21" i="2"/>
  <c r="H22" i="2"/>
  <c r="I22" i="2"/>
  <c r="J22" i="2"/>
  <c r="K22" i="2"/>
  <c r="L22" i="2"/>
  <c r="H23" i="2"/>
  <c r="I23" i="2"/>
  <c r="J23" i="2"/>
  <c r="K23" i="2"/>
  <c r="L23" i="2"/>
  <c r="H24" i="2"/>
  <c r="I24" i="2"/>
  <c r="J24" i="2"/>
  <c r="K24" i="2"/>
  <c r="L24" i="2"/>
  <c r="H25" i="2"/>
  <c r="I25" i="2"/>
  <c r="J25" i="2"/>
  <c r="K25" i="2"/>
  <c r="L25" i="2"/>
  <c r="H26" i="2"/>
  <c r="I26" i="2"/>
  <c r="J26" i="2"/>
  <c r="K26" i="2"/>
  <c r="L26" i="2"/>
  <c r="H27" i="2"/>
  <c r="I27" i="2"/>
  <c r="J27" i="2"/>
  <c r="K27" i="2"/>
  <c r="L27" i="2"/>
  <c r="H28" i="2"/>
  <c r="I28" i="2"/>
  <c r="J28" i="2"/>
  <c r="K28" i="2"/>
  <c r="L28" i="2"/>
  <c r="H29" i="2"/>
  <c r="I29" i="2"/>
  <c r="J29" i="2"/>
  <c r="K29" i="2"/>
  <c r="L29" i="2"/>
  <c r="H30" i="2"/>
  <c r="I30" i="2"/>
  <c r="J30" i="2"/>
  <c r="K30" i="2"/>
  <c r="L30" i="2"/>
  <c r="H31" i="2"/>
  <c r="I31" i="2"/>
  <c r="J31" i="2"/>
  <c r="K31" i="2"/>
  <c r="L31" i="2"/>
  <c r="H32" i="2"/>
  <c r="I32" i="2"/>
  <c r="J32" i="2"/>
  <c r="K32" i="2"/>
  <c r="L32" i="2"/>
  <c r="H33" i="2"/>
  <c r="I33" i="2"/>
  <c r="J33" i="2"/>
  <c r="K33" i="2"/>
  <c r="L33" i="2"/>
  <c r="H34" i="2"/>
  <c r="I34" i="2"/>
  <c r="J34" i="2"/>
  <c r="K34" i="2"/>
  <c r="L34" i="2"/>
  <c r="H35" i="2"/>
  <c r="I35" i="2"/>
  <c r="J35" i="2"/>
  <c r="K35" i="2"/>
  <c r="L35" i="2"/>
  <c r="H36" i="2"/>
  <c r="I36" i="2"/>
  <c r="J36" i="2"/>
  <c r="K36" i="2"/>
  <c r="L36" i="2"/>
  <c r="H37" i="2"/>
  <c r="I37" i="2"/>
  <c r="J37" i="2"/>
  <c r="K37" i="2"/>
  <c r="L37" i="2"/>
  <c r="H38" i="2"/>
  <c r="I38" i="2"/>
  <c r="J38" i="2"/>
  <c r="K38" i="2"/>
  <c r="L38" i="2"/>
  <c r="H39" i="2"/>
  <c r="I39" i="2"/>
  <c r="J39" i="2"/>
  <c r="K39" i="2"/>
  <c r="L39" i="2"/>
  <c r="H40" i="2"/>
  <c r="I40" i="2"/>
  <c r="J40" i="2"/>
  <c r="K40" i="2"/>
  <c r="L40" i="2"/>
  <c r="H41" i="2"/>
  <c r="I41" i="2"/>
  <c r="J41" i="2"/>
  <c r="K41" i="2"/>
  <c r="L41" i="2"/>
  <c r="H42" i="2"/>
  <c r="I42" i="2"/>
  <c r="J42" i="2"/>
  <c r="K42" i="2"/>
  <c r="L42" i="2"/>
  <c r="H43" i="2"/>
  <c r="I43" i="2"/>
  <c r="J43" i="2"/>
  <c r="K43" i="2"/>
  <c r="L43" i="2"/>
  <c r="H44" i="2"/>
  <c r="I44" i="2"/>
  <c r="J44" i="2"/>
  <c r="K44" i="2"/>
  <c r="L44" i="2"/>
  <c r="H45" i="2"/>
  <c r="I45" i="2"/>
  <c r="J45" i="2"/>
  <c r="K45" i="2"/>
  <c r="L45" i="2"/>
  <c r="H46" i="2"/>
  <c r="I46" i="2"/>
  <c r="J46" i="2"/>
  <c r="K46" i="2"/>
  <c r="L46" i="2"/>
  <c r="H47" i="2"/>
  <c r="I47" i="2"/>
  <c r="J47" i="2"/>
  <c r="K47" i="2"/>
  <c r="L47" i="2"/>
  <c r="H48" i="2"/>
  <c r="I48" i="2"/>
  <c r="J48" i="2"/>
  <c r="K48" i="2"/>
  <c r="L48" i="2"/>
  <c r="H49" i="2"/>
  <c r="I49" i="2"/>
  <c r="J49" i="2"/>
  <c r="K49" i="2"/>
  <c r="L49" i="2"/>
  <c r="H50" i="2"/>
  <c r="I50" i="2"/>
  <c r="J50" i="2"/>
  <c r="K50" i="2"/>
  <c r="L50" i="2"/>
  <c r="H51" i="2"/>
  <c r="I51" i="2"/>
  <c r="J51" i="2"/>
  <c r="K51" i="2"/>
  <c r="L51" i="2"/>
  <c r="H52" i="2"/>
  <c r="I52" i="2"/>
  <c r="J52" i="2"/>
  <c r="K52" i="2"/>
  <c r="L52" i="2"/>
  <c r="H53" i="2"/>
  <c r="I53" i="2"/>
  <c r="J53" i="2"/>
  <c r="K53" i="2"/>
  <c r="L53" i="2"/>
  <c r="H54" i="2"/>
  <c r="I54" i="2"/>
  <c r="J54" i="2"/>
  <c r="K54" i="2"/>
  <c r="L54" i="2"/>
  <c r="H55" i="2"/>
  <c r="I55" i="2"/>
  <c r="J55" i="2"/>
  <c r="K55" i="2"/>
  <c r="L55" i="2"/>
  <c r="H56" i="2"/>
  <c r="I56" i="2"/>
  <c r="J56" i="2"/>
  <c r="K56" i="2"/>
  <c r="L56" i="2"/>
  <c r="H57" i="2"/>
  <c r="I57" i="2"/>
  <c r="J57" i="2"/>
  <c r="K57" i="2"/>
  <c r="L57" i="2"/>
  <c r="H58" i="2"/>
  <c r="I58" i="2"/>
  <c r="J58" i="2"/>
  <c r="K58" i="2"/>
  <c r="L58" i="2"/>
  <c r="H59" i="2"/>
  <c r="I59" i="2"/>
  <c r="J59" i="2"/>
  <c r="K59" i="2"/>
  <c r="L59" i="2"/>
  <c r="H60" i="2"/>
  <c r="I60" i="2"/>
  <c r="J60" i="2"/>
  <c r="K60" i="2"/>
  <c r="L60" i="2"/>
  <c r="H61" i="2"/>
  <c r="I61" i="2"/>
  <c r="J61" i="2"/>
  <c r="K61" i="2"/>
  <c r="L61" i="2"/>
  <c r="H62" i="2"/>
  <c r="I62" i="2"/>
  <c r="J62" i="2"/>
  <c r="K62" i="2"/>
  <c r="L62" i="2"/>
  <c r="H63" i="2"/>
  <c r="I63" i="2"/>
  <c r="J63" i="2"/>
  <c r="K63" i="2"/>
  <c r="L63" i="2"/>
  <c r="H64" i="2"/>
  <c r="I64" i="2"/>
  <c r="J64" i="2"/>
  <c r="K64" i="2"/>
  <c r="L64" i="2"/>
  <c r="H65" i="2"/>
  <c r="I65" i="2"/>
  <c r="J65" i="2"/>
  <c r="K65" i="2"/>
  <c r="L65" i="2"/>
  <c r="H66" i="2"/>
  <c r="I66" i="2"/>
  <c r="J66" i="2"/>
  <c r="K66" i="2"/>
  <c r="L66" i="2"/>
  <c r="H67" i="2"/>
  <c r="I67" i="2"/>
  <c r="J67" i="2"/>
  <c r="K67" i="2"/>
  <c r="L67" i="2"/>
  <c r="H68" i="2"/>
  <c r="I68" i="2"/>
  <c r="J68" i="2"/>
  <c r="K68" i="2"/>
  <c r="L68" i="2"/>
  <c r="H69" i="2"/>
  <c r="I69" i="2"/>
  <c r="J69" i="2"/>
  <c r="K69" i="2"/>
  <c r="L69" i="2"/>
  <c r="H70" i="2"/>
  <c r="I70" i="2"/>
  <c r="J70" i="2"/>
  <c r="K70" i="2"/>
  <c r="L70" i="2"/>
  <c r="H71" i="2"/>
  <c r="I71" i="2"/>
  <c r="J71" i="2"/>
  <c r="K71" i="2"/>
  <c r="L71" i="2"/>
  <c r="H72" i="2"/>
  <c r="I72" i="2"/>
  <c r="J72" i="2"/>
  <c r="K72" i="2"/>
  <c r="L72" i="2"/>
  <c r="H73" i="2"/>
  <c r="I73" i="2"/>
  <c r="J73" i="2"/>
  <c r="K73" i="2"/>
  <c r="L73" i="2"/>
  <c r="H74" i="2"/>
  <c r="I74" i="2"/>
  <c r="J74" i="2"/>
  <c r="K74" i="2"/>
  <c r="L74" i="2"/>
  <c r="H75" i="2"/>
  <c r="I75" i="2"/>
  <c r="J75" i="2"/>
  <c r="K75" i="2"/>
  <c r="L75" i="2"/>
  <c r="H76" i="2"/>
  <c r="I76" i="2"/>
  <c r="J76" i="2"/>
  <c r="K76" i="2"/>
  <c r="L76" i="2"/>
  <c r="H77" i="2"/>
  <c r="I77" i="2"/>
  <c r="J77" i="2"/>
  <c r="K77" i="2"/>
  <c r="L77" i="2"/>
  <c r="H78" i="2"/>
  <c r="I78" i="2"/>
  <c r="J78" i="2"/>
  <c r="K78" i="2"/>
  <c r="L78" i="2"/>
  <c r="H79" i="2"/>
  <c r="I79" i="2"/>
  <c r="J79" i="2"/>
  <c r="K79" i="2"/>
  <c r="L79" i="2"/>
  <c r="H80" i="2"/>
  <c r="I80" i="2"/>
  <c r="J80" i="2"/>
  <c r="K80" i="2"/>
  <c r="L80" i="2"/>
  <c r="H81" i="2"/>
  <c r="I81" i="2"/>
  <c r="J81" i="2"/>
  <c r="K81" i="2"/>
  <c r="L81" i="2"/>
  <c r="H82" i="2"/>
  <c r="I82" i="2"/>
  <c r="J82" i="2"/>
  <c r="K82" i="2"/>
  <c r="L82" i="2"/>
  <c r="H83" i="2"/>
  <c r="I83" i="2"/>
  <c r="J83" i="2"/>
  <c r="K83" i="2"/>
  <c r="L83" i="2"/>
  <c r="H84" i="2"/>
  <c r="I84" i="2"/>
  <c r="J84" i="2"/>
  <c r="K84" i="2"/>
  <c r="L84" i="2"/>
  <c r="H85" i="2"/>
  <c r="I85" i="2"/>
  <c r="J85" i="2"/>
  <c r="K85" i="2"/>
  <c r="L85" i="2"/>
  <c r="H86" i="2"/>
  <c r="I86" i="2"/>
  <c r="J86" i="2"/>
  <c r="K86" i="2"/>
  <c r="L86" i="2"/>
  <c r="H87" i="2"/>
  <c r="I87" i="2"/>
  <c r="J87" i="2"/>
  <c r="K87" i="2"/>
  <c r="L87" i="2"/>
  <c r="H88" i="2"/>
  <c r="I88" i="2"/>
  <c r="J88" i="2"/>
  <c r="K88" i="2"/>
  <c r="L88" i="2"/>
  <c r="H89" i="2"/>
  <c r="I89" i="2"/>
  <c r="J89" i="2"/>
  <c r="K89" i="2"/>
  <c r="L89" i="2"/>
  <c r="H90" i="2"/>
  <c r="I90" i="2"/>
  <c r="J90" i="2"/>
  <c r="K90" i="2"/>
  <c r="L90" i="2"/>
  <c r="H91" i="2"/>
  <c r="I91" i="2"/>
  <c r="J91" i="2"/>
  <c r="K91" i="2"/>
  <c r="L91" i="2"/>
  <c r="H92" i="2"/>
  <c r="I92" i="2"/>
  <c r="J92" i="2"/>
  <c r="K92" i="2"/>
  <c r="L92" i="2"/>
  <c r="H93" i="2"/>
  <c r="I93" i="2"/>
  <c r="J93" i="2"/>
  <c r="K93" i="2"/>
  <c r="L93" i="2"/>
  <c r="H94" i="2"/>
  <c r="I94" i="2"/>
  <c r="J94" i="2"/>
  <c r="K94" i="2"/>
  <c r="L94" i="2"/>
  <c r="H95" i="2"/>
  <c r="I95" i="2"/>
  <c r="J95" i="2"/>
  <c r="K95" i="2"/>
  <c r="L95" i="2"/>
  <c r="H96" i="2"/>
  <c r="I96" i="2"/>
  <c r="J96" i="2"/>
  <c r="K96" i="2"/>
  <c r="L96" i="2"/>
  <c r="H97" i="2"/>
  <c r="I97" i="2"/>
  <c r="J97" i="2"/>
  <c r="K97" i="2"/>
  <c r="L97" i="2"/>
  <c r="H98" i="2"/>
  <c r="I98" i="2"/>
  <c r="J98" i="2"/>
  <c r="K98" i="2"/>
  <c r="L98" i="2"/>
  <c r="H99" i="2"/>
  <c r="I99" i="2"/>
  <c r="J99" i="2"/>
  <c r="K99" i="2"/>
  <c r="L99" i="2"/>
  <c r="H100" i="2"/>
  <c r="I100" i="2"/>
  <c r="J100" i="2"/>
  <c r="K100" i="2"/>
  <c r="L100" i="2"/>
  <c r="H101" i="2"/>
  <c r="I101" i="2"/>
  <c r="J101" i="2"/>
  <c r="K101" i="2"/>
  <c r="L101" i="2"/>
  <c r="H102" i="2"/>
  <c r="I102" i="2"/>
  <c r="J102" i="2"/>
  <c r="K102" i="2"/>
  <c r="L102" i="2"/>
  <c r="H103" i="2"/>
  <c r="I103" i="2"/>
  <c r="J103" i="2"/>
  <c r="K103" i="2"/>
  <c r="L103" i="2"/>
  <c r="H104" i="2"/>
  <c r="I104" i="2"/>
  <c r="J104" i="2"/>
  <c r="K104" i="2"/>
  <c r="L104" i="2"/>
  <c r="H105" i="2"/>
  <c r="I105" i="2"/>
  <c r="J105" i="2"/>
  <c r="K105" i="2"/>
  <c r="L105" i="2"/>
  <c r="H106" i="2"/>
  <c r="I106" i="2"/>
  <c r="J106" i="2"/>
  <c r="K106" i="2"/>
  <c r="L106" i="2"/>
  <c r="H107" i="2"/>
  <c r="I107" i="2"/>
  <c r="J107" i="2"/>
  <c r="K107" i="2"/>
  <c r="L107" i="2"/>
  <c r="H108" i="2"/>
  <c r="I108" i="2"/>
  <c r="J108" i="2"/>
  <c r="K108" i="2"/>
  <c r="L108" i="2"/>
  <c r="H109" i="2"/>
  <c r="I109" i="2"/>
  <c r="J109" i="2"/>
  <c r="K109" i="2"/>
  <c r="L109" i="2"/>
  <c r="H110" i="2"/>
  <c r="I110" i="2"/>
  <c r="J110" i="2"/>
  <c r="K110" i="2"/>
  <c r="L110" i="2"/>
  <c r="H111" i="2"/>
  <c r="I111" i="2"/>
  <c r="J111" i="2"/>
  <c r="K111" i="2"/>
  <c r="L111" i="2"/>
  <c r="H112" i="2"/>
  <c r="I112" i="2"/>
  <c r="J112" i="2"/>
  <c r="K112" i="2"/>
  <c r="L112" i="2"/>
  <c r="H113" i="2"/>
  <c r="I113" i="2"/>
  <c r="J113" i="2"/>
  <c r="K113" i="2"/>
  <c r="L113" i="2"/>
  <c r="H114" i="2"/>
  <c r="I114" i="2"/>
  <c r="J114" i="2"/>
  <c r="K114" i="2"/>
  <c r="L114" i="2"/>
  <c r="H115" i="2"/>
  <c r="I115" i="2"/>
  <c r="J115" i="2"/>
  <c r="K115" i="2"/>
  <c r="L115" i="2"/>
  <c r="H116" i="2"/>
  <c r="I116" i="2"/>
  <c r="J116" i="2"/>
  <c r="K116" i="2"/>
  <c r="L116" i="2"/>
  <c r="H117" i="2"/>
  <c r="I117" i="2"/>
  <c r="J117" i="2"/>
  <c r="K117" i="2"/>
  <c r="L117" i="2"/>
  <c r="H118" i="2"/>
  <c r="I118" i="2"/>
  <c r="J118" i="2"/>
  <c r="K118" i="2"/>
  <c r="L118" i="2"/>
  <c r="H119" i="2"/>
  <c r="I119" i="2"/>
  <c r="J119" i="2"/>
  <c r="K119" i="2"/>
  <c r="L119" i="2"/>
  <c r="H120" i="2"/>
  <c r="I120" i="2"/>
  <c r="J120" i="2"/>
  <c r="K120" i="2"/>
  <c r="L120" i="2"/>
  <c r="H121" i="2"/>
  <c r="I121" i="2"/>
  <c r="J121" i="2"/>
  <c r="K121" i="2"/>
  <c r="L121" i="2"/>
  <c r="H122" i="2"/>
  <c r="I122" i="2"/>
  <c r="J122" i="2"/>
  <c r="K122" i="2"/>
  <c r="L122" i="2"/>
  <c r="H123" i="2"/>
  <c r="I123" i="2"/>
  <c r="J123" i="2"/>
  <c r="K123" i="2"/>
  <c r="L123" i="2"/>
  <c r="H124" i="2"/>
  <c r="I124" i="2"/>
  <c r="J124" i="2"/>
  <c r="K124" i="2"/>
  <c r="L124" i="2"/>
  <c r="H125" i="2"/>
  <c r="I125" i="2"/>
  <c r="J125" i="2"/>
  <c r="K125" i="2"/>
  <c r="L125" i="2"/>
  <c r="H126" i="2"/>
  <c r="I126" i="2"/>
  <c r="J126" i="2"/>
  <c r="K126" i="2"/>
  <c r="L126" i="2"/>
  <c r="H127" i="2"/>
  <c r="I127" i="2"/>
  <c r="J127" i="2"/>
  <c r="K127" i="2"/>
  <c r="L127" i="2"/>
  <c r="H128" i="2"/>
  <c r="I128" i="2"/>
  <c r="J128" i="2"/>
  <c r="K128" i="2"/>
  <c r="L128" i="2"/>
  <c r="H129" i="2"/>
  <c r="I129" i="2"/>
  <c r="J129" i="2"/>
  <c r="K129" i="2"/>
  <c r="L129" i="2"/>
  <c r="H130" i="2"/>
  <c r="I130" i="2"/>
  <c r="J130" i="2"/>
  <c r="K130" i="2"/>
  <c r="L130" i="2"/>
  <c r="H131" i="2"/>
  <c r="I131" i="2"/>
  <c r="J131" i="2"/>
  <c r="K131" i="2"/>
  <c r="L131" i="2"/>
  <c r="H132" i="2"/>
  <c r="I132" i="2"/>
  <c r="J132" i="2"/>
  <c r="K132" i="2"/>
  <c r="L132" i="2"/>
  <c r="H133" i="2"/>
  <c r="I133" i="2"/>
  <c r="J133" i="2"/>
  <c r="K133" i="2"/>
  <c r="L133" i="2"/>
  <c r="H134" i="2"/>
  <c r="I134" i="2"/>
  <c r="J134" i="2"/>
  <c r="K134" i="2"/>
  <c r="L134" i="2"/>
  <c r="H135" i="2"/>
  <c r="I135" i="2"/>
  <c r="J135" i="2"/>
  <c r="K135" i="2"/>
  <c r="L135" i="2"/>
  <c r="H136" i="2"/>
  <c r="I136" i="2"/>
  <c r="J136" i="2"/>
  <c r="K136" i="2"/>
  <c r="L136" i="2"/>
  <c r="H137" i="2"/>
  <c r="I137" i="2"/>
  <c r="J137" i="2"/>
  <c r="K137" i="2"/>
  <c r="L137" i="2"/>
  <c r="H138" i="2"/>
  <c r="I138" i="2"/>
  <c r="J138" i="2"/>
  <c r="K138" i="2"/>
  <c r="L138" i="2"/>
  <c r="H139" i="2"/>
  <c r="I139" i="2"/>
  <c r="J139" i="2"/>
  <c r="K139" i="2"/>
  <c r="L139" i="2"/>
  <c r="H3" i="2"/>
  <c r="I3" i="2"/>
  <c r="J3" i="2"/>
  <c r="K3" i="2"/>
  <c r="L3" i="2"/>
  <c r="H4" i="2"/>
  <c r="I4" i="2"/>
  <c r="J4" i="2"/>
  <c r="K4" i="2"/>
  <c r="L4" i="2"/>
  <c r="H5" i="2"/>
  <c r="I5" i="2"/>
  <c r="J5" i="2"/>
  <c r="K5" i="2"/>
  <c r="L5" i="2"/>
  <c r="I2" i="2"/>
  <c r="J2" i="2"/>
  <c r="K2" i="2"/>
  <c r="L2" i="2"/>
  <c r="AO3" i="1" l="1"/>
  <c r="B5" i="7" s="1"/>
  <c r="Q3" i="5"/>
  <c r="Y2" i="5"/>
  <c r="Y3" i="5"/>
  <c r="W3" i="5"/>
  <c r="U3" i="5"/>
  <c r="S2" i="5"/>
  <c r="AH3" i="1"/>
  <c r="B4" i="7" s="1"/>
  <c r="S3" i="5"/>
  <c r="U2" i="5"/>
  <c r="W2" i="5"/>
  <c r="Q2" i="5"/>
  <c r="Y4" i="5"/>
  <c r="AA3" i="1"/>
  <c r="S5" i="4"/>
  <c r="W2" i="4"/>
  <c r="Q3" i="4"/>
  <c r="Y3" i="4"/>
  <c r="W3" i="4"/>
  <c r="S4" i="4"/>
  <c r="W4" i="4"/>
  <c r="W3" i="3"/>
  <c r="S3" i="4"/>
  <c r="U3" i="4"/>
  <c r="T3" i="1"/>
  <c r="B2" i="7" s="1"/>
  <c r="W4" i="3"/>
  <c r="U4" i="3"/>
  <c r="S4" i="3"/>
  <c r="Q4" i="3"/>
  <c r="O4" i="3"/>
  <c r="U5" i="3"/>
  <c r="U3" i="3"/>
  <c r="S6" i="3"/>
  <c r="S5" i="3"/>
  <c r="Q6" i="3"/>
  <c r="M3" i="1"/>
  <c r="O2" i="3"/>
  <c r="O8" i="3"/>
  <c r="X6" i="2"/>
  <c r="X5" i="2"/>
  <c r="X4" i="2"/>
  <c r="X3" i="2"/>
  <c r="T5" i="2"/>
  <c r="V5" i="2"/>
  <c r="V6" i="2"/>
  <c r="V8" i="2"/>
  <c r="V7" i="2"/>
  <c r="T6" i="2"/>
  <c r="T7" i="2"/>
  <c r="T4" i="2"/>
  <c r="R5" i="2"/>
  <c r="T9" i="2"/>
  <c r="R7" i="2"/>
  <c r="R8" i="2"/>
  <c r="R6" i="2"/>
  <c r="R9" i="2"/>
  <c r="P3" i="2"/>
  <c r="P2" i="2"/>
  <c r="P5" i="2"/>
  <c r="P8" i="2"/>
  <c r="B6" i="7" l="1"/>
  <c r="I9" i="7" s="1"/>
  <c r="I12" i="7"/>
  <c r="I8" i="7" l="1"/>
  <c r="I7" i="7"/>
  <c r="I13" i="7" s="1"/>
  <c r="I10" i="7"/>
  <c r="I11" i="7"/>
</calcChain>
</file>

<file path=xl/sharedStrings.xml><?xml version="1.0" encoding="utf-8"?>
<sst xmlns="http://schemas.openxmlformats.org/spreadsheetml/2006/main" count="921" uniqueCount="220">
  <si>
    <t>fixed cost</t>
  </si>
  <si>
    <t>2021-2022</t>
  </si>
  <si>
    <t>2020-2021</t>
  </si>
  <si>
    <t>2019-2020</t>
  </si>
  <si>
    <t>2018-2019</t>
  </si>
  <si>
    <t>2017-2018</t>
  </si>
  <si>
    <t>2016-2017</t>
  </si>
  <si>
    <t>2015-2016</t>
  </si>
  <si>
    <t>2014-2015</t>
  </si>
  <si>
    <t>2013-2014</t>
  </si>
  <si>
    <t>2012-2013</t>
  </si>
  <si>
    <t>2011-2012</t>
  </si>
  <si>
    <t>2010-2011</t>
  </si>
  <si>
    <t>2009-2010</t>
  </si>
  <si>
    <t>2008-2009</t>
  </si>
  <si>
    <t>2007-2008</t>
  </si>
  <si>
    <t>2006-2007</t>
  </si>
  <si>
    <t>2005-2006</t>
  </si>
  <si>
    <t>2004-2005</t>
  </si>
  <si>
    <t>2003-2004</t>
  </si>
  <si>
    <t>2002-2003</t>
  </si>
  <si>
    <t>2001-2002</t>
  </si>
  <si>
    <t>2000-2001</t>
  </si>
  <si>
    <t>1999-2000</t>
  </si>
  <si>
    <t>1998-1999</t>
  </si>
  <si>
    <t>1997-1998</t>
  </si>
  <si>
    <t>1996-1997</t>
  </si>
  <si>
    <t>1995-1996</t>
  </si>
  <si>
    <t>1994-1995</t>
  </si>
  <si>
    <t>1993-1994</t>
  </si>
  <si>
    <t>1992-1993</t>
  </si>
  <si>
    <t>1991-1992</t>
  </si>
  <si>
    <t>1990-1991</t>
  </si>
  <si>
    <t>1989-1990</t>
  </si>
  <si>
    <t>1988-1989</t>
  </si>
  <si>
    <t>1987-1988</t>
  </si>
  <si>
    <t>1986-1987</t>
  </si>
  <si>
    <t>1985-1986</t>
  </si>
  <si>
    <t>1984-1985</t>
  </si>
  <si>
    <t>1983-1984</t>
  </si>
  <si>
    <t>1982-1983</t>
  </si>
  <si>
    <t>1981-1982</t>
  </si>
  <si>
    <t>1980-1981</t>
  </si>
  <si>
    <t>1979-1980</t>
  </si>
  <si>
    <t>1978-1979</t>
  </si>
  <si>
    <t>1977-1978</t>
  </si>
  <si>
    <t>1976-1977</t>
  </si>
  <si>
    <t>1975-1976</t>
  </si>
  <si>
    <t>1974-1975</t>
  </si>
  <si>
    <t>1973-1974</t>
  </si>
  <si>
    <t>1972-1973</t>
  </si>
  <si>
    <t>1971-1972</t>
  </si>
  <si>
    <t>1970-1971</t>
  </si>
  <si>
    <t>1969-1970</t>
  </si>
  <si>
    <t>1968-1969</t>
  </si>
  <si>
    <t>1967-1968</t>
  </si>
  <si>
    <t>1966-1967</t>
  </si>
  <si>
    <t>1965-1966</t>
  </si>
  <si>
    <t>1964-1965</t>
  </si>
  <si>
    <t>1963-1964</t>
  </si>
  <si>
    <t>1962-1963</t>
  </si>
  <si>
    <t>1961-1962</t>
  </si>
  <si>
    <t>1960-1961</t>
  </si>
  <si>
    <t>1959-1960</t>
  </si>
  <si>
    <t>1958-1959</t>
  </si>
  <si>
    <t>1957-1958</t>
  </si>
  <si>
    <t>1956-1957</t>
  </si>
  <si>
    <t>1955-1956</t>
  </si>
  <si>
    <t>1954-1955</t>
  </si>
  <si>
    <t>1953-1954</t>
  </si>
  <si>
    <t>1952-1953</t>
  </si>
  <si>
    <t>1951-1952</t>
  </si>
  <si>
    <t>1950-1951</t>
  </si>
  <si>
    <t>1949-1950</t>
  </si>
  <si>
    <t>1948-1949</t>
  </si>
  <si>
    <t>1947-1948</t>
  </si>
  <si>
    <t>1946-1947</t>
  </si>
  <si>
    <t>1945-1946</t>
  </si>
  <si>
    <t>1944-1945</t>
  </si>
  <si>
    <t>1943-1944</t>
  </si>
  <si>
    <t>1942-1943</t>
  </si>
  <si>
    <t>1941-1942</t>
  </si>
  <si>
    <t>1940-1941</t>
  </si>
  <si>
    <t>1939-1940</t>
  </si>
  <si>
    <t>1938-1939</t>
  </si>
  <si>
    <t>1937-1938</t>
  </si>
  <si>
    <t>1936-1937</t>
  </si>
  <si>
    <t>1935-1936</t>
  </si>
  <si>
    <t>1934-1935</t>
  </si>
  <si>
    <t>1933-1934</t>
  </si>
  <si>
    <t>1932-1933</t>
  </si>
  <si>
    <t>1931-1932</t>
  </si>
  <si>
    <t>1930-1931</t>
  </si>
  <si>
    <t>1929-1930</t>
  </si>
  <si>
    <t>1928-1929</t>
  </si>
  <si>
    <t>1927-1928</t>
  </si>
  <si>
    <t>1926-1927</t>
  </si>
  <si>
    <t>1925-1926</t>
  </si>
  <si>
    <t>1924-1925</t>
  </si>
  <si>
    <t>1923-1924</t>
  </si>
  <si>
    <t>1922-1923</t>
  </si>
  <si>
    <t>1921-1922</t>
  </si>
  <si>
    <t>1920-1921</t>
  </si>
  <si>
    <t>1919-1920</t>
  </si>
  <si>
    <t>1918-1919</t>
  </si>
  <si>
    <t>1917-1918</t>
  </si>
  <si>
    <t>1916-1917</t>
  </si>
  <si>
    <t>1915-1916</t>
  </si>
  <si>
    <t>1914-1915</t>
  </si>
  <si>
    <t>1913-1914</t>
  </si>
  <si>
    <t>1912-1913</t>
  </si>
  <si>
    <t>1911-1912</t>
  </si>
  <si>
    <t>1910-1911</t>
  </si>
  <si>
    <t>1909-1910</t>
  </si>
  <si>
    <t>1908-1909</t>
  </si>
  <si>
    <t>1907-1908</t>
  </si>
  <si>
    <t>1906-1907</t>
  </si>
  <si>
    <t>1905-1906</t>
  </si>
  <si>
    <t>1904-1905</t>
  </si>
  <si>
    <t>1903-1904</t>
  </si>
  <si>
    <t>1902-1903</t>
  </si>
  <si>
    <t>1901-1902</t>
  </si>
  <si>
    <t>1900-1901</t>
  </si>
  <si>
    <t>1899-1900</t>
  </si>
  <si>
    <t>1898-1899</t>
  </si>
  <si>
    <t>1897-1898</t>
  </si>
  <si>
    <t>1896-1897</t>
  </si>
  <si>
    <t>1895-1896</t>
  </si>
  <si>
    <t>1894-1895</t>
  </si>
  <si>
    <t>1893-1894</t>
  </si>
  <si>
    <t>1892-1893</t>
  </si>
  <si>
    <t>1891-1892</t>
  </si>
  <si>
    <t>1890-1891</t>
  </si>
  <si>
    <t>1889-1890</t>
  </si>
  <si>
    <t>1888-1889</t>
  </si>
  <si>
    <t>1887-1888</t>
  </si>
  <si>
    <t>1886-1887</t>
  </si>
  <si>
    <t>1885-1886</t>
  </si>
  <si>
    <t>1884-1885</t>
  </si>
  <si>
    <t>Season</t>
  </si>
  <si>
    <t>Nov</t>
  </si>
  <si>
    <t>Dec</t>
  </si>
  <si>
    <t>Jan</t>
  </si>
  <si>
    <t>Feb</t>
  </si>
  <si>
    <t>Mar</t>
  </si>
  <si>
    <t>2-4</t>
  </si>
  <si>
    <t>4-6</t>
  </si>
  <si>
    <t>6-8</t>
  </si>
  <si>
    <t>12-+</t>
  </si>
  <si>
    <t>8-12</t>
  </si>
  <si>
    <t>Fixed cost whole year</t>
  </si>
  <si>
    <t>cont for NOV</t>
  </si>
  <si>
    <t>Count for DEC</t>
  </si>
  <si>
    <t>Count of JAN</t>
  </si>
  <si>
    <t>Count FEB</t>
  </si>
  <si>
    <t>count of march</t>
  </si>
  <si>
    <t>Low end</t>
  </si>
  <si>
    <t>Upper end</t>
  </si>
  <si>
    <t>Nov 2-4 in</t>
  </si>
  <si>
    <t>NOV</t>
  </si>
  <si>
    <t>DEC</t>
  </si>
  <si>
    <t>DEC 2-4 IN</t>
  </si>
  <si>
    <t>JAN 2-4 IN</t>
  </si>
  <si>
    <t>FEB 2-4 IN</t>
  </si>
  <si>
    <t>MAR 2-4 IN</t>
  </si>
  <si>
    <t>Total 2-4 IN cost</t>
  </si>
  <si>
    <t>Count NOV</t>
  </si>
  <si>
    <t>4-6 IN</t>
  </si>
  <si>
    <t>Nov4-6 IN</t>
  </si>
  <si>
    <t>Dec 4-6 IN</t>
  </si>
  <si>
    <t>JAN 4-6 IN</t>
  </si>
  <si>
    <t>FEB 4-6 IN</t>
  </si>
  <si>
    <t>Mar 4-6 IN</t>
  </si>
  <si>
    <t>Total 4-6 IN cost</t>
  </si>
  <si>
    <t>count for NOV</t>
  </si>
  <si>
    <t>count for dec</t>
  </si>
  <si>
    <t>count for Jan</t>
  </si>
  <si>
    <t>count for feb</t>
  </si>
  <si>
    <t>count for marc</t>
  </si>
  <si>
    <t>6-8 IN</t>
  </si>
  <si>
    <t>Nove 6-8</t>
  </si>
  <si>
    <t>Dec 6-8</t>
  </si>
  <si>
    <t>Jan 6-8</t>
  </si>
  <si>
    <t>Feb 6-8</t>
  </si>
  <si>
    <t>Mar 6-8</t>
  </si>
  <si>
    <t>Total 6-8 cost</t>
  </si>
  <si>
    <t>8-12 IN</t>
  </si>
  <si>
    <t>count of nov</t>
  </si>
  <si>
    <t>count of dec</t>
  </si>
  <si>
    <t>count of jan</t>
  </si>
  <si>
    <t>count of feb</t>
  </si>
  <si>
    <t>coung of march</t>
  </si>
  <si>
    <t>Nov 8-12</t>
  </si>
  <si>
    <t>Dec 8-12</t>
  </si>
  <si>
    <t>Jan 8-12</t>
  </si>
  <si>
    <t>Feb 8-12</t>
  </si>
  <si>
    <t>Mar 8-12</t>
  </si>
  <si>
    <t>Total cost 8-12</t>
  </si>
  <si>
    <t>12+</t>
  </si>
  <si>
    <t>Nov 12+</t>
  </si>
  <si>
    <t>Dec 12+</t>
  </si>
  <si>
    <t>Jan 12+</t>
  </si>
  <si>
    <t>Feb 12+</t>
  </si>
  <si>
    <t>Mar 12+</t>
  </si>
  <si>
    <t>Total cost 12 +</t>
  </si>
  <si>
    <t>Total cost for 2-4</t>
  </si>
  <si>
    <t>total cost for 4-6</t>
  </si>
  <si>
    <t>total cost 6-8</t>
  </si>
  <si>
    <t>total cost 8-12</t>
  </si>
  <si>
    <t>total cost for 12+</t>
  </si>
  <si>
    <t>total cost for winter</t>
  </si>
  <si>
    <t>Count</t>
  </si>
  <si>
    <t>Minimum</t>
  </si>
  <si>
    <t>Maximum</t>
  </si>
  <si>
    <t>Average</t>
  </si>
  <si>
    <t>Standard Deviation</t>
  </si>
  <si>
    <t>number of times doing verialbe cost is cheaper</t>
  </si>
  <si>
    <t>percenate of times doing fix is cheaper</t>
  </si>
  <si>
    <t>Simulation</t>
  </si>
  <si>
    <t>Snow events by Inches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</si>
</sst>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333333"/>
      <name val="Open Sans"/>
      <family val="2"/>
    </font>
    <font>
      <sz val="11"/>
      <color theme="1"/>
      <name val="Open Sans"/>
      <family val="2"/>
    </font>
    <font>
      <sz val="8"/>
      <name val="Calibri"/>
      <family val="2"/>
      <scheme val="minor"/>
    </font>
    <font>
      <b/>
      <sz val="12"/>
      <color rgb="FF333333"/>
      <name val="Open Sans"/>
      <family val="2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2F2F2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/>
      <right/>
      <top/>
      <bottom style="medium">
        <color rgb="FF11111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6" borderId="7" applyNumberFormat="0" applyAlignment="0" applyProtection="0"/>
    <xf numFmtId="0" fontId="7" fillId="6" borderId="6" applyNumberFormat="0" applyAlignment="0" applyProtection="0"/>
  </cellStyleXfs>
  <cellXfs count="35">
    <xf numFmtId="0" fontId="0" fillId="0" borderId="0" xfId="0"/>
    <xf numFmtId="44" fontId="0" fillId="0" borderId="0" xfId="1" applyFont="1"/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left" vertical="center" wrapText="1"/>
    </xf>
    <xf numFmtId="49" fontId="0" fillId="0" borderId="0" xfId="0" applyNumberFormat="1"/>
    <xf numFmtId="0" fontId="0" fillId="0" borderId="0" xfId="0" quotePrefix="1"/>
    <xf numFmtId="16" fontId="0" fillId="0" borderId="0" xfId="0" quotePrefix="1" applyNumberFormat="1"/>
    <xf numFmtId="0" fontId="0" fillId="5" borderId="0" xfId="0" applyFill="1"/>
    <xf numFmtId="44" fontId="0" fillId="0" borderId="0" xfId="0" applyNumberFormat="1"/>
    <xf numFmtId="0" fontId="0" fillId="0" borderId="0" xfId="0" applyAlignment="1"/>
    <xf numFmtId="0" fontId="0" fillId="0" borderId="0" xfId="0" applyNumberFormat="1"/>
    <xf numFmtId="44" fontId="0" fillId="5" borderId="0" xfId="1" applyFont="1" applyFill="1"/>
    <xf numFmtId="9" fontId="0" fillId="0" borderId="0" xfId="2" applyFont="1"/>
    <xf numFmtId="0" fontId="7" fillId="6" borderId="6" xfId="4"/>
    <xf numFmtId="44" fontId="7" fillId="6" borderId="6" xfId="4" applyNumberFormat="1"/>
    <xf numFmtId="0" fontId="6" fillId="6" borderId="7" xfId="3"/>
    <xf numFmtId="44" fontId="6" fillId="6" borderId="7" xfId="3" applyNumberFormat="1"/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16" fontId="0" fillId="7" borderId="0" xfId="0" applyNumberFormat="1" applyFill="1" applyAlignment="1">
      <alignment horizontal="center"/>
    </xf>
    <xf numFmtId="0" fontId="8" fillId="8" borderId="0" xfId="0" applyFont="1" applyFill="1" applyAlignment="1">
      <alignment horizontal="center"/>
    </xf>
    <xf numFmtId="16" fontId="8" fillId="7" borderId="0" xfId="0" quotePrefix="1" applyNumberFormat="1" applyFont="1" applyFill="1" applyAlignment="1">
      <alignment horizontal="center"/>
    </xf>
    <xf numFmtId="0" fontId="8" fillId="7" borderId="0" xfId="0" applyFont="1" applyFill="1" applyAlignment="1">
      <alignment horizontal="center"/>
    </xf>
  </cellXfs>
  <cellStyles count="5">
    <cellStyle name="Calculation" xfId="4" builtinId="22"/>
    <cellStyle name="Currency" xfId="1" builtinId="4"/>
    <cellStyle name="Normal" xfId="0" builtinId="0"/>
    <cellStyle name="Output" xfId="3" builtinId="21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D9830-8BBD-468B-B72E-D86893BA166B}">
  <dimension ref="A1:I1006"/>
  <sheetViews>
    <sheetView tabSelected="1" topLeftCell="A4" workbookViewId="0">
      <selection activeCell="L9" sqref="L9"/>
    </sheetView>
  </sheetViews>
  <sheetFormatPr defaultRowHeight="14.5" x14ac:dyDescent="0.35"/>
  <cols>
    <col min="1" max="1" width="17.36328125" bestFit="1" customWidth="1"/>
    <col min="2" max="2" width="10.08984375" bestFit="1" customWidth="1"/>
    <col min="4" max="4" width="10.08984375" bestFit="1" customWidth="1"/>
    <col min="8" max="8" width="40.1796875" bestFit="1" customWidth="1"/>
    <col min="9" max="9" width="10.08984375" bestFit="1" customWidth="1"/>
  </cols>
  <sheetData>
    <row r="1" spans="1:9" x14ac:dyDescent="0.35">
      <c r="A1" s="25" t="s">
        <v>205</v>
      </c>
      <c r="B1" s="26">
        <f ca="1">VLOOKUP(RANDBETWEEN(1,1000),'cost sheets'!$G$2:$M$1002,7,FALSE)</f>
        <v>60</v>
      </c>
      <c r="C1" t="s">
        <v>150</v>
      </c>
      <c r="D1" s="20">
        <f>'cost sheets'!D1</f>
        <v>900</v>
      </c>
    </row>
    <row r="2" spans="1:9" x14ac:dyDescent="0.35">
      <c r="A2" s="25" t="s">
        <v>206</v>
      </c>
      <c r="B2" s="26">
        <f ca="1">VLOOKUP(RANDBETWEEN(1,1000),'cost sheets'!N2:T1002,7,FALSE)</f>
        <v>0</v>
      </c>
    </row>
    <row r="3" spans="1:9" x14ac:dyDescent="0.35">
      <c r="A3" s="25" t="s">
        <v>207</v>
      </c>
      <c r="B3" s="26">
        <f ca="1">VLOOKUP(RANDBETWEEN(1,1000),'cost sheets'!U2:AA1002,7,FALSE)</f>
        <v>100</v>
      </c>
    </row>
    <row r="4" spans="1:9" x14ac:dyDescent="0.35">
      <c r="A4" s="25" t="s">
        <v>208</v>
      </c>
      <c r="B4" s="26">
        <f ca="1">VLOOKUP(RANDBETWEEN(1,1000),'cost sheets'!AB2:AH1002,7,FALSE)</f>
        <v>0</v>
      </c>
    </row>
    <row r="5" spans="1:9" x14ac:dyDescent="0.35">
      <c r="A5" s="25" t="s">
        <v>209</v>
      </c>
      <c r="B5" s="26">
        <f ca="1">VLOOKUP(RANDBETWEEN(1,1000),'cost sheets'!AI2:AO1002,7,FALSE)</f>
        <v>0</v>
      </c>
    </row>
    <row r="6" spans="1:9" x14ac:dyDescent="0.35">
      <c r="A6" s="27" t="s">
        <v>210</v>
      </c>
      <c r="B6" s="28">
        <f ca="1">SUM(B1:B5)</f>
        <v>160</v>
      </c>
    </row>
    <row r="7" spans="1:9" x14ac:dyDescent="0.35">
      <c r="A7">
        <v>2</v>
      </c>
      <c r="B7" s="1">
        <f t="dataTable" ref="B7:B1006" dt2D="0" dtr="0" r1="C1" ca="1"/>
        <v>580</v>
      </c>
      <c r="H7" t="s">
        <v>211</v>
      </c>
      <c r="I7">
        <f ca="1">COUNT(B6:B1005)</f>
        <v>1000</v>
      </c>
    </row>
    <row r="8" spans="1:9" x14ac:dyDescent="0.35">
      <c r="A8">
        <v>3</v>
      </c>
      <c r="B8" s="1">
        <v>680</v>
      </c>
      <c r="H8" t="s">
        <v>212</v>
      </c>
      <c r="I8" s="20">
        <f ca="1">MIN(B6:B1005)</f>
        <v>0</v>
      </c>
    </row>
    <row r="9" spans="1:9" x14ac:dyDescent="0.35">
      <c r="A9">
        <v>4</v>
      </c>
      <c r="B9" s="1">
        <v>360</v>
      </c>
      <c r="H9" t="s">
        <v>213</v>
      </c>
      <c r="I9" s="20">
        <f ca="1">MAX(B6:B1005)</f>
        <v>1950</v>
      </c>
    </row>
    <row r="10" spans="1:9" x14ac:dyDescent="0.35">
      <c r="A10">
        <v>5</v>
      </c>
      <c r="B10" s="1">
        <v>1070</v>
      </c>
      <c r="H10" t="s">
        <v>214</v>
      </c>
      <c r="I10" s="20">
        <f ca="1">AVERAGE(B6:B1005)</f>
        <v>647.36</v>
      </c>
    </row>
    <row r="11" spans="1:9" x14ac:dyDescent="0.35">
      <c r="A11">
        <v>6</v>
      </c>
      <c r="B11" s="1">
        <v>500</v>
      </c>
      <c r="H11" t="s">
        <v>215</v>
      </c>
      <c r="I11" s="1">
        <f ca="1">_xlfn.STDEV.S(B6:B1005)</f>
        <v>264.04535661577222</v>
      </c>
    </row>
    <row r="12" spans="1:9" x14ac:dyDescent="0.35">
      <c r="A12">
        <v>7</v>
      </c>
      <c r="B12" s="1">
        <v>520</v>
      </c>
      <c r="H12" t="s">
        <v>216</v>
      </c>
      <c r="I12">
        <f ca="1">COUNTIF(B6:B1005,"&lt;900")</f>
        <v>834</v>
      </c>
    </row>
    <row r="13" spans="1:9" x14ac:dyDescent="0.35">
      <c r="A13">
        <v>8</v>
      </c>
      <c r="B13" s="1">
        <v>840</v>
      </c>
      <c r="H13" t="s">
        <v>217</v>
      </c>
      <c r="I13" s="24">
        <f ca="1">I12/I7</f>
        <v>0.83399999999999996</v>
      </c>
    </row>
    <row r="14" spans="1:9" x14ac:dyDescent="0.35">
      <c r="A14">
        <v>9</v>
      </c>
      <c r="B14" s="1">
        <v>580</v>
      </c>
    </row>
    <row r="15" spans="1:9" x14ac:dyDescent="0.35">
      <c r="A15">
        <v>10</v>
      </c>
      <c r="B15" s="1">
        <v>450</v>
      </c>
    </row>
    <row r="16" spans="1:9" x14ac:dyDescent="0.35">
      <c r="A16">
        <v>11</v>
      </c>
      <c r="B16" s="1">
        <v>720</v>
      </c>
    </row>
    <row r="17" spans="1:2" x14ac:dyDescent="0.35">
      <c r="A17">
        <v>12</v>
      </c>
      <c r="B17" s="1">
        <v>570</v>
      </c>
    </row>
    <row r="18" spans="1:2" x14ac:dyDescent="0.35">
      <c r="A18">
        <v>13</v>
      </c>
      <c r="B18" s="1">
        <v>870</v>
      </c>
    </row>
    <row r="19" spans="1:2" x14ac:dyDescent="0.35">
      <c r="A19">
        <v>14</v>
      </c>
      <c r="B19" s="1">
        <v>750</v>
      </c>
    </row>
    <row r="20" spans="1:2" x14ac:dyDescent="0.35">
      <c r="A20">
        <v>15</v>
      </c>
      <c r="B20" s="1">
        <v>280</v>
      </c>
    </row>
    <row r="21" spans="1:2" x14ac:dyDescent="0.35">
      <c r="A21">
        <v>16</v>
      </c>
      <c r="B21" s="1">
        <v>950</v>
      </c>
    </row>
    <row r="22" spans="1:2" x14ac:dyDescent="0.35">
      <c r="A22">
        <v>17</v>
      </c>
      <c r="B22" s="1">
        <v>950</v>
      </c>
    </row>
    <row r="23" spans="1:2" x14ac:dyDescent="0.35">
      <c r="A23">
        <v>18</v>
      </c>
      <c r="B23" s="1">
        <v>1070</v>
      </c>
    </row>
    <row r="24" spans="1:2" x14ac:dyDescent="0.35">
      <c r="A24">
        <v>19</v>
      </c>
      <c r="B24" s="1">
        <v>1260</v>
      </c>
    </row>
    <row r="25" spans="1:2" x14ac:dyDescent="0.35">
      <c r="A25">
        <v>20</v>
      </c>
      <c r="B25" s="1">
        <v>220</v>
      </c>
    </row>
    <row r="26" spans="1:2" x14ac:dyDescent="0.35">
      <c r="A26">
        <v>21</v>
      </c>
      <c r="B26" s="1">
        <v>770</v>
      </c>
    </row>
    <row r="27" spans="1:2" x14ac:dyDescent="0.35">
      <c r="A27">
        <v>22</v>
      </c>
      <c r="B27" s="1">
        <v>680</v>
      </c>
    </row>
    <row r="28" spans="1:2" x14ac:dyDescent="0.35">
      <c r="A28">
        <v>23</v>
      </c>
      <c r="B28" s="1">
        <v>630</v>
      </c>
    </row>
    <row r="29" spans="1:2" x14ac:dyDescent="0.35">
      <c r="A29">
        <v>24</v>
      </c>
      <c r="B29" s="1">
        <v>430</v>
      </c>
    </row>
    <row r="30" spans="1:2" x14ac:dyDescent="0.35">
      <c r="A30">
        <v>25</v>
      </c>
      <c r="B30" s="1">
        <v>740</v>
      </c>
    </row>
    <row r="31" spans="1:2" x14ac:dyDescent="0.35">
      <c r="A31">
        <v>26</v>
      </c>
      <c r="B31" s="1">
        <v>890</v>
      </c>
    </row>
    <row r="32" spans="1:2" x14ac:dyDescent="0.35">
      <c r="A32">
        <v>27</v>
      </c>
      <c r="B32" s="1">
        <v>220</v>
      </c>
    </row>
    <row r="33" spans="1:2" x14ac:dyDescent="0.35">
      <c r="A33">
        <v>28</v>
      </c>
      <c r="B33" s="1">
        <v>470</v>
      </c>
    </row>
    <row r="34" spans="1:2" x14ac:dyDescent="0.35">
      <c r="A34">
        <v>29</v>
      </c>
      <c r="B34" s="1">
        <v>910</v>
      </c>
    </row>
    <row r="35" spans="1:2" x14ac:dyDescent="0.35">
      <c r="A35">
        <v>30</v>
      </c>
      <c r="B35" s="1">
        <v>730</v>
      </c>
    </row>
    <row r="36" spans="1:2" x14ac:dyDescent="0.35">
      <c r="A36">
        <v>31</v>
      </c>
      <c r="B36" s="1">
        <v>560</v>
      </c>
    </row>
    <row r="37" spans="1:2" x14ac:dyDescent="0.35">
      <c r="A37">
        <v>32</v>
      </c>
      <c r="B37" s="1">
        <v>600</v>
      </c>
    </row>
    <row r="38" spans="1:2" x14ac:dyDescent="0.35">
      <c r="A38">
        <v>33</v>
      </c>
      <c r="B38" s="1">
        <v>730</v>
      </c>
    </row>
    <row r="39" spans="1:2" x14ac:dyDescent="0.35">
      <c r="A39">
        <v>34</v>
      </c>
      <c r="B39" s="1">
        <v>540</v>
      </c>
    </row>
    <row r="40" spans="1:2" x14ac:dyDescent="0.35">
      <c r="A40">
        <v>35</v>
      </c>
      <c r="B40" s="1">
        <v>770</v>
      </c>
    </row>
    <row r="41" spans="1:2" x14ac:dyDescent="0.35">
      <c r="A41">
        <v>36</v>
      </c>
      <c r="B41" s="1">
        <v>380</v>
      </c>
    </row>
    <row r="42" spans="1:2" x14ac:dyDescent="0.35">
      <c r="A42">
        <v>37</v>
      </c>
      <c r="B42" s="1">
        <v>660</v>
      </c>
    </row>
    <row r="43" spans="1:2" x14ac:dyDescent="0.35">
      <c r="A43">
        <v>38</v>
      </c>
      <c r="B43" s="1">
        <v>400</v>
      </c>
    </row>
    <row r="44" spans="1:2" x14ac:dyDescent="0.35">
      <c r="A44">
        <v>39</v>
      </c>
      <c r="B44" s="1">
        <v>500</v>
      </c>
    </row>
    <row r="45" spans="1:2" x14ac:dyDescent="0.35">
      <c r="A45">
        <v>40</v>
      </c>
      <c r="B45" s="1">
        <v>560</v>
      </c>
    </row>
    <row r="46" spans="1:2" x14ac:dyDescent="0.35">
      <c r="A46">
        <v>41</v>
      </c>
      <c r="B46" s="1">
        <v>490</v>
      </c>
    </row>
    <row r="47" spans="1:2" x14ac:dyDescent="0.35">
      <c r="A47">
        <v>42</v>
      </c>
      <c r="B47" s="1">
        <v>560</v>
      </c>
    </row>
    <row r="48" spans="1:2" x14ac:dyDescent="0.35">
      <c r="A48">
        <v>43</v>
      </c>
      <c r="B48" s="1">
        <v>660</v>
      </c>
    </row>
    <row r="49" spans="1:2" x14ac:dyDescent="0.35">
      <c r="A49">
        <v>44</v>
      </c>
      <c r="B49" s="1">
        <v>380</v>
      </c>
    </row>
    <row r="50" spans="1:2" x14ac:dyDescent="0.35">
      <c r="A50">
        <v>45</v>
      </c>
      <c r="B50" s="1">
        <v>840</v>
      </c>
    </row>
    <row r="51" spans="1:2" x14ac:dyDescent="0.35">
      <c r="A51">
        <v>46</v>
      </c>
      <c r="B51" s="1">
        <v>770</v>
      </c>
    </row>
    <row r="52" spans="1:2" x14ac:dyDescent="0.35">
      <c r="A52">
        <v>47</v>
      </c>
      <c r="B52" s="1">
        <v>1050</v>
      </c>
    </row>
    <row r="53" spans="1:2" x14ac:dyDescent="0.35">
      <c r="A53">
        <v>48</v>
      </c>
      <c r="B53" s="1">
        <v>580</v>
      </c>
    </row>
    <row r="54" spans="1:2" x14ac:dyDescent="0.35">
      <c r="A54">
        <v>49</v>
      </c>
      <c r="B54" s="1">
        <v>840</v>
      </c>
    </row>
    <row r="55" spans="1:2" x14ac:dyDescent="0.35">
      <c r="A55">
        <v>50</v>
      </c>
      <c r="B55" s="1">
        <v>520</v>
      </c>
    </row>
    <row r="56" spans="1:2" x14ac:dyDescent="0.35">
      <c r="A56">
        <v>51</v>
      </c>
      <c r="B56" s="1">
        <v>800</v>
      </c>
    </row>
    <row r="57" spans="1:2" x14ac:dyDescent="0.35">
      <c r="A57">
        <v>52</v>
      </c>
      <c r="B57" s="1">
        <v>1270</v>
      </c>
    </row>
    <row r="58" spans="1:2" x14ac:dyDescent="0.35">
      <c r="A58">
        <v>53</v>
      </c>
      <c r="B58" s="1">
        <v>1270</v>
      </c>
    </row>
    <row r="59" spans="1:2" x14ac:dyDescent="0.35">
      <c r="A59">
        <v>54</v>
      </c>
      <c r="B59" s="1">
        <v>1200</v>
      </c>
    </row>
    <row r="60" spans="1:2" x14ac:dyDescent="0.35">
      <c r="A60">
        <v>55</v>
      </c>
      <c r="B60" s="1">
        <v>720</v>
      </c>
    </row>
    <row r="61" spans="1:2" x14ac:dyDescent="0.35">
      <c r="A61">
        <v>56</v>
      </c>
      <c r="B61" s="1">
        <v>600</v>
      </c>
    </row>
    <row r="62" spans="1:2" x14ac:dyDescent="0.35">
      <c r="A62">
        <v>57</v>
      </c>
      <c r="B62" s="1">
        <v>380</v>
      </c>
    </row>
    <row r="63" spans="1:2" x14ac:dyDescent="0.35">
      <c r="A63">
        <v>58</v>
      </c>
      <c r="B63" s="1">
        <v>340</v>
      </c>
    </row>
    <row r="64" spans="1:2" x14ac:dyDescent="0.35">
      <c r="A64">
        <v>59</v>
      </c>
      <c r="B64" s="1">
        <v>300</v>
      </c>
    </row>
    <row r="65" spans="1:2" x14ac:dyDescent="0.35">
      <c r="A65">
        <v>60</v>
      </c>
      <c r="B65" s="1">
        <v>920</v>
      </c>
    </row>
    <row r="66" spans="1:2" x14ac:dyDescent="0.35">
      <c r="A66">
        <v>61</v>
      </c>
      <c r="B66" s="1">
        <v>280</v>
      </c>
    </row>
    <row r="67" spans="1:2" x14ac:dyDescent="0.35">
      <c r="A67">
        <v>62</v>
      </c>
      <c r="B67" s="1">
        <v>660</v>
      </c>
    </row>
    <row r="68" spans="1:2" x14ac:dyDescent="0.35">
      <c r="A68">
        <v>63</v>
      </c>
      <c r="B68" s="1">
        <v>300</v>
      </c>
    </row>
    <row r="69" spans="1:2" x14ac:dyDescent="0.35">
      <c r="A69">
        <v>64</v>
      </c>
      <c r="B69" s="1">
        <v>500</v>
      </c>
    </row>
    <row r="70" spans="1:2" x14ac:dyDescent="0.35">
      <c r="A70">
        <v>65</v>
      </c>
      <c r="B70" s="1">
        <v>750</v>
      </c>
    </row>
    <row r="71" spans="1:2" x14ac:dyDescent="0.35">
      <c r="A71">
        <v>66</v>
      </c>
      <c r="B71" s="1">
        <v>640</v>
      </c>
    </row>
    <row r="72" spans="1:2" x14ac:dyDescent="0.35">
      <c r="A72">
        <v>67</v>
      </c>
      <c r="B72" s="1">
        <v>460</v>
      </c>
    </row>
    <row r="73" spans="1:2" x14ac:dyDescent="0.35">
      <c r="A73">
        <v>68</v>
      </c>
      <c r="B73" s="1">
        <v>300</v>
      </c>
    </row>
    <row r="74" spans="1:2" x14ac:dyDescent="0.35">
      <c r="A74">
        <v>69</v>
      </c>
      <c r="B74" s="1">
        <v>420</v>
      </c>
    </row>
    <row r="75" spans="1:2" x14ac:dyDescent="0.35">
      <c r="A75">
        <v>70</v>
      </c>
      <c r="B75" s="1">
        <v>710</v>
      </c>
    </row>
    <row r="76" spans="1:2" x14ac:dyDescent="0.35">
      <c r="A76">
        <v>71</v>
      </c>
      <c r="B76" s="1">
        <v>570</v>
      </c>
    </row>
    <row r="77" spans="1:2" x14ac:dyDescent="0.35">
      <c r="A77">
        <v>72</v>
      </c>
      <c r="B77" s="1">
        <v>720</v>
      </c>
    </row>
    <row r="78" spans="1:2" x14ac:dyDescent="0.35">
      <c r="A78">
        <v>73</v>
      </c>
      <c r="B78" s="1">
        <v>480</v>
      </c>
    </row>
    <row r="79" spans="1:2" x14ac:dyDescent="0.35">
      <c r="A79">
        <v>74</v>
      </c>
      <c r="B79" s="1">
        <v>160</v>
      </c>
    </row>
    <row r="80" spans="1:2" x14ac:dyDescent="0.35">
      <c r="A80">
        <v>75</v>
      </c>
      <c r="B80" s="1">
        <v>630</v>
      </c>
    </row>
    <row r="81" spans="1:2" x14ac:dyDescent="0.35">
      <c r="A81">
        <v>76</v>
      </c>
      <c r="B81" s="1">
        <v>120</v>
      </c>
    </row>
    <row r="82" spans="1:2" x14ac:dyDescent="0.35">
      <c r="A82">
        <v>77</v>
      </c>
      <c r="B82" s="1">
        <v>700</v>
      </c>
    </row>
    <row r="83" spans="1:2" x14ac:dyDescent="0.35">
      <c r="A83">
        <v>78</v>
      </c>
      <c r="B83" s="1">
        <v>630</v>
      </c>
    </row>
    <row r="84" spans="1:2" x14ac:dyDescent="0.35">
      <c r="A84">
        <v>79</v>
      </c>
      <c r="B84" s="1">
        <v>380</v>
      </c>
    </row>
    <row r="85" spans="1:2" x14ac:dyDescent="0.35">
      <c r="A85">
        <v>80</v>
      </c>
      <c r="B85" s="1">
        <v>1490</v>
      </c>
    </row>
    <row r="86" spans="1:2" x14ac:dyDescent="0.35">
      <c r="A86">
        <v>81</v>
      </c>
      <c r="B86" s="1">
        <v>500</v>
      </c>
    </row>
    <row r="87" spans="1:2" x14ac:dyDescent="0.35">
      <c r="A87">
        <v>82</v>
      </c>
      <c r="B87" s="1">
        <v>540</v>
      </c>
    </row>
    <row r="88" spans="1:2" x14ac:dyDescent="0.35">
      <c r="A88">
        <v>83</v>
      </c>
      <c r="B88" s="1">
        <v>870</v>
      </c>
    </row>
    <row r="89" spans="1:2" x14ac:dyDescent="0.35">
      <c r="A89">
        <v>84</v>
      </c>
      <c r="B89" s="1">
        <v>650</v>
      </c>
    </row>
    <row r="90" spans="1:2" x14ac:dyDescent="0.35">
      <c r="A90">
        <v>85</v>
      </c>
      <c r="B90" s="1">
        <v>590</v>
      </c>
    </row>
    <row r="91" spans="1:2" x14ac:dyDescent="0.35">
      <c r="A91">
        <v>86</v>
      </c>
      <c r="B91" s="1">
        <v>140</v>
      </c>
    </row>
    <row r="92" spans="1:2" x14ac:dyDescent="0.35">
      <c r="A92">
        <v>87</v>
      </c>
      <c r="B92" s="1">
        <v>340</v>
      </c>
    </row>
    <row r="93" spans="1:2" x14ac:dyDescent="0.35">
      <c r="A93">
        <v>88</v>
      </c>
      <c r="B93" s="1">
        <v>520</v>
      </c>
    </row>
    <row r="94" spans="1:2" x14ac:dyDescent="0.35">
      <c r="A94">
        <v>89</v>
      </c>
      <c r="B94" s="1">
        <v>600</v>
      </c>
    </row>
    <row r="95" spans="1:2" x14ac:dyDescent="0.35">
      <c r="A95">
        <v>90</v>
      </c>
      <c r="B95" s="1">
        <v>430</v>
      </c>
    </row>
    <row r="96" spans="1:2" x14ac:dyDescent="0.35">
      <c r="A96">
        <v>91</v>
      </c>
      <c r="B96" s="1">
        <v>780</v>
      </c>
    </row>
    <row r="97" spans="1:2" x14ac:dyDescent="0.35">
      <c r="A97">
        <v>92</v>
      </c>
      <c r="B97" s="1">
        <v>760</v>
      </c>
    </row>
    <row r="98" spans="1:2" x14ac:dyDescent="0.35">
      <c r="A98">
        <v>93</v>
      </c>
      <c r="B98" s="1">
        <v>800</v>
      </c>
    </row>
    <row r="99" spans="1:2" x14ac:dyDescent="0.35">
      <c r="A99">
        <v>94</v>
      </c>
      <c r="B99" s="1">
        <v>960</v>
      </c>
    </row>
    <row r="100" spans="1:2" x14ac:dyDescent="0.35">
      <c r="A100">
        <v>95</v>
      </c>
      <c r="B100" s="1">
        <v>200</v>
      </c>
    </row>
    <row r="101" spans="1:2" x14ac:dyDescent="0.35">
      <c r="A101">
        <v>96</v>
      </c>
      <c r="B101" s="1">
        <v>960</v>
      </c>
    </row>
    <row r="102" spans="1:2" x14ac:dyDescent="0.35">
      <c r="A102">
        <v>97</v>
      </c>
      <c r="B102" s="1">
        <v>380</v>
      </c>
    </row>
    <row r="103" spans="1:2" x14ac:dyDescent="0.35">
      <c r="A103">
        <v>98</v>
      </c>
      <c r="B103" s="1">
        <v>1160</v>
      </c>
    </row>
    <row r="104" spans="1:2" x14ac:dyDescent="0.35">
      <c r="A104">
        <v>99</v>
      </c>
      <c r="B104" s="1">
        <v>680</v>
      </c>
    </row>
    <row r="105" spans="1:2" x14ac:dyDescent="0.35">
      <c r="A105">
        <v>100</v>
      </c>
      <c r="B105" s="1">
        <v>520</v>
      </c>
    </row>
    <row r="106" spans="1:2" x14ac:dyDescent="0.35">
      <c r="A106">
        <v>101</v>
      </c>
      <c r="B106" s="1">
        <v>1250</v>
      </c>
    </row>
    <row r="107" spans="1:2" x14ac:dyDescent="0.35">
      <c r="A107">
        <v>102</v>
      </c>
      <c r="B107" s="1">
        <v>480</v>
      </c>
    </row>
    <row r="108" spans="1:2" x14ac:dyDescent="0.35">
      <c r="A108">
        <v>103</v>
      </c>
      <c r="B108" s="1">
        <v>280</v>
      </c>
    </row>
    <row r="109" spans="1:2" x14ac:dyDescent="0.35">
      <c r="A109">
        <v>104</v>
      </c>
      <c r="B109" s="1">
        <v>420</v>
      </c>
    </row>
    <row r="110" spans="1:2" x14ac:dyDescent="0.35">
      <c r="A110">
        <v>105</v>
      </c>
      <c r="B110" s="1">
        <v>580</v>
      </c>
    </row>
    <row r="111" spans="1:2" x14ac:dyDescent="0.35">
      <c r="A111">
        <v>106</v>
      </c>
      <c r="B111" s="1">
        <v>540</v>
      </c>
    </row>
    <row r="112" spans="1:2" x14ac:dyDescent="0.35">
      <c r="A112">
        <v>107</v>
      </c>
      <c r="B112" s="1">
        <v>740</v>
      </c>
    </row>
    <row r="113" spans="1:2" x14ac:dyDescent="0.35">
      <c r="A113">
        <v>108</v>
      </c>
      <c r="B113" s="1">
        <v>660</v>
      </c>
    </row>
    <row r="114" spans="1:2" x14ac:dyDescent="0.35">
      <c r="A114">
        <v>109</v>
      </c>
      <c r="B114" s="1">
        <v>740</v>
      </c>
    </row>
    <row r="115" spans="1:2" x14ac:dyDescent="0.35">
      <c r="A115">
        <v>110</v>
      </c>
      <c r="B115" s="1">
        <v>790</v>
      </c>
    </row>
    <row r="116" spans="1:2" x14ac:dyDescent="0.35">
      <c r="A116">
        <v>111</v>
      </c>
      <c r="B116" s="1">
        <v>700</v>
      </c>
    </row>
    <row r="117" spans="1:2" x14ac:dyDescent="0.35">
      <c r="A117">
        <v>112</v>
      </c>
      <c r="B117" s="1">
        <v>610</v>
      </c>
    </row>
    <row r="118" spans="1:2" x14ac:dyDescent="0.35">
      <c r="A118">
        <v>113</v>
      </c>
      <c r="B118" s="1">
        <v>240</v>
      </c>
    </row>
    <row r="119" spans="1:2" x14ac:dyDescent="0.35">
      <c r="A119">
        <v>114</v>
      </c>
      <c r="B119" s="1">
        <v>540</v>
      </c>
    </row>
    <row r="120" spans="1:2" x14ac:dyDescent="0.35">
      <c r="A120">
        <v>115</v>
      </c>
      <c r="B120" s="1">
        <v>750</v>
      </c>
    </row>
    <row r="121" spans="1:2" x14ac:dyDescent="0.35">
      <c r="A121">
        <v>116</v>
      </c>
      <c r="B121" s="1">
        <v>440</v>
      </c>
    </row>
    <row r="122" spans="1:2" x14ac:dyDescent="0.35">
      <c r="A122">
        <v>117</v>
      </c>
      <c r="B122" s="1">
        <v>1080</v>
      </c>
    </row>
    <row r="123" spans="1:2" x14ac:dyDescent="0.35">
      <c r="A123">
        <v>118</v>
      </c>
      <c r="B123" s="1">
        <v>830</v>
      </c>
    </row>
    <row r="124" spans="1:2" x14ac:dyDescent="0.35">
      <c r="A124">
        <v>119</v>
      </c>
      <c r="B124" s="1">
        <v>1030</v>
      </c>
    </row>
    <row r="125" spans="1:2" x14ac:dyDescent="0.35">
      <c r="A125">
        <v>120</v>
      </c>
      <c r="B125" s="1">
        <v>340</v>
      </c>
    </row>
    <row r="126" spans="1:2" x14ac:dyDescent="0.35">
      <c r="A126">
        <v>121</v>
      </c>
      <c r="B126" s="1">
        <v>680</v>
      </c>
    </row>
    <row r="127" spans="1:2" x14ac:dyDescent="0.35">
      <c r="A127">
        <v>122</v>
      </c>
      <c r="B127" s="1">
        <v>740</v>
      </c>
    </row>
    <row r="128" spans="1:2" x14ac:dyDescent="0.35">
      <c r="A128">
        <v>123</v>
      </c>
      <c r="B128" s="1">
        <v>1000</v>
      </c>
    </row>
    <row r="129" spans="1:2" x14ac:dyDescent="0.35">
      <c r="A129">
        <v>124</v>
      </c>
      <c r="B129" s="1">
        <v>500</v>
      </c>
    </row>
    <row r="130" spans="1:2" x14ac:dyDescent="0.35">
      <c r="A130">
        <v>125</v>
      </c>
      <c r="B130" s="1">
        <v>420</v>
      </c>
    </row>
    <row r="131" spans="1:2" x14ac:dyDescent="0.35">
      <c r="A131">
        <v>126</v>
      </c>
      <c r="B131" s="1">
        <v>850</v>
      </c>
    </row>
    <row r="132" spans="1:2" x14ac:dyDescent="0.35">
      <c r="A132">
        <v>127</v>
      </c>
      <c r="B132" s="1">
        <v>860</v>
      </c>
    </row>
    <row r="133" spans="1:2" x14ac:dyDescent="0.35">
      <c r="A133">
        <v>128</v>
      </c>
      <c r="B133" s="1">
        <v>950</v>
      </c>
    </row>
    <row r="134" spans="1:2" x14ac:dyDescent="0.35">
      <c r="A134">
        <v>129</v>
      </c>
      <c r="B134" s="1">
        <v>700</v>
      </c>
    </row>
    <row r="135" spans="1:2" x14ac:dyDescent="0.35">
      <c r="A135">
        <v>130</v>
      </c>
      <c r="B135" s="1">
        <v>980</v>
      </c>
    </row>
    <row r="136" spans="1:2" x14ac:dyDescent="0.35">
      <c r="A136">
        <v>131</v>
      </c>
      <c r="B136" s="1">
        <v>660</v>
      </c>
    </row>
    <row r="137" spans="1:2" x14ac:dyDescent="0.35">
      <c r="A137">
        <v>132</v>
      </c>
      <c r="B137" s="1">
        <v>1470</v>
      </c>
    </row>
    <row r="138" spans="1:2" x14ac:dyDescent="0.35">
      <c r="A138">
        <v>133</v>
      </c>
      <c r="B138" s="1">
        <v>520</v>
      </c>
    </row>
    <row r="139" spans="1:2" x14ac:dyDescent="0.35">
      <c r="A139">
        <v>134</v>
      </c>
      <c r="B139" s="1">
        <v>700</v>
      </c>
    </row>
    <row r="140" spans="1:2" x14ac:dyDescent="0.35">
      <c r="A140">
        <v>135</v>
      </c>
      <c r="B140" s="1">
        <v>610</v>
      </c>
    </row>
    <row r="141" spans="1:2" x14ac:dyDescent="0.35">
      <c r="A141">
        <v>136</v>
      </c>
      <c r="B141" s="1">
        <v>620</v>
      </c>
    </row>
    <row r="142" spans="1:2" x14ac:dyDescent="0.35">
      <c r="A142">
        <v>137</v>
      </c>
      <c r="B142" s="1">
        <v>310</v>
      </c>
    </row>
    <row r="143" spans="1:2" x14ac:dyDescent="0.35">
      <c r="A143">
        <v>138</v>
      </c>
      <c r="B143" s="1">
        <v>640</v>
      </c>
    </row>
    <row r="144" spans="1:2" x14ac:dyDescent="0.35">
      <c r="A144">
        <v>139</v>
      </c>
      <c r="B144" s="1">
        <v>520</v>
      </c>
    </row>
    <row r="145" spans="1:2" x14ac:dyDescent="0.35">
      <c r="A145">
        <v>140</v>
      </c>
      <c r="B145" s="1">
        <v>680</v>
      </c>
    </row>
    <row r="146" spans="1:2" x14ac:dyDescent="0.35">
      <c r="A146">
        <v>141</v>
      </c>
      <c r="B146" s="1">
        <v>740</v>
      </c>
    </row>
    <row r="147" spans="1:2" x14ac:dyDescent="0.35">
      <c r="A147">
        <v>142</v>
      </c>
      <c r="B147" s="1">
        <v>830</v>
      </c>
    </row>
    <row r="148" spans="1:2" x14ac:dyDescent="0.35">
      <c r="A148">
        <v>143</v>
      </c>
      <c r="B148" s="1">
        <v>500</v>
      </c>
    </row>
    <row r="149" spans="1:2" x14ac:dyDescent="0.35">
      <c r="A149">
        <v>144</v>
      </c>
      <c r="B149" s="1">
        <v>860</v>
      </c>
    </row>
    <row r="150" spans="1:2" x14ac:dyDescent="0.35">
      <c r="A150">
        <v>145</v>
      </c>
      <c r="B150" s="1">
        <v>540</v>
      </c>
    </row>
    <row r="151" spans="1:2" x14ac:dyDescent="0.35">
      <c r="A151">
        <v>146</v>
      </c>
      <c r="B151" s="1">
        <v>1150</v>
      </c>
    </row>
    <row r="152" spans="1:2" x14ac:dyDescent="0.35">
      <c r="A152">
        <v>147</v>
      </c>
      <c r="B152" s="1">
        <v>920</v>
      </c>
    </row>
    <row r="153" spans="1:2" x14ac:dyDescent="0.35">
      <c r="A153">
        <v>148</v>
      </c>
      <c r="B153" s="1">
        <v>610</v>
      </c>
    </row>
    <row r="154" spans="1:2" x14ac:dyDescent="0.35">
      <c r="A154">
        <v>149</v>
      </c>
      <c r="B154" s="1">
        <v>570</v>
      </c>
    </row>
    <row r="155" spans="1:2" x14ac:dyDescent="0.35">
      <c r="A155">
        <v>150</v>
      </c>
      <c r="B155" s="1">
        <v>200</v>
      </c>
    </row>
    <row r="156" spans="1:2" x14ac:dyDescent="0.35">
      <c r="A156">
        <v>151</v>
      </c>
      <c r="B156" s="1">
        <v>680</v>
      </c>
    </row>
    <row r="157" spans="1:2" x14ac:dyDescent="0.35">
      <c r="A157">
        <v>152</v>
      </c>
      <c r="B157" s="1">
        <v>340</v>
      </c>
    </row>
    <row r="158" spans="1:2" x14ac:dyDescent="0.35">
      <c r="A158">
        <v>153</v>
      </c>
      <c r="B158" s="1">
        <v>1080</v>
      </c>
    </row>
    <row r="159" spans="1:2" x14ac:dyDescent="0.35">
      <c r="A159">
        <v>154</v>
      </c>
      <c r="B159" s="1">
        <v>980</v>
      </c>
    </row>
    <row r="160" spans="1:2" x14ac:dyDescent="0.35">
      <c r="A160">
        <v>155</v>
      </c>
      <c r="B160" s="1">
        <v>420</v>
      </c>
    </row>
    <row r="161" spans="1:2" x14ac:dyDescent="0.35">
      <c r="A161">
        <v>156</v>
      </c>
      <c r="B161" s="1">
        <v>710</v>
      </c>
    </row>
    <row r="162" spans="1:2" x14ac:dyDescent="0.35">
      <c r="A162">
        <v>157</v>
      </c>
      <c r="B162" s="1">
        <v>860</v>
      </c>
    </row>
    <row r="163" spans="1:2" x14ac:dyDescent="0.35">
      <c r="A163">
        <v>158</v>
      </c>
      <c r="B163" s="1">
        <v>640</v>
      </c>
    </row>
    <row r="164" spans="1:2" x14ac:dyDescent="0.35">
      <c r="A164">
        <v>159</v>
      </c>
      <c r="B164" s="1">
        <v>810</v>
      </c>
    </row>
    <row r="165" spans="1:2" x14ac:dyDescent="0.35">
      <c r="A165">
        <v>160</v>
      </c>
      <c r="B165" s="1">
        <v>1030</v>
      </c>
    </row>
    <row r="166" spans="1:2" x14ac:dyDescent="0.35">
      <c r="A166">
        <v>161</v>
      </c>
      <c r="B166" s="1">
        <v>700</v>
      </c>
    </row>
    <row r="167" spans="1:2" x14ac:dyDescent="0.35">
      <c r="A167">
        <v>162</v>
      </c>
      <c r="B167" s="1">
        <v>480</v>
      </c>
    </row>
    <row r="168" spans="1:2" x14ac:dyDescent="0.35">
      <c r="A168">
        <v>163</v>
      </c>
      <c r="B168" s="1">
        <v>880</v>
      </c>
    </row>
    <row r="169" spans="1:2" x14ac:dyDescent="0.35">
      <c r="A169">
        <v>164</v>
      </c>
      <c r="B169" s="1">
        <v>790</v>
      </c>
    </row>
    <row r="170" spans="1:2" x14ac:dyDescent="0.35">
      <c r="A170">
        <v>165</v>
      </c>
      <c r="B170" s="1">
        <v>80</v>
      </c>
    </row>
    <row r="171" spans="1:2" x14ac:dyDescent="0.35">
      <c r="A171">
        <v>166</v>
      </c>
      <c r="B171" s="1">
        <v>880</v>
      </c>
    </row>
    <row r="172" spans="1:2" x14ac:dyDescent="0.35">
      <c r="A172">
        <v>167</v>
      </c>
      <c r="B172" s="1">
        <v>700</v>
      </c>
    </row>
    <row r="173" spans="1:2" x14ac:dyDescent="0.35">
      <c r="A173">
        <v>168</v>
      </c>
      <c r="B173" s="1">
        <v>540</v>
      </c>
    </row>
    <row r="174" spans="1:2" x14ac:dyDescent="0.35">
      <c r="A174">
        <v>169</v>
      </c>
      <c r="B174" s="1">
        <v>320</v>
      </c>
    </row>
    <row r="175" spans="1:2" x14ac:dyDescent="0.35">
      <c r="A175">
        <v>170</v>
      </c>
      <c r="B175" s="1">
        <v>240</v>
      </c>
    </row>
    <row r="176" spans="1:2" x14ac:dyDescent="0.35">
      <c r="A176">
        <v>171</v>
      </c>
      <c r="B176" s="1">
        <v>990</v>
      </c>
    </row>
    <row r="177" spans="1:2" x14ac:dyDescent="0.35">
      <c r="A177">
        <v>172</v>
      </c>
      <c r="B177" s="1">
        <v>520</v>
      </c>
    </row>
    <row r="178" spans="1:2" x14ac:dyDescent="0.35">
      <c r="A178">
        <v>173</v>
      </c>
      <c r="B178" s="1">
        <v>700</v>
      </c>
    </row>
    <row r="179" spans="1:2" x14ac:dyDescent="0.35">
      <c r="A179">
        <v>174</v>
      </c>
      <c r="B179" s="1">
        <v>840</v>
      </c>
    </row>
    <row r="180" spans="1:2" x14ac:dyDescent="0.35">
      <c r="A180">
        <v>175</v>
      </c>
      <c r="B180" s="1">
        <v>500</v>
      </c>
    </row>
    <row r="181" spans="1:2" x14ac:dyDescent="0.35">
      <c r="A181">
        <v>176</v>
      </c>
      <c r="B181" s="1">
        <v>710</v>
      </c>
    </row>
    <row r="182" spans="1:2" x14ac:dyDescent="0.35">
      <c r="A182">
        <v>177</v>
      </c>
      <c r="B182" s="1">
        <v>450</v>
      </c>
    </row>
    <row r="183" spans="1:2" x14ac:dyDescent="0.35">
      <c r="A183">
        <v>178</v>
      </c>
      <c r="B183" s="1">
        <v>530</v>
      </c>
    </row>
    <row r="184" spans="1:2" x14ac:dyDescent="0.35">
      <c r="A184">
        <v>179</v>
      </c>
      <c r="B184" s="1">
        <v>600</v>
      </c>
    </row>
    <row r="185" spans="1:2" x14ac:dyDescent="0.35">
      <c r="A185">
        <v>180</v>
      </c>
      <c r="B185" s="1">
        <v>220</v>
      </c>
    </row>
    <row r="186" spans="1:2" x14ac:dyDescent="0.35">
      <c r="A186">
        <v>181</v>
      </c>
      <c r="B186" s="1">
        <v>460</v>
      </c>
    </row>
    <row r="187" spans="1:2" x14ac:dyDescent="0.35">
      <c r="A187">
        <v>182</v>
      </c>
      <c r="B187" s="1">
        <v>730</v>
      </c>
    </row>
    <row r="188" spans="1:2" x14ac:dyDescent="0.35">
      <c r="A188">
        <v>183</v>
      </c>
      <c r="B188" s="1">
        <v>900</v>
      </c>
    </row>
    <row r="189" spans="1:2" x14ac:dyDescent="0.35">
      <c r="A189">
        <v>184</v>
      </c>
      <c r="B189" s="1">
        <v>480</v>
      </c>
    </row>
    <row r="190" spans="1:2" x14ac:dyDescent="0.35">
      <c r="A190">
        <v>185</v>
      </c>
      <c r="B190" s="1">
        <v>430</v>
      </c>
    </row>
    <row r="191" spans="1:2" x14ac:dyDescent="0.35">
      <c r="A191">
        <v>186</v>
      </c>
      <c r="B191" s="1">
        <v>600</v>
      </c>
    </row>
    <row r="192" spans="1:2" x14ac:dyDescent="0.35">
      <c r="A192">
        <v>187</v>
      </c>
      <c r="B192" s="1">
        <v>740</v>
      </c>
    </row>
    <row r="193" spans="1:2" x14ac:dyDescent="0.35">
      <c r="A193">
        <v>188</v>
      </c>
      <c r="B193" s="1">
        <v>850</v>
      </c>
    </row>
    <row r="194" spans="1:2" x14ac:dyDescent="0.35">
      <c r="A194">
        <v>189</v>
      </c>
      <c r="B194" s="1">
        <v>180</v>
      </c>
    </row>
    <row r="195" spans="1:2" x14ac:dyDescent="0.35">
      <c r="A195">
        <v>190</v>
      </c>
      <c r="B195" s="1">
        <v>520</v>
      </c>
    </row>
    <row r="196" spans="1:2" x14ac:dyDescent="0.35">
      <c r="A196">
        <v>191</v>
      </c>
      <c r="B196" s="1">
        <v>80</v>
      </c>
    </row>
    <row r="197" spans="1:2" x14ac:dyDescent="0.35">
      <c r="A197">
        <v>192</v>
      </c>
      <c r="B197" s="1">
        <v>1090</v>
      </c>
    </row>
    <row r="198" spans="1:2" x14ac:dyDescent="0.35">
      <c r="A198">
        <v>193</v>
      </c>
      <c r="B198" s="1">
        <v>580</v>
      </c>
    </row>
    <row r="199" spans="1:2" x14ac:dyDescent="0.35">
      <c r="A199">
        <v>194</v>
      </c>
      <c r="B199" s="1">
        <v>1080</v>
      </c>
    </row>
    <row r="200" spans="1:2" x14ac:dyDescent="0.35">
      <c r="A200">
        <v>195</v>
      </c>
      <c r="B200" s="1">
        <v>790</v>
      </c>
    </row>
    <row r="201" spans="1:2" x14ac:dyDescent="0.35">
      <c r="A201">
        <v>196</v>
      </c>
      <c r="B201" s="1">
        <v>660</v>
      </c>
    </row>
    <row r="202" spans="1:2" x14ac:dyDescent="0.35">
      <c r="A202">
        <v>197</v>
      </c>
      <c r="B202" s="1">
        <v>890</v>
      </c>
    </row>
    <row r="203" spans="1:2" x14ac:dyDescent="0.35">
      <c r="A203">
        <v>198</v>
      </c>
      <c r="B203" s="1">
        <v>520</v>
      </c>
    </row>
    <row r="204" spans="1:2" x14ac:dyDescent="0.35">
      <c r="A204">
        <v>199</v>
      </c>
      <c r="B204" s="1">
        <v>540</v>
      </c>
    </row>
    <row r="205" spans="1:2" x14ac:dyDescent="0.35">
      <c r="A205">
        <v>200</v>
      </c>
      <c r="B205" s="1">
        <v>580</v>
      </c>
    </row>
    <row r="206" spans="1:2" x14ac:dyDescent="0.35">
      <c r="A206">
        <v>201</v>
      </c>
      <c r="B206" s="1">
        <v>1350</v>
      </c>
    </row>
    <row r="207" spans="1:2" x14ac:dyDescent="0.35">
      <c r="A207">
        <v>202</v>
      </c>
      <c r="B207" s="1">
        <v>640</v>
      </c>
    </row>
    <row r="208" spans="1:2" x14ac:dyDescent="0.35">
      <c r="A208">
        <v>203</v>
      </c>
      <c r="B208" s="1">
        <v>1210</v>
      </c>
    </row>
    <row r="209" spans="1:2" x14ac:dyDescent="0.35">
      <c r="A209">
        <v>204</v>
      </c>
      <c r="B209" s="1">
        <v>360</v>
      </c>
    </row>
    <row r="210" spans="1:2" x14ac:dyDescent="0.35">
      <c r="A210">
        <v>205</v>
      </c>
      <c r="B210" s="1">
        <v>800</v>
      </c>
    </row>
    <row r="211" spans="1:2" x14ac:dyDescent="0.35">
      <c r="A211">
        <v>206</v>
      </c>
      <c r="B211" s="1">
        <v>600</v>
      </c>
    </row>
    <row r="212" spans="1:2" x14ac:dyDescent="0.35">
      <c r="A212">
        <v>207</v>
      </c>
      <c r="B212" s="1">
        <v>440</v>
      </c>
    </row>
    <row r="213" spans="1:2" x14ac:dyDescent="0.35">
      <c r="A213">
        <v>208</v>
      </c>
      <c r="B213" s="1">
        <v>480</v>
      </c>
    </row>
    <row r="214" spans="1:2" x14ac:dyDescent="0.35">
      <c r="A214">
        <v>209</v>
      </c>
      <c r="B214" s="1">
        <v>970</v>
      </c>
    </row>
    <row r="215" spans="1:2" x14ac:dyDescent="0.35">
      <c r="A215">
        <v>210</v>
      </c>
      <c r="B215" s="1">
        <v>620</v>
      </c>
    </row>
    <row r="216" spans="1:2" x14ac:dyDescent="0.35">
      <c r="A216">
        <v>211</v>
      </c>
      <c r="B216" s="1">
        <v>280</v>
      </c>
    </row>
    <row r="217" spans="1:2" x14ac:dyDescent="0.35">
      <c r="A217">
        <v>212</v>
      </c>
      <c r="B217" s="1">
        <v>580</v>
      </c>
    </row>
    <row r="218" spans="1:2" x14ac:dyDescent="0.35">
      <c r="A218">
        <v>213</v>
      </c>
      <c r="B218" s="1">
        <v>460</v>
      </c>
    </row>
    <row r="219" spans="1:2" x14ac:dyDescent="0.35">
      <c r="A219">
        <v>214</v>
      </c>
      <c r="B219" s="1">
        <v>880</v>
      </c>
    </row>
    <row r="220" spans="1:2" x14ac:dyDescent="0.35">
      <c r="A220">
        <v>215</v>
      </c>
      <c r="B220" s="1">
        <v>360</v>
      </c>
    </row>
    <row r="221" spans="1:2" x14ac:dyDescent="0.35">
      <c r="A221">
        <v>216</v>
      </c>
      <c r="B221" s="1">
        <v>260</v>
      </c>
    </row>
    <row r="222" spans="1:2" x14ac:dyDescent="0.35">
      <c r="A222">
        <v>217</v>
      </c>
      <c r="B222" s="1">
        <v>620</v>
      </c>
    </row>
    <row r="223" spans="1:2" x14ac:dyDescent="0.35">
      <c r="A223">
        <v>218</v>
      </c>
      <c r="B223" s="1">
        <v>890</v>
      </c>
    </row>
    <row r="224" spans="1:2" x14ac:dyDescent="0.35">
      <c r="A224">
        <v>219</v>
      </c>
      <c r="B224" s="1">
        <v>240</v>
      </c>
    </row>
    <row r="225" spans="1:2" x14ac:dyDescent="0.35">
      <c r="A225">
        <v>220</v>
      </c>
      <c r="B225" s="1">
        <v>400</v>
      </c>
    </row>
    <row r="226" spans="1:2" x14ac:dyDescent="0.35">
      <c r="A226">
        <v>221</v>
      </c>
      <c r="B226" s="1">
        <v>890</v>
      </c>
    </row>
    <row r="227" spans="1:2" x14ac:dyDescent="0.35">
      <c r="A227">
        <v>222</v>
      </c>
      <c r="B227" s="1">
        <v>360</v>
      </c>
    </row>
    <row r="228" spans="1:2" x14ac:dyDescent="0.35">
      <c r="A228">
        <v>223</v>
      </c>
      <c r="B228" s="1">
        <v>760</v>
      </c>
    </row>
    <row r="229" spans="1:2" x14ac:dyDescent="0.35">
      <c r="A229">
        <v>224</v>
      </c>
      <c r="B229" s="1">
        <v>630</v>
      </c>
    </row>
    <row r="230" spans="1:2" x14ac:dyDescent="0.35">
      <c r="A230">
        <v>225</v>
      </c>
      <c r="B230" s="1">
        <v>640</v>
      </c>
    </row>
    <row r="231" spans="1:2" x14ac:dyDescent="0.35">
      <c r="A231">
        <v>226</v>
      </c>
      <c r="B231" s="1">
        <v>600</v>
      </c>
    </row>
    <row r="232" spans="1:2" x14ac:dyDescent="0.35">
      <c r="A232">
        <v>227</v>
      </c>
      <c r="B232" s="1">
        <v>370</v>
      </c>
    </row>
    <row r="233" spans="1:2" x14ac:dyDescent="0.35">
      <c r="A233">
        <v>228</v>
      </c>
      <c r="B233" s="1">
        <v>710</v>
      </c>
    </row>
    <row r="234" spans="1:2" x14ac:dyDescent="0.35">
      <c r="A234">
        <v>229</v>
      </c>
      <c r="B234" s="1">
        <v>260</v>
      </c>
    </row>
    <row r="235" spans="1:2" x14ac:dyDescent="0.35">
      <c r="A235">
        <v>230</v>
      </c>
      <c r="B235" s="1">
        <v>870</v>
      </c>
    </row>
    <row r="236" spans="1:2" x14ac:dyDescent="0.35">
      <c r="A236">
        <v>231</v>
      </c>
      <c r="B236" s="1">
        <v>720</v>
      </c>
    </row>
    <row r="237" spans="1:2" x14ac:dyDescent="0.35">
      <c r="A237">
        <v>232</v>
      </c>
      <c r="B237" s="1">
        <v>630</v>
      </c>
    </row>
    <row r="238" spans="1:2" x14ac:dyDescent="0.35">
      <c r="A238">
        <v>233</v>
      </c>
      <c r="B238" s="1">
        <v>500</v>
      </c>
    </row>
    <row r="239" spans="1:2" x14ac:dyDescent="0.35">
      <c r="A239">
        <v>234</v>
      </c>
      <c r="B239" s="1">
        <v>960</v>
      </c>
    </row>
    <row r="240" spans="1:2" x14ac:dyDescent="0.35">
      <c r="A240">
        <v>235</v>
      </c>
      <c r="B240" s="1">
        <v>570</v>
      </c>
    </row>
    <row r="241" spans="1:2" x14ac:dyDescent="0.35">
      <c r="A241">
        <v>236</v>
      </c>
      <c r="B241" s="1">
        <v>440</v>
      </c>
    </row>
    <row r="242" spans="1:2" x14ac:dyDescent="0.35">
      <c r="A242">
        <v>237</v>
      </c>
      <c r="B242" s="1">
        <v>370</v>
      </c>
    </row>
    <row r="243" spans="1:2" x14ac:dyDescent="0.35">
      <c r="A243">
        <v>238</v>
      </c>
      <c r="B243" s="1">
        <v>540</v>
      </c>
    </row>
    <row r="244" spans="1:2" x14ac:dyDescent="0.35">
      <c r="A244">
        <v>239</v>
      </c>
      <c r="B244" s="1">
        <v>640</v>
      </c>
    </row>
    <row r="245" spans="1:2" x14ac:dyDescent="0.35">
      <c r="A245">
        <v>240</v>
      </c>
      <c r="B245" s="1">
        <v>760</v>
      </c>
    </row>
    <row r="246" spans="1:2" x14ac:dyDescent="0.35">
      <c r="A246">
        <v>241</v>
      </c>
      <c r="B246" s="1">
        <v>400</v>
      </c>
    </row>
    <row r="247" spans="1:2" x14ac:dyDescent="0.35">
      <c r="A247">
        <v>242</v>
      </c>
      <c r="B247" s="1">
        <v>380</v>
      </c>
    </row>
    <row r="248" spans="1:2" x14ac:dyDescent="0.35">
      <c r="A248">
        <v>243</v>
      </c>
      <c r="B248" s="1">
        <v>970</v>
      </c>
    </row>
    <row r="249" spans="1:2" x14ac:dyDescent="0.35">
      <c r="A249">
        <v>244</v>
      </c>
      <c r="B249" s="1">
        <v>960</v>
      </c>
    </row>
    <row r="250" spans="1:2" x14ac:dyDescent="0.35">
      <c r="A250">
        <v>245</v>
      </c>
      <c r="B250" s="1">
        <v>1190</v>
      </c>
    </row>
    <row r="251" spans="1:2" x14ac:dyDescent="0.35">
      <c r="A251">
        <v>246</v>
      </c>
      <c r="B251" s="1">
        <v>700</v>
      </c>
    </row>
    <row r="252" spans="1:2" x14ac:dyDescent="0.35">
      <c r="A252">
        <v>247</v>
      </c>
      <c r="B252" s="1">
        <v>1060</v>
      </c>
    </row>
    <row r="253" spans="1:2" x14ac:dyDescent="0.35">
      <c r="A253">
        <v>248</v>
      </c>
      <c r="B253" s="1">
        <v>640</v>
      </c>
    </row>
    <row r="254" spans="1:2" x14ac:dyDescent="0.35">
      <c r="A254">
        <v>249</v>
      </c>
      <c r="B254" s="1">
        <v>810</v>
      </c>
    </row>
    <row r="255" spans="1:2" x14ac:dyDescent="0.35">
      <c r="A255">
        <v>250</v>
      </c>
      <c r="B255" s="1">
        <v>600</v>
      </c>
    </row>
    <row r="256" spans="1:2" x14ac:dyDescent="0.35">
      <c r="A256">
        <v>251</v>
      </c>
      <c r="B256" s="1">
        <v>620</v>
      </c>
    </row>
    <row r="257" spans="1:2" x14ac:dyDescent="0.35">
      <c r="A257">
        <v>252</v>
      </c>
      <c r="B257" s="1">
        <v>560</v>
      </c>
    </row>
    <row r="258" spans="1:2" x14ac:dyDescent="0.35">
      <c r="A258">
        <v>253</v>
      </c>
      <c r="B258" s="1">
        <v>1020</v>
      </c>
    </row>
    <row r="259" spans="1:2" x14ac:dyDescent="0.35">
      <c r="A259">
        <v>254</v>
      </c>
      <c r="B259" s="1">
        <v>770</v>
      </c>
    </row>
    <row r="260" spans="1:2" x14ac:dyDescent="0.35">
      <c r="A260">
        <v>255</v>
      </c>
      <c r="B260" s="1">
        <v>770</v>
      </c>
    </row>
    <row r="261" spans="1:2" x14ac:dyDescent="0.35">
      <c r="A261">
        <v>256</v>
      </c>
      <c r="B261" s="1">
        <v>800</v>
      </c>
    </row>
    <row r="262" spans="1:2" x14ac:dyDescent="0.35">
      <c r="A262">
        <v>257</v>
      </c>
      <c r="B262" s="1">
        <v>500</v>
      </c>
    </row>
    <row r="263" spans="1:2" x14ac:dyDescent="0.35">
      <c r="A263">
        <v>258</v>
      </c>
      <c r="B263" s="1">
        <v>660</v>
      </c>
    </row>
    <row r="264" spans="1:2" x14ac:dyDescent="0.35">
      <c r="A264">
        <v>259</v>
      </c>
      <c r="B264" s="1">
        <v>670</v>
      </c>
    </row>
    <row r="265" spans="1:2" x14ac:dyDescent="0.35">
      <c r="A265">
        <v>260</v>
      </c>
      <c r="B265" s="1">
        <v>460</v>
      </c>
    </row>
    <row r="266" spans="1:2" x14ac:dyDescent="0.35">
      <c r="A266">
        <v>261</v>
      </c>
      <c r="B266" s="1">
        <v>450</v>
      </c>
    </row>
    <row r="267" spans="1:2" x14ac:dyDescent="0.35">
      <c r="A267">
        <v>262</v>
      </c>
      <c r="B267" s="1">
        <v>380</v>
      </c>
    </row>
    <row r="268" spans="1:2" x14ac:dyDescent="0.35">
      <c r="A268">
        <v>263</v>
      </c>
      <c r="B268" s="1">
        <v>540</v>
      </c>
    </row>
    <row r="269" spans="1:2" x14ac:dyDescent="0.35">
      <c r="A269">
        <v>264</v>
      </c>
      <c r="B269" s="1">
        <v>620</v>
      </c>
    </row>
    <row r="270" spans="1:2" x14ac:dyDescent="0.35">
      <c r="A270">
        <v>265</v>
      </c>
      <c r="B270" s="1">
        <v>900</v>
      </c>
    </row>
    <row r="271" spans="1:2" x14ac:dyDescent="0.35">
      <c r="A271">
        <v>266</v>
      </c>
      <c r="B271" s="1">
        <v>860</v>
      </c>
    </row>
    <row r="272" spans="1:2" x14ac:dyDescent="0.35">
      <c r="A272">
        <v>267</v>
      </c>
      <c r="B272" s="1">
        <v>810</v>
      </c>
    </row>
    <row r="273" spans="1:2" x14ac:dyDescent="0.35">
      <c r="A273">
        <v>268</v>
      </c>
      <c r="B273" s="1">
        <v>460</v>
      </c>
    </row>
    <row r="274" spans="1:2" x14ac:dyDescent="0.35">
      <c r="A274">
        <v>269</v>
      </c>
      <c r="B274" s="1">
        <v>780</v>
      </c>
    </row>
    <row r="275" spans="1:2" x14ac:dyDescent="0.35">
      <c r="A275">
        <v>270</v>
      </c>
      <c r="B275" s="1">
        <v>480</v>
      </c>
    </row>
    <row r="276" spans="1:2" x14ac:dyDescent="0.35">
      <c r="A276">
        <v>271</v>
      </c>
      <c r="B276" s="1">
        <v>290</v>
      </c>
    </row>
    <row r="277" spans="1:2" x14ac:dyDescent="0.35">
      <c r="A277">
        <v>272</v>
      </c>
      <c r="B277" s="1">
        <v>270</v>
      </c>
    </row>
    <row r="278" spans="1:2" x14ac:dyDescent="0.35">
      <c r="A278">
        <v>273</v>
      </c>
      <c r="B278" s="1">
        <v>780</v>
      </c>
    </row>
    <row r="279" spans="1:2" x14ac:dyDescent="0.35">
      <c r="A279">
        <v>274</v>
      </c>
      <c r="B279" s="1">
        <v>280</v>
      </c>
    </row>
    <row r="280" spans="1:2" x14ac:dyDescent="0.35">
      <c r="A280">
        <v>275</v>
      </c>
      <c r="B280" s="1">
        <v>440</v>
      </c>
    </row>
    <row r="281" spans="1:2" x14ac:dyDescent="0.35">
      <c r="A281">
        <v>276</v>
      </c>
      <c r="B281" s="1">
        <v>550</v>
      </c>
    </row>
    <row r="282" spans="1:2" x14ac:dyDescent="0.35">
      <c r="A282">
        <v>277</v>
      </c>
      <c r="B282" s="1">
        <v>400</v>
      </c>
    </row>
    <row r="283" spans="1:2" x14ac:dyDescent="0.35">
      <c r="A283">
        <v>278</v>
      </c>
      <c r="B283" s="1">
        <v>400</v>
      </c>
    </row>
    <row r="284" spans="1:2" x14ac:dyDescent="0.35">
      <c r="A284">
        <v>279</v>
      </c>
      <c r="B284" s="1">
        <v>640</v>
      </c>
    </row>
    <row r="285" spans="1:2" x14ac:dyDescent="0.35">
      <c r="A285">
        <v>280</v>
      </c>
      <c r="B285" s="1">
        <v>850</v>
      </c>
    </row>
    <row r="286" spans="1:2" x14ac:dyDescent="0.35">
      <c r="A286">
        <v>281</v>
      </c>
      <c r="B286" s="1">
        <v>1950</v>
      </c>
    </row>
    <row r="287" spans="1:2" x14ac:dyDescent="0.35">
      <c r="A287">
        <v>282</v>
      </c>
      <c r="B287" s="1">
        <v>790</v>
      </c>
    </row>
    <row r="288" spans="1:2" x14ac:dyDescent="0.35">
      <c r="A288">
        <v>283</v>
      </c>
      <c r="B288" s="1">
        <v>200</v>
      </c>
    </row>
    <row r="289" spans="1:2" x14ac:dyDescent="0.35">
      <c r="A289">
        <v>284</v>
      </c>
      <c r="B289" s="1">
        <v>610</v>
      </c>
    </row>
    <row r="290" spans="1:2" x14ac:dyDescent="0.35">
      <c r="A290">
        <v>285</v>
      </c>
      <c r="B290" s="1">
        <v>770</v>
      </c>
    </row>
    <row r="291" spans="1:2" x14ac:dyDescent="0.35">
      <c r="A291">
        <v>286</v>
      </c>
      <c r="B291" s="1">
        <v>990</v>
      </c>
    </row>
    <row r="292" spans="1:2" x14ac:dyDescent="0.35">
      <c r="A292">
        <v>287</v>
      </c>
      <c r="B292" s="1">
        <v>900</v>
      </c>
    </row>
    <row r="293" spans="1:2" x14ac:dyDescent="0.35">
      <c r="A293">
        <v>288</v>
      </c>
      <c r="B293" s="1">
        <v>610</v>
      </c>
    </row>
    <row r="294" spans="1:2" x14ac:dyDescent="0.35">
      <c r="A294">
        <v>289</v>
      </c>
      <c r="B294" s="1">
        <v>730</v>
      </c>
    </row>
    <row r="295" spans="1:2" x14ac:dyDescent="0.35">
      <c r="A295">
        <v>290</v>
      </c>
      <c r="B295" s="1">
        <v>640</v>
      </c>
    </row>
    <row r="296" spans="1:2" x14ac:dyDescent="0.35">
      <c r="A296">
        <v>291</v>
      </c>
      <c r="B296" s="1">
        <v>590</v>
      </c>
    </row>
    <row r="297" spans="1:2" x14ac:dyDescent="0.35">
      <c r="A297">
        <v>292</v>
      </c>
      <c r="B297" s="1">
        <v>320</v>
      </c>
    </row>
    <row r="298" spans="1:2" x14ac:dyDescent="0.35">
      <c r="A298">
        <v>293</v>
      </c>
      <c r="B298" s="1">
        <v>1170</v>
      </c>
    </row>
    <row r="299" spans="1:2" x14ac:dyDescent="0.35">
      <c r="A299">
        <v>294</v>
      </c>
      <c r="B299" s="1">
        <v>380</v>
      </c>
    </row>
    <row r="300" spans="1:2" x14ac:dyDescent="0.35">
      <c r="A300">
        <v>295</v>
      </c>
      <c r="B300" s="1">
        <v>440</v>
      </c>
    </row>
    <row r="301" spans="1:2" x14ac:dyDescent="0.35">
      <c r="A301">
        <v>296</v>
      </c>
      <c r="B301" s="1">
        <v>280</v>
      </c>
    </row>
    <row r="302" spans="1:2" x14ac:dyDescent="0.35">
      <c r="A302">
        <v>297</v>
      </c>
      <c r="B302" s="1">
        <v>680</v>
      </c>
    </row>
    <row r="303" spans="1:2" x14ac:dyDescent="0.35">
      <c r="A303">
        <v>298</v>
      </c>
      <c r="B303" s="1">
        <v>720</v>
      </c>
    </row>
    <row r="304" spans="1:2" x14ac:dyDescent="0.35">
      <c r="A304">
        <v>299</v>
      </c>
      <c r="B304" s="1">
        <v>790</v>
      </c>
    </row>
    <row r="305" spans="1:2" x14ac:dyDescent="0.35">
      <c r="A305">
        <v>300</v>
      </c>
      <c r="B305" s="1">
        <v>600</v>
      </c>
    </row>
    <row r="306" spans="1:2" x14ac:dyDescent="0.35">
      <c r="A306">
        <v>301</v>
      </c>
      <c r="B306" s="1">
        <v>700</v>
      </c>
    </row>
    <row r="307" spans="1:2" x14ac:dyDescent="0.35">
      <c r="A307">
        <v>302</v>
      </c>
      <c r="B307" s="1">
        <v>520</v>
      </c>
    </row>
    <row r="308" spans="1:2" x14ac:dyDescent="0.35">
      <c r="A308">
        <v>303</v>
      </c>
      <c r="B308" s="1">
        <v>1020</v>
      </c>
    </row>
    <row r="309" spans="1:2" x14ac:dyDescent="0.35">
      <c r="A309">
        <v>304</v>
      </c>
      <c r="B309" s="1">
        <v>600</v>
      </c>
    </row>
    <row r="310" spans="1:2" x14ac:dyDescent="0.35">
      <c r="A310">
        <v>305</v>
      </c>
      <c r="B310" s="1">
        <v>900</v>
      </c>
    </row>
    <row r="311" spans="1:2" x14ac:dyDescent="0.35">
      <c r="A311">
        <v>306</v>
      </c>
      <c r="B311" s="1">
        <v>380</v>
      </c>
    </row>
    <row r="312" spans="1:2" x14ac:dyDescent="0.35">
      <c r="A312">
        <v>307</v>
      </c>
      <c r="B312" s="1">
        <v>500</v>
      </c>
    </row>
    <row r="313" spans="1:2" x14ac:dyDescent="0.35">
      <c r="A313">
        <v>308</v>
      </c>
      <c r="B313" s="1">
        <v>970</v>
      </c>
    </row>
    <row r="314" spans="1:2" x14ac:dyDescent="0.35">
      <c r="A314">
        <v>309</v>
      </c>
      <c r="B314" s="1">
        <v>880</v>
      </c>
    </row>
    <row r="315" spans="1:2" x14ac:dyDescent="0.35">
      <c r="A315">
        <v>310</v>
      </c>
      <c r="B315" s="1">
        <v>660</v>
      </c>
    </row>
    <row r="316" spans="1:2" x14ac:dyDescent="0.35">
      <c r="A316">
        <v>311</v>
      </c>
      <c r="B316" s="1">
        <v>720</v>
      </c>
    </row>
    <row r="317" spans="1:2" x14ac:dyDescent="0.35">
      <c r="A317">
        <v>312</v>
      </c>
      <c r="B317" s="1">
        <v>660</v>
      </c>
    </row>
    <row r="318" spans="1:2" x14ac:dyDescent="0.35">
      <c r="A318">
        <v>313</v>
      </c>
      <c r="B318" s="1">
        <v>740</v>
      </c>
    </row>
    <row r="319" spans="1:2" x14ac:dyDescent="0.35">
      <c r="A319">
        <v>314</v>
      </c>
      <c r="B319" s="1">
        <v>1060</v>
      </c>
    </row>
    <row r="320" spans="1:2" x14ac:dyDescent="0.35">
      <c r="A320">
        <v>315</v>
      </c>
      <c r="B320" s="1">
        <v>850</v>
      </c>
    </row>
    <row r="321" spans="1:2" x14ac:dyDescent="0.35">
      <c r="A321">
        <v>316</v>
      </c>
      <c r="B321" s="1">
        <v>1180</v>
      </c>
    </row>
    <row r="322" spans="1:2" x14ac:dyDescent="0.35">
      <c r="A322">
        <v>317</v>
      </c>
      <c r="B322" s="1">
        <v>360</v>
      </c>
    </row>
    <row r="323" spans="1:2" x14ac:dyDescent="0.35">
      <c r="A323">
        <v>318</v>
      </c>
      <c r="B323" s="1">
        <v>480</v>
      </c>
    </row>
    <row r="324" spans="1:2" x14ac:dyDescent="0.35">
      <c r="A324">
        <v>319</v>
      </c>
      <c r="B324" s="1">
        <v>920</v>
      </c>
    </row>
    <row r="325" spans="1:2" x14ac:dyDescent="0.35">
      <c r="A325">
        <v>320</v>
      </c>
      <c r="B325" s="1">
        <v>700</v>
      </c>
    </row>
    <row r="326" spans="1:2" x14ac:dyDescent="0.35">
      <c r="A326">
        <v>321</v>
      </c>
      <c r="B326" s="1">
        <v>1190</v>
      </c>
    </row>
    <row r="327" spans="1:2" x14ac:dyDescent="0.35">
      <c r="A327">
        <v>322</v>
      </c>
      <c r="B327" s="1">
        <v>520</v>
      </c>
    </row>
    <row r="328" spans="1:2" x14ac:dyDescent="0.35">
      <c r="A328">
        <v>323</v>
      </c>
      <c r="B328" s="1">
        <v>340</v>
      </c>
    </row>
    <row r="329" spans="1:2" x14ac:dyDescent="0.35">
      <c r="A329">
        <v>324</v>
      </c>
      <c r="B329" s="1">
        <v>840</v>
      </c>
    </row>
    <row r="330" spans="1:2" x14ac:dyDescent="0.35">
      <c r="A330">
        <v>325</v>
      </c>
      <c r="B330" s="1">
        <v>620</v>
      </c>
    </row>
    <row r="331" spans="1:2" x14ac:dyDescent="0.35">
      <c r="A331">
        <v>326</v>
      </c>
      <c r="B331" s="1">
        <v>660</v>
      </c>
    </row>
    <row r="332" spans="1:2" x14ac:dyDescent="0.35">
      <c r="A332">
        <v>327</v>
      </c>
      <c r="B332" s="1">
        <v>360</v>
      </c>
    </row>
    <row r="333" spans="1:2" x14ac:dyDescent="0.35">
      <c r="A333">
        <v>328</v>
      </c>
      <c r="B333" s="1">
        <v>710</v>
      </c>
    </row>
    <row r="334" spans="1:2" x14ac:dyDescent="0.35">
      <c r="A334">
        <v>329</v>
      </c>
      <c r="B334" s="1">
        <v>580</v>
      </c>
    </row>
    <row r="335" spans="1:2" x14ac:dyDescent="0.35">
      <c r="A335">
        <v>330</v>
      </c>
      <c r="B335" s="1">
        <v>790</v>
      </c>
    </row>
    <row r="336" spans="1:2" x14ac:dyDescent="0.35">
      <c r="A336">
        <v>331</v>
      </c>
      <c r="B336" s="1">
        <v>570</v>
      </c>
    </row>
    <row r="337" spans="1:2" x14ac:dyDescent="0.35">
      <c r="A337">
        <v>332</v>
      </c>
      <c r="B337" s="1">
        <v>930</v>
      </c>
    </row>
    <row r="338" spans="1:2" x14ac:dyDescent="0.35">
      <c r="A338">
        <v>333</v>
      </c>
      <c r="B338" s="1">
        <v>560</v>
      </c>
    </row>
    <row r="339" spans="1:2" x14ac:dyDescent="0.35">
      <c r="A339">
        <v>334</v>
      </c>
      <c r="B339" s="1">
        <v>370</v>
      </c>
    </row>
    <row r="340" spans="1:2" x14ac:dyDescent="0.35">
      <c r="A340">
        <v>335</v>
      </c>
      <c r="B340" s="1">
        <v>700</v>
      </c>
    </row>
    <row r="341" spans="1:2" x14ac:dyDescent="0.35">
      <c r="A341">
        <v>336</v>
      </c>
      <c r="B341" s="1">
        <v>1100</v>
      </c>
    </row>
    <row r="342" spans="1:2" x14ac:dyDescent="0.35">
      <c r="A342">
        <v>337</v>
      </c>
      <c r="B342" s="1">
        <v>1350</v>
      </c>
    </row>
    <row r="343" spans="1:2" x14ac:dyDescent="0.35">
      <c r="A343">
        <v>338</v>
      </c>
      <c r="B343" s="1">
        <v>1150</v>
      </c>
    </row>
    <row r="344" spans="1:2" x14ac:dyDescent="0.35">
      <c r="A344">
        <v>339</v>
      </c>
      <c r="B344" s="1">
        <v>420</v>
      </c>
    </row>
    <row r="345" spans="1:2" x14ac:dyDescent="0.35">
      <c r="A345">
        <v>340</v>
      </c>
      <c r="B345" s="1">
        <v>1060</v>
      </c>
    </row>
    <row r="346" spans="1:2" x14ac:dyDescent="0.35">
      <c r="A346">
        <v>341</v>
      </c>
      <c r="B346" s="1">
        <v>220</v>
      </c>
    </row>
    <row r="347" spans="1:2" x14ac:dyDescent="0.35">
      <c r="A347">
        <v>342</v>
      </c>
      <c r="B347" s="1">
        <v>180</v>
      </c>
    </row>
    <row r="348" spans="1:2" x14ac:dyDescent="0.35">
      <c r="A348">
        <v>343</v>
      </c>
      <c r="B348" s="1">
        <v>430</v>
      </c>
    </row>
    <row r="349" spans="1:2" x14ac:dyDescent="0.35">
      <c r="A349">
        <v>344</v>
      </c>
      <c r="B349" s="1">
        <v>510</v>
      </c>
    </row>
    <row r="350" spans="1:2" x14ac:dyDescent="0.35">
      <c r="A350">
        <v>345</v>
      </c>
      <c r="B350" s="1">
        <v>420</v>
      </c>
    </row>
    <row r="351" spans="1:2" x14ac:dyDescent="0.35">
      <c r="A351">
        <v>346</v>
      </c>
      <c r="B351" s="1">
        <v>1000</v>
      </c>
    </row>
    <row r="352" spans="1:2" x14ac:dyDescent="0.35">
      <c r="A352">
        <v>347</v>
      </c>
      <c r="B352" s="1">
        <v>970</v>
      </c>
    </row>
    <row r="353" spans="1:2" x14ac:dyDescent="0.35">
      <c r="A353">
        <v>348</v>
      </c>
      <c r="B353" s="1">
        <v>710</v>
      </c>
    </row>
    <row r="354" spans="1:2" x14ac:dyDescent="0.35">
      <c r="A354">
        <v>349</v>
      </c>
      <c r="B354" s="1">
        <v>390</v>
      </c>
    </row>
    <row r="355" spans="1:2" x14ac:dyDescent="0.35">
      <c r="A355">
        <v>350</v>
      </c>
      <c r="B355" s="1">
        <v>800</v>
      </c>
    </row>
    <row r="356" spans="1:2" x14ac:dyDescent="0.35">
      <c r="A356">
        <v>351</v>
      </c>
      <c r="B356" s="1">
        <v>320</v>
      </c>
    </row>
    <row r="357" spans="1:2" x14ac:dyDescent="0.35">
      <c r="A357">
        <v>352</v>
      </c>
      <c r="B357" s="1">
        <v>500</v>
      </c>
    </row>
    <row r="358" spans="1:2" x14ac:dyDescent="0.35">
      <c r="A358">
        <v>353</v>
      </c>
      <c r="B358" s="1">
        <v>920</v>
      </c>
    </row>
    <row r="359" spans="1:2" x14ac:dyDescent="0.35">
      <c r="A359">
        <v>354</v>
      </c>
      <c r="B359" s="1">
        <v>700</v>
      </c>
    </row>
    <row r="360" spans="1:2" x14ac:dyDescent="0.35">
      <c r="A360">
        <v>355</v>
      </c>
      <c r="B360" s="1">
        <v>540</v>
      </c>
    </row>
    <row r="361" spans="1:2" x14ac:dyDescent="0.35">
      <c r="A361">
        <v>356</v>
      </c>
      <c r="B361" s="1">
        <v>580</v>
      </c>
    </row>
    <row r="362" spans="1:2" x14ac:dyDescent="0.35">
      <c r="A362">
        <v>357</v>
      </c>
      <c r="B362" s="1">
        <v>950</v>
      </c>
    </row>
    <row r="363" spans="1:2" x14ac:dyDescent="0.35">
      <c r="A363">
        <v>358</v>
      </c>
      <c r="B363" s="1">
        <v>400</v>
      </c>
    </row>
    <row r="364" spans="1:2" x14ac:dyDescent="0.35">
      <c r="A364">
        <v>359</v>
      </c>
      <c r="B364" s="1">
        <v>980</v>
      </c>
    </row>
    <row r="365" spans="1:2" x14ac:dyDescent="0.35">
      <c r="A365">
        <v>360</v>
      </c>
      <c r="B365" s="1">
        <v>600</v>
      </c>
    </row>
    <row r="366" spans="1:2" x14ac:dyDescent="0.35">
      <c r="A366">
        <v>361</v>
      </c>
      <c r="B366" s="1">
        <v>420</v>
      </c>
    </row>
    <row r="367" spans="1:2" x14ac:dyDescent="0.35">
      <c r="A367">
        <v>362</v>
      </c>
      <c r="B367" s="1">
        <v>880</v>
      </c>
    </row>
    <row r="368" spans="1:2" x14ac:dyDescent="0.35">
      <c r="A368">
        <v>363</v>
      </c>
      <c r="B368" s="1">
        <v>480</v>
      </c>
    </row>
    <row r="369" spans="1:2" x14ac:dyDescent="0.35">
      <c r="A369">
        <v>364</v>
      </c>
      <c r="B369" s="1">
        <v>860</v>
      </c>
    </row>
    <row r="370" spans="1:2" x14ac:dyDescent="0.35">
      <c r="A370">
        <v>365</v>
      </c>
      <c r="B370" s="1">
        <v>680</v>
      </c>
    </row>
    <row r="371" spans="1:2" x14ac:dyDescent="0.35">
      <c r="A371">
        <v>366</v>
      </c>
      <c r="B371" s="1">
        <v>500</v>
      </c>
    </row>
    <row r="372" spans="1:2" x14ac:dyDescent="0.35">
      <c r="A372">
        <v>367</v>
      </c>
      <c r="B372" s="1">
        <v>200</v>
      </c>
    </row>
    <row r="373" spans="1:2" x14ac:dyDescent="0.35">
      <c r="A373">
        <v>368</v>
      </c>
      <c r="B373" s="1">
        <v>880</v>
      </c>
    </row>
    <row r="374" spans="1:2" x14ac:dyDescent="0.35">
      <c r="A374">
        <v>369</v>
      </c>
      <c r="B374" s="1">
        <v>420</v>
      </c>
    </row>
    <row r="375" spans="1:2" x14ac:dyDescent="0.35">
      <c r="A375">
        <v>370</v>
      </c>
      <c r="B375" s="1">
        <v>270</v>
      </c>
    </row>
    <row r="376" spans="1:2" x14ac:dyDescent="0.35">
      <c r="A376">
        <v>371</v>
      </c>
      <c r="B376" s="1">
        <v>940</v>
      </c>
    </row>
    <row r="377" spans="1:2" x14ac:dyDescent="0.35">
      <c r="A377">
        <v>372</v>
      </c>
      <c r="B377" s="1">
        <v>560</v>
      </c>
    </row>
    <row r="378" spans="1:2" x14ac:dyDescent="0.35">
      <c r="A378">
        <v>373</v>
      </c>
      <c r="B378" s="1">
        <v>850</v>
      </c>
    </row>
    <row r="379" spans="1:2" x14ac:dyDescent="0.35">
      <c r="A379">
        <v>374</v>
      </c>
      <c r="B379" s="1">
        <v>650</v>
      </c>
    </row>
    <row r="380" spans="1:2" x14ac:dyDescent="0.35">
      <c r="A380">
        <v>375</v>
      </c>
      <c r="B380" s="1">
        <v>470</v>
      </c>
    </row>
    <row r="381" spans="1:2" x14ac:dyDescent="0.35">
      <c r="A381">
        <v>376</v>
      </c>
      <c r="B381" s="1">
        <v>870</v>
      </c>
    </row>
    <row r="382" spans="1:2" x14ac:dyDescent="0.35">
      <c r="A382">
        <v>377</v>
      </c>
      <c r="B382" s="1">
        <v>340</v>
      </c>
    </row>
    <row r="383" spans="1:2" x14ac:dyDescent="0.35">
      <c r="A383">
        <v>378</v>
      </c>
      <c r="B383" s="1">
        <v>430</v>
      </c>
    </row>
    <row r="384" spans="1:2" x14ac:dyDescent="0.35">
      <c r="A384">
        <v>379</v>
      </c>
      <c r="B384" s="1">
        <v>540</v>
      </c>
    </row>
    <row r="385" spans="1:2" x14ac:dyDescent="0.35">
      <c r="A385">
        <v>380</v>
      </c>
      <c r="B385" s="1">
        <v>1160</v>
      </c>
    </row>
    <row r="386" spans="1:2" x14ac:dyDescent="0.35">
      <c r="A386">
        <v>381</v>
      </c>
      <c r="B386" s="1">
        <v>400</v>
      </c>
    </row>
    <row r="387" spans="1:2" x14ac:dyDescent="0.35">
      <c r="A387">
        <v>382</v>
      </c>
      <c r="B387" s="1">
        <v>580</v>
      </c>
    </row>
    <row r="388" spans="1:2" x14ac:dyDescent="0.35">
      <c r="A388">
        <v>383</v>
      </c>
      <c r="B388" s="1">
        <v>1110</v>
      </c>
    </row>
    <row r="389" spans="1:2" x14ac:dyDescent="0.35">
      <c r="A389">
        <v>384</v>
      </c>
      <c r="B389" s="1">
        <v>660</v>
      </c>
    </row>
    <row r="390" spans="1:2" x14ac:dyDescent="0.35">
      <c r="A390">
        <v>385</v>
      </c>
      <c r="B390" s="1">
        <v>490</v>
      </c>
    </row>
    <row r="391" spans="1:2" x14ac:dyDescent="0.35">
      <c r="A391">
        <v>386</v>
      </c>
      <c r="B391" s="1">
        <v>600</v>
      </c>
    </row>
    <row r="392" spans="1:2" x14ac:dyDescent="0.35">
      <c r="A392">
        <v>387</v>
      </c>
      <c r="B392" s="1">
        <v>1270</v>
      </c>
    </row>
    <row r="393" spans="1:2" x14ac:dyDescent="0.35">
      <c r="A393">
        <v>388</v>
      </c>
      <c r="B393" s="1">
        <v>420</v>
      </c>
    </row>
    <row r="394" spans="1:2" x14ac:dyDescent="0.35">
      <c r="A394">
        <v>389</v>
      </c>
      <c r="B394" s="1">
        <v>260</v>
      </c>
    </row>
    <row r="395" spans="1:2" x14ac:dyDescent="0.35">
      <c r="A395">
        <v>390</v>
      </c>
      <c r="B395" s="1">
        <v>1310</v>
      </c>
    </row>
    <row r="396" spans="1:2" x14ac:dyDescent="0.35">
      <c r="A396">
        <v>391</v>
      </c>
      <c r="B396" s="1">
        <v>840</v>
      </c>
    </row>
    <row r="397" spans="1:2" x14ac:dyDescent="0.35">
      <c r="A397">
        <v>392</v>
      </c>
      <c r="B397" s="1">
        <v>420</v>
      </c>
    </row>
    <row r="398" spans="1:2" x14ac:dyDescent="0.35">
      <c r="A398">
        <v>393</v>
      </c>
      <c r="B398" s="1">
        <v>540</v>
      </c>
    </row>
    <row r="399" spans="1:2" x14ac:dyDescent="0.35">
      <c r="A399">
        <v>394</v>
      </c>
      <c r="B399" s="1">
        <v>1330</v>
      </c>
    </row>
    <row r="400" spans="1:2" x14ac:dyDescent="0.35">
      <c r="A400">
        <v>395</v>
      </c>
      <c r="B400" s="1">
        <v>780</v>
      </c>
    </row>
    <row r="401" spans="1:2" x14ac:dyDescent="0.35">
      <c r="A401">
        <v>396</v>
      </c>
      <c r="B401" s="1">
        <v>810</v>
      </c>
    </row>
    <row r="402" spans="1:2" x14ac:dyDescent="0.35">
      <c r="A402">
        <v>397</v>
      </c>
      <c r="B402" s="1">
        <v>710</v>
      </c>
    </row>
    <row r="403" spans="1:2" x14ac:dyDescent="0.35">
      <c r="A403">
        <v>398</v>
      </c>
      <c r="B403" s="1">
        <v>300</v>
      </c>
    </row>
    <row r="404" spans="1:2" x14ac:dyDescent="0.35">
      <c r="A404">
        <v>399</v>
      </c>
      <c r="B404" s="1">
        <v>320</v>
      </c>
    </row>
    <row r="405" spans="1:2" x14ac:dyDescent="0.35">
      <c r="A405">
        <v>400</v>
      </c>
      <c r="B405" s="1">
        <v>1130</v>
      </c>
    </row>
    <row r="406" spans="1:2" x14ac:dyDescent="0.35">
      <c r="A406">
        <v>401</v>
      </c>
      <c r="B406" s="1">
        <v>1050</v>
      </c>
    </row>
    <row r="407" spans="1:2" x14ac:dyDescent="0.35">
      <c r="A407">
        <v>402</v>
      </c>
      <c r="B407" s="1">
        <v>280</v>
      </c>
    </row>
    <row r="408" spans="1:2" x14ac:dyDescent="0.35">
      <c r="A408">
        <v>403</v>
      </c>
      <c r="B408" s="1">
        <v>720</v>
      </c>
    </row>
    <row r="409" spans="1:2" x14ac:dyDescent="0.35">
      <c r="A409">
        <v>404</v>
      </c>
      <c r="B409" s="1">
        <v>680</v>
      </c>
    </row>
    <row r="410" spans="1:2" x14ac:dyDescent="0.35">
      <c r="A410">
        <v>405</v>
      </c>
      <c r="B410" s="1">
        <v>710</v>
      </c>
    </row>
    <row r="411" spans="1:2" x14ac:dyDescent="0.35">
      <c r="A411">
        <v>406</v>
      </c>
      <c r="B411" s="1">
        <v>630</v>
      </c>
    </row>
    <row r="412" spans="1:2" x14ac:dyDescent="0.35">
      <c r="A412">
        <v>407</v>
      </c>
      <c r="B412" s="1">
        <v>680</v>
      </c>
    </row>
    <row r="413" spans="1:2" x14ac:dyDescent="0.35">
      <c r="A413">
        <v>408</v>
      </c>
      <c r="B413" s="1">
        <v>500</v>
      </c>
    </row>
    <row r="414" spans="1:2" x14ac:dyDescent="0.35">
      <c r="A414">
        <v>409</v>
      </c>
      <c r="B414" s="1">
        <v>680</v>
      </c>
    </row>
    <row r="415" spans="1:2" x14ac:dyDescent="0.35">
      <c r="A415">
        <v>410</v>
      </c>
      <c r="B415" s="1">
        <v>660</v>
      </c>
    </row>
    <row r="416" spans="1:2" x14ac:dyDescent="0.35">
      <c r="A416">
        <v>411</v>
      </c>
      <c r="B416" s="1">
        <v>780</v>
      </c>
    </row>
    <row r="417" spans="1:2" x14ac:dyDescent="0.35">
      <c r="A417">
        <v>412</v>
      </c>
      <c r="B417" s="1">
        <v>950</v>
      </c>
    </row>
    <row r="418" spans="1:2" x14ac:dyDescent="0.35">
      <c r="A418">
        <v>413</v>
      </c>
      <c r="B418" s="1">
        <v>820</v>
      </c>
    </row>
    <row r="419" spans="1:2" x14ac:dyDescent="0.35">
      <c r="A419">
        <v>414</v>
      </c>
      <c r="B419" s="1">
        <v>490</v>
      </c>
    </row>
    <row r="420" spans="1:2" x14ac:dyDescent="0.35">
      <c r="A420">
        <v>415</v>
      </c>
      <c r="B420" s="1">
        <v>1100</v>
      </c>
    </row>
    <row r="421" spans="1:2" x14ac:dyDescent="0.35">
      <c r="A421">
        <v>416</v>
      </c>
      <c r="B421" s="1">
        <v>480</v>
      </c>
    </row>
    <row r="422" spans="1:2" x14ac:dyDescent="0.35">
      <c r="A422">
        <v>417</v>
      </c>
      <c r="B422" s="1">
        <v>860</v>
      </c>
    </row>
    <row r="423" spans="1:2" x14ac:dyDescent="0.35">
      <c r="A423">
        <v>418</v>
      </c>
      <c r="B423" s="1">
        <v>390</v>
      </c>
    </row>
    <row r="424" spans="1:2" x14ac:dyDescent="0.35">
      <c r="A424">
        <v>419</v>
      </c>
      <c r="B424" s="1">
        <v>600</v>
      </c>
    </row>
    <row r="425" spans="1:2" x14ac:dyDescent="0.35">
      <c r="A425">
        <v>420</v>
      </c>
      <c r="B425" s="1">
        <v>780</v>
      </c>
    </row>
    <row r="426" spans="1:2" x14ac:dyDescent="0.35">
      <c r="A426">
        <v>421</v>
      </c>
      <c r="B426" s="1">
        <v>300</v>
      </c>
    </row>
    <row r="427" spans="1:2" x14ac:dyDescent="0.35">
      <c r="A427">
        <v>422</v>
      </c>
      <c r="B427" s="1">
        <v>1000</v>
      </c>
    </row>
    <row r="428" spans="1:2" x14ac:dyDescent="0.35">
      <c r="A428">
        <v>423</v>
      </c>
      <c r="B428" s="1">
        <v>630</v>
      </c>
    </row>
    <row r="429" spans="1:2" x14ac:dyDescent="0.35">
      <c r="A429">
        <v>424</v>
      </c>
      <c r="B429" s="1">
        <v>870</v>
      </c>
    </row>
    <row r="430" spans="1:2" x14ac:dyDescent="0.35">
      <c r="A430">
        <v>425</v>
      </c>
      <c r="B430" s="1">
        <v>300</v>
      </c>
    </row>
    <row r="431" spans="1:2" x14ac:dyDescent="0.35">
      <c r="A431">
        <v>426</v>
      </c>
      <c r="B431" s="1">
        <v>440</v>
      </c>
    </row>
    <row r="432" spans="1:2" x14ac:dyDescent="0.35">
      <c r="A432">
        <v>427</v>
      </c>
      <c r="B432" s="1">
        <v>60</v>
      </c>
    </row>
    <row r="433" spans="1:2" x14ac:dyDescent="0.35">
      <c r="A433">
        <v>428</v>
      </c>
      <c r="B433" s="1">
        <v>660</v>
      </c>
    </row>
    <row r="434" spans="1:2" x14ac:dyDescent="0.35">
      <c r="A434">
        <v>429</v>
      </c>
      <c r="B434" s="1">
        <v>750</v>
      </c>
    </row>
    <row r="435" spans="1:2" x14ac:dyDescent="0.35">
      <c r="A435">
        <v>430</v>
      </c>
      <c r="B435" s="1">
        <v>340</v>
      </c>
    </row>
    <row r="436" spans="1:2" x14ac:dyDescent="0.35">
      <c r="A436">
        <v>431</v>
      </c>
      <c r="B436" s="1">
        <v>290</v>
      </c>
    </row>
    <row r="437" spans="1:2" x14ac:dyDescent="0.35">
      <c r="A437">
        <v>432</v>
      </c>
      <c r="B437" s="1">
        <v>870</v>
      </c>
    </row>
    <row r="438" spans="1:2" x14ac:dyDescent="0.35">
      <c r="A438">
        <v>433</v>
      </c>
      <c r="B438" s="1">
        <v>640</v>
      </c>
    </row>
    <row r="439" spans="1:2" x14ac:dyDescent="0.35">
      <c r="A439">
        <v>434</v>
      </c>
      <c r="B439" s="1">
        <v>540</v>
      </c>
    </row>
    <row r="440" spans="1:2" x14ac:dyDescent="0.35">
      <c r="A440">
        <v>435</v>
      </c>
      <c r="B440" s="1">
        <v>690</v>
      </c>
    </row>
    <row r="441" spans="1:2" x14ac:dyDescent="0.35">
      <c r="A441">
        <v>436</v>
      </c>
      <c r="B441" s="1">
        <v>540</v>
      </c>
    </row>
    <row r="442" spans="1:2" x14ac:dyDescent="0.35">
      <c r="A442">
        <v>437</v>
      </c>
      <c r="B442" s="1">
        <v>460</v>
      </c>
    </row>
    <row r="443" spans="1:2" x14ac:dyDescent="0.35">
      <c r="A443">
        <v>438</v>
      </c>
      <c r="B443" s="1">
        <v>680</v>
      </c>
    </row>
    <row r="444" spans="1:2" x14ac:dyDescent="0.35">
      <c r="A444">
        <v>439</v>
      </c>
      <c r="B444" s="1">
        <v>610</v>
      </c>
    </row>
    <row r="445" spans="1:2" x14ac:dyDescent="0.35">
      <c r="A445">
        <v>440</v>
      </c>
      <c r="B445" s="1">
        <v>600</v>
      </c>
    </row>
    <row r="446" spans="1:2" x14ac:dyDescent="0.35">
      <c r="A446">
        <v>441</v>
      </c>
      <c r="B446" s="1">
        <v>660</v>
      </c>
    </row>
    <row r="447" spans="1:2" x14ac:dyDescent="0.35">
      <c r="A447">
        <v>442</v>
      </c>
      <c r="B447" s="1">
        <v>650</v>
      </c>
    </row>
    <row r="448" spans="1:2" x14ac:dyDescent="0.35">
      <c r="A448">
        <v>443</v>
      </c>
      <c r="B448" s="1">
        <v>630</v>
      </c>
    </row>
    <row r="449" spans="1:2" x14ac:dyDescent="0.35">
      <c r="A449">
        <v>444</v>
      </c>
      <c r="B449" s="1">
        <v>360</v>
      </c>
    </row>
    <row r="450" spans="1:2" x14ac:dyDescent="0.35">
      <c r="A450">
        <v>445</v>
      </c>
      <c r="B450" s="1">
        <v>1160</v>
      </c>
    </row>
    <row r="451" spans="1:2" x14ac:dyDescent="0.35">
      <c r="A451">
        <v>446</v>
      </c>
      <c r="B451" s="1">
        <v>410</v>
      </c>
    </row>
    <row r="452" spans="1:2" x14ac:dyDescent="0.35">
      <c r="A452">
        <v>447</v>
      </c>
      <c r="B452" s="1">
        <v>280</v>
      </c>
    </row>
    <row r="453" spans="1:2" x14ac:dyDescent="0.35">
      <c r="A453">
        <v>448</v>
      </c>
      <c r="B453" s="1">
        <v>810</v>
      </c>
    </row>
    <row r="454" spans="1:2" x14ac:dyDescent="0.35">
      <c r="A454">
        <v>449</v>
      </c>
      <c r="B454" s="1">
        <v>550</v>
      </c>
    </row>
    <row r="455" spans="1:2" x14ac:dyDescent="0.35">
      <c r="A455">
        <v>450</v>
      </c>
      <c r="B455" s="1">
        <v>520</v>
      </c>
    </row>
    <row r="456" spans="1:2" x14ac:dyDescent="0.35">
      <c r="A456">
        <v>451</v>
      </c>
      <c r="B456" s="1">
        <v>690</v>
      </c>
    </row>
    <row r="457" spans="1:2" x14ac:dyDescent="0.35">
      <c r="A457">
        <v>452</v>
      </c>
      <c r="B457" s="1">
        <v>540</v>
      </c>
    </row>
    <row r="458" spans="1:2" x14ac:dyDescent="0.35">
      <c r="A458">
        <v>453</v>
      </c>
      <c r="B458" s="1">
        <v>760</v>
      </c>
    </row>
    <row r="459" spans="1:2" x14ac:dyDescent="0.35">
      <c r="A459">
        <v>454</v>
      </c>
      <c r="B459" s="1">
        <v>480</v>
      </c>
    </row>
    <row r="460" spans="1:2" x14ac:dyDescent="0.35">
      <c r="A460">
        <v>455</v>
      </c>
      <c r="B460" s="1">
        <v>600</v>
      </c>
    </row>
    <row r="461" spans="1:2" x14ac:dyDescent="0.35">
      <c r="A461">
        <v>456</v>
      </c>
      <c r="B461" s="1">
        <v>1010</v>
      </c>
    </row>
    <row r="462" spans="1:2" x14ac:dyDescent="0.35">
      <c r="A462">
        <v>457</v>
      </c>
      <c r="B462" s="1">
        <v>540</v>
      </c>
    </row>
    <row r="463" spans="1:2" x14ac:dyDescent="0.35">
      <c r="A463">
        <v>458</v>
      </c>
      <c r="B463" s="1">
        <v>880</v>
      </c>
    </row>
    <row r="464" spans="1:2" x14ac:dyDescent="0.35">
      <c r="A464">
        <v>459</v>
      </c>
      <c r="B464" s="1">
        <v>840</v>
      </c>
    </row>
    <row r="465" spans="1:2" x14ac:dyDescent="0.35">
      <c r="A465">
        <v>460</v>
      </c>
      <c r="B465" s="1">
        <v>1350</v>
      </c>
    </row>
    <row r="466" spans="1:2" x14ac:dyDescent="0.35">
      <c r="A466">
        <v>461</v>
      </c>
      <c r="B466" s="1">
        <v>380</v>
      </c>
    </row>
    <row r="467" spans="1:2" x14ac:dyDescent="0.35">
      <c r="A467">
        <v>462</v>
      </c>
      <c r="B467" s="1">
        <v>1130</v>
      </c>
    </row>
    <row r="468" spans="1:2" x14ac:dyDescent="0.35">
      <c r="A468">
        <v>463</v>
      </c>
      <c r="B468" s="1">
        <v>460</v>
      </c>
    </row>
    <row r="469" spans="1:2" x14ac:dyDescent="0.35">
      <c r="A469">
        <v>464</v>
      </c>
      <c r="B469" s="1">
        <v>440</v>
      </c>
    </row>
    <row r="470" spans="1:2" x14ac:dyDescent="0.35">
      <c r="A470">
        <v>465</v>
      </c>
      <c r="B470" s="1">
        <v>800</v>
      </c>
    </row>
    <row r="471" spans="1:2" x14ac:dyDescent="0.35">
      <c r="A471">
        <v>466</v>
      </c>
      <c r="B471" s="1">
        <v>140</v>
      </c>
    </row>
    <row r="472" spans="1:2" x14ac:dyDescent="0.35">
      <c r="A472">
        <v>467</v>
      </c>
      <c r="B472" s="1">
        <v>850</v>
      </c>
    </row>
    <row r="473" spans="1:2" x14ac:dyDescent="0.35">
      <c r="A473">
        <v>468</v>
      </c>
      <c r="B473" s="1">
        <v>440</v>
      </c>
    </row>
    <row r="474" spans="1:2" x14ac:dyDescent="0.35">
      <c r="A474">
        <v>469</v>
      </c>
      <c r="B474" s="1">
        <v>480</v>
      </c>
    </row>
    <row r="475" spans="1:2" x14ac:dyDescent="0.35">
      <c r="A475">
        <v>470</v>
      </c>
      <c r="B475" s="1">
        <v>850</v>
      </c>
    </row>
    <row r="476" spans="1:2" x14ac:dyDescent="0.35">
      <c r="A476">
        <v>471</v>
      </c>
      <c r="B476" s="1">
        <v>420</v>
      </c>
    </row>
    <row r="477" spans="1:2" x14ac:dyDescent="0.35">
      <c r="A477">
        <v>472</v>
      </c>
      <c r="B477" s="1">
        <v>460</v>
      </c>
    </row>
    <row r="478" spans="1:2" x14ac:dyDescent="0.35">
      <c r="A478">
        <v>473</v>
      </c>
      <c r="B478" s="1">
        <v>740</v>
      </c>
    </row>
    <row r="479" spans="1:2" x14ac:dyDescent="0.35">
      <c r="A479">
        <v>474</v>
      </c>
      <c r="B479" s="1">
        <v>800</v>
      </c>
    </row>
    <row r="480" spans="1:2" x14ac:dyDescent="0.35">
      <c r="A480">
        <v>475</v>
      </c>
      <c r="B480" s="1">
        <v>540</v>
      </c>
    </row>
    <row r="481" spans="1:2" x14ac:dyDescent="0.35">
      <c r="A481">
        <v>476</v>
      </c>
      <c r="B481" s="1">
        <v>680</v>
      </c>
    </row>
    <row r="482" spans="1:2" x14ac:dyDescent="0.35">
      <c r="A482">
        <v>477</v>
      </c>
      <c r="B482" s="1">
        <v>730</v>
      </c>
    </row>
    <row r="483" spans="1:2" x14ac:dyDescent="0.35">
      <c r="A483">
        <v>478</v>
      </c>
      <c r="B483" s="1">
        <v>770</v>
      </c>
    </row>
    <row r="484" spans="1:2" x14ac:dyDescent="0.35">
      <c r="A484">
        <v>479</v>
      </c>
      <c r="B484" s="1">
        <v>160</v>
      </c>
    </row>
    <row r="485" spans="1:2" x14ac:dyDescent="0.35">
      <c r="A485">
        <v>480</v>
      </c>
      <c r="B485" s="1">
        <v>1240</v>
      </c>
    </row>
    <row r="486" spans="1:2" x14ac:dyDescent="0.35">
      <c r="A486">
        <v>481</v>
      </c>
      <c r="B486" s="1">
        <v>440</v>
      </c>
    </row>
    <row r="487" spans="1:2" x14ac:dyDescent="0.35">
      <c r="A487">
        <v>482</v>
      </c>
      <c r="B487" s="1">
        <v>550</v>
      </c>
    </row>
    <row r="488" spans="1:2" x14ac:dyDescent="0.35">
      <c r="A488">
        <v>483</v>
      </c>
      <c r="B488" s="1">
        <v>240</v>
      </c>
    </row>
    <row r="489" spans="1:2" x14ac:dyDescent="0.35">
      <c r="A489">
        <v>484</v>
      </c>
      <c r="B489" s="1">
        <v>610</v>
      </c>
    </row>
    <row r="490" spans="1:2" x14ac:dyDescent="0.35">
      <c r="A490">
        <v>485</v>
      </c>
      <c r="B490" s="1">
        <v>1140</v>
      </c>
    </row>
    <row r="491" spans="1:2" x14ac:dyDescent="0.35">
      <c r="A491">
        <v>486</v>
      </c>
      <c r="B491" s="1">
        <v>440</v>
      </c>
    </row>
    <row r="492" spans="1:2" x14ac:dyDescent="0.35">
      <c r="A492">
        <v>487</v>
      </c>
      <c r="B492" s="1">
        <v>980</v>
      </c>
    </row>
    <row r="493" spans="1:2" x14ac:dyDescent="0.35">
      <c r="A493">
        <v>488</v>
      </c>
      <c r="B493" s="1">
        <v>720</v>
      </c>
    </row>
    <row r="494" spans="1:2" x14ac:dyDescent="0.35">
      <c r="A494">
        <v>489</v>
      </c>
      <c r="B494" s="1">
        <v>720</v>
      </c>
    </row>
    <row r="495" spans="1:2" x14ac:dyDescent="0.35">
      <c r="A495">
        <v>490</v>
      </c>
      <c r="B495" s="1">
        <v>380</v>
      </c>
    </row>
    <row r="496" spans="1:2" x14ac:dyDescent="0.35">
      <c r="A496">
        <v>491</v>
      </c>
      <c r="B496" s="1">
        <v>680</v>
      </c>
    </row>
    <row r="497" spans="1:2" x14ac:dyDescent="0.35">
      <c r="A497">
        <v>492</v>
      </c>
      <c r="B497" s="1">
        <v>650</v>
      </c>
    </row>
    <row r="498" spans="1:2" x14ac:dyDescent="0.35">
      <c r="A498">
        <v>493</v>
      </c>
      <c r="B498" s="1">
        <v>920</v>
      </c>
    </row>
    <row r="499" spans="1:2" x14ac:dyDescent="0.35">
      <c r="A499">
        <v>494</v>
      </c>
      <c r="B499" s="1">
        <v>1130</v>
      </c>
    </row>
    <row r="500" spans="1:2" x14ac:dyDescent="0.35">
      <c r="A500">
        <v>495</v>
      </c>
      <c r="B500" s="1">
        <v>460</v>
      </c>
    </row>
    <row r="501" spans="1:2" x14ac:dyDescent="0.35">
      <c r="A501">
        <v>496</v>
      </c>
      <c r="B501" s="1">
        <v>180</v>
      </c>
    </row>
    <row r="502" spans="1:2" x14ac:dyDescent="0.35">
      <c r="A502">
        <v>497</v>
      </c>
      <c r="B502" s="1">
        <v>280</v>
      </c>
    </row>
    <row r="503" spans="1:2" x14ac:dyDescent="0.35">
      <c r="A503">
        <v>498</v>
      </c>
      <c r="B503" s="1">
        <v>770</v>
      </c>
    </row>
    <row r="504" spans="1:2" x14ac:dyDescent="0.35">
      <c r="A504">
        <v>499</v>
      </c>
      <c r="B504" s="1">
        <v>300</v>
      </c>
    </row>
    <row r="505" spans="1:2" x14ac:dyDescent="0.35">
      <c r="A505">
        <v>500</v>
      </c>
      <c r="B505" s="1">
        <v>890</v>
      </c>
    </row>
    <row r="506" spans="1:2" x14ac:dyDescent="0.35">
      <c r="A506">
        <v>501</v>
      </c>
      <c r="B506" s="1">
        <v>810</v>
      </c>
    </row>
    <row r="507" spans="1:2" x14ac:dyDescent="0.35">
      <c r="A507">
        <v>502</v>
      </c>
      <c r="B507" s="1">
        <v>1490</v>
      </c>
    </row>
    <row r="508" spans="1:2" x14ac:dyDescent="0.35">
      <c r="A508">
        <v>503</v>
      </c>
      <c r="B508" s="1">
        <v>440</v>
      </c>
    </row>
    <row r="509" spans="1:2" x14ac:dyDescent="0.35">
      <c r="A509">
        <v>504</v>
      </c>
      <c r="B509" s="1">
        <v>850</v>
      </c>
    </row>
    <row r="510" spans="1:2" x14ac:dyDescent="0.35">
      <c r="A510">
        <v>505</v>
      </c>
      <c r="B510" s="1">
        <v>500</v>
      </c>
    </row>
    <row r="511" spans="1:2" x14ac:dyDescent="0.35">
      <c r="A511">
        <v>506</v>
      </c>
      <c r="B511" s="1">
        <v>930</v>
      </c>
    </row>
    <row r="512" spans="1:2" x14ac:dyDescent="0.35">
      <c r="A512">
        <v>507</v>
      </c>
      <c r="B512" s="1">
        <v>540</v>
      </c>
    </row>
    <row r="513" spans="1:2" x14ac:dyDescent="0.35">
      <c r="A513">
        <v>508</v>
      </c>
      <c r="B513" s="1">
        <v>740</v>
      </c>
    </row>
    <row r="514" spans="1:2" x14ac:dyDescent="0.35">
      <c r="A514">
        <v>509</v>
      </c>
      <c r="B514" s="1">
        <v>540</v>
      </c>
    </row>
    <row r="515" spans="1:2" x14ac:dyDescent="0.35">
      <c r="A515">
        <v>510</v>
      </c>
      <c r="B515" s="1">
        <v>240</v>
      </c>
    </row>
    <row r="516" spans="1:2" x14ac:dyDescent="0.35">
      <c r="A516">
        <v>511</v>
      </c>
      <c r="B516" s="1">
        <v>630</v>
      </c>
    </row>
    <row r="517" spans="1:2" x14ac:dyDescent="0.35">
      <c r="A517">
        <v>512</v>
      </c>
      <c r="B517" s="1">
        <v>840</v>
      </c>
    </row>
    <row r="518" spans="1:2" x14ac:dyDescent="0.35">
      <c r="A518">
        <v>513</v>
      </c>
      <c r="B518" s="1">
        <v>880</v>
      </c>
    </row>
    <row r="519" spans="1:2" x14ac:dyDescent="0.35">
      <c r="A519">
        <v>514</v>
      </c>
      <c r="B519" s="1">
        <v>650</v>
      </c>
    </row>
    <row r="520" spans="1:2" x14ac:dyDescent="0.35">
      <c r="A520">
        <v>515</v>
      </c>
      <c r="B520" s="1">
        <v>780</v>
      </c>
    </row>
    <row r="521" spans="1:2" x14ac:dyDescent="0.35">
      <c r="A521">
        <v>516</v>
      </c>
      <c r="B521" s="1">
        <v>500</v>
      </c>
    </row>
    <row r="522" spans="1:2" x14ac:dyDescent="0.35">
      <c r="A522">
        <v>517</v>
      </c>
      <c r="B522" s="1">
        <v>780</v>
      </c>
    </row>
    <row r="523" spans="1:2" x14ac:dyDescent="0.35">
      <c r="A523">
        <v>518</v>
      </c>
      <c r="B523" s="1">
        <v>700</v>
      </c>
    </row>
    <row r="524" spans="1:2" x14ac:dyDescent="0.35">
      <c r="A524">
        <v>519</v>
      </c>
      <c r="B524" s="1">
        <v>440</v>
      </c>
    </row>
    <row r="525" spans="1:2" x14ac:dyDescent="0.35">
      <c r="A525">
        <v>520</v>
      </c>
      <c r="B525" s="1">
        <v>900</v>
      </c>
    </row>
    <row r="526" spans="1:2" x14ac:dyDescent="0.35">
      <c r="A526">
        <v>521</v>
      </c>
      <c r="B526" s="1">
        <v>910</v>
      </c>
    </row>
    <row r="527" spans="1:2" x14ac:dyDescent="0.35">
      <c r="A527">
        <v>522</v>
      </c>
      <c r="B527" s="1">
        <v>910</v>
      </c>
    </row>
    <row r="528" spans="1:2" x14ac:dyDescent="0.35">
      <c r="A528">
        <v>523</v>
      </c>
      <c r="B528" s="1">
        <v>700</v>
      </c>
    </row>
    <row r="529" spans="1:2" x14ac:dyDescent="0.35">
      <c r="A529">
        <v>524</v>
      </c>
      <c r="B529" s="1">
        <v>710</v>
      </c>
    </row>
    <row r="530" spans="1:2" x14ac:dyDescent="0.35">
      <c r="A530">
        <v>525</v>
      </c>
      <c r="B530" s="1">
        <v>440</v>
      </c>
    </row>
    <row r="531" spans="1:2" x14ac:dyDescent="0.35">
      <c r="A531">
        <v>526</v>
      </c>
      <c r="B531" s="1">
        <v>840</v>
      </c>
    </row>
    <row r="532" spans="1:2" x14ac:dyDescent="0.35">
      <c r="A532">
        <v>527</v>
      </c>
      <c r="B532" s="1">
        <v>500</v>
      </c>
    </row>
    <row r="533" spans="1:2" x14ac:dyDescent="0.35">
      <c r="A533">
        <v>528</v>
      </c>
      <c r="B533" s="1">
        <v>460</v>
      </c>
    </row>
    <row r="534" spans="1:2" x14ac:dyDescent="0.35">
      <c r="A534">
        <v>529</v>
      </c>
      <c r="B534" s="1">
        <v>830</v>
      </c>
    </row>
    <row r="535" spans="1:2" x14ac:dyDescent="0.35">
      <c r="A535">
        <v>530</v>
      </c>
      <c r="B535" s="1">
        <v>520</v>
      </c>
    </row>
    <row r="536" spans="1:2" x14ac:dyDescent="0.35">
      <c r="A536">
        <v>531</v>
      </c>
      <c r="B536" s="1">
        <v>260</v>
      </c>
    </row>
    <row r="537" spans="1:2" x14ac:dyDescent="0.35">
      <c r="A537">
        <v>532</v>
      </c>
      <c r="B537" s="1">
        <v>380</v>
      </c>
    </row>
    <row r="538" spans="1:2" x14ac:dyDescent="0.35">
      <c r="A538">
        <v>533</v>
      </c>
      <c r="B538" s="1">
        <v>780</v>
      </c>
    </row>
    <row r="539" spans="1:2" x14ac:dyDescent="0.35">
      <c r="A539">
        <v>534</v>
      </c>
      <c r="B539" s="1">
        <v>440</v>
      </c>
    </row>
    <row r="540" spans="1:2" x14ac:dyDescent="0.35">
      <c r="A540">
        <v>535</v>
      </c>
      <c r="B540" s="1">
        <v>620</v>
      </c>
    </row>
    <row r="541" spans="1:2" x14ac:dyDescent="0.35">
      <c r="A541">
        <v>536</v>
      </c>
      <c r="B541" s="1">
        <v>950</v>
      </c>
    </row>
    <row r="542" spans="1:2" x14ac:dyDescent="0.35">
      <c r="A542">
        <v>537</v>
      </c>
      <c r="B542" s="1">
        <v>400</v>
      </c>
    </row>
    <row r="543" spans="1:2" x14ac:dyDescent="0.35">
      <c r="A543">
        <v>538</v>
      </c>
      <c r="B543" s="1">
        <v>80</v>
      </c>
    </row>
    <row r="544" spans="1:2" x14ac:dyDescent="0.35">
      <c r="A544">
        <v>539</v>
      </c>
      <c r="B544" s="1">
        <v>300</v>
      </c>
    </row>
    <row r="545" spans="1:2" x14ac:dyDescent="0.35">
      <c r="A545">
        <v>540</v>
      </c>
      <c r="B545" s="1">
        <v>600</v>
      </c>
    </row>
    <row r="546" spans="1:2" x14ac:dyDescent="0.35">
      <c r="A546">
        <v>541</v>
      </c>
      <c r="B546" s="1">
        <v>1210</v>
      </c>
    </row>
    <row r="547" spans="1:2" x14ac:dyDescent="0.35">
      <c r="A547">
        <v>542</v>
      </c>
      <c r="B547" s="1">
        <v>660</v>
      </c>
    </row>
    <row r="548" spans="1:2" x14ac:dyDescent="0.35">
      <c r="A548">
        <v>543</v>
      </c>
      <c r="B548" s="1">
        <v>440</v>
      </c>
    </row>
    <row r="549" spans="1:2" x14ac:dyDescent="0.35">
      <c r="A549">
        <v>544</v>
      </c>
      <c r="B549" s="1">
        <v>420</v>
      </c>
    </row>
    <row r="550" spans="1:2" x14ac:dyDescent="0.35">
      <c r="A550">
        <v>545</v>
      </c>
      <c r="B550" s="1">
        <v>520</v>
      </c>
    </row>
    <row r="551" spans="1:2" x14ac:dyDescent="0.35">
      <c r="A551">
        <v>546</v>
      </c>
      <c r="B551" s="1">
        <v>960</v>
      </c>
    </row>
    <row r="552" spans="1:2" x14ac:dyDescent="0.35">
      <c r="A552">
        <v>547</v>
      </c>
      <c r="B552" s="1">
        <v>1000</v>
      </c>
    </row>
    <row r="553" spans="1:2" x14ac:dyDescent="0.35">
      <c r="A553">
        <v>548</v>
      </c>
      <c r="B553" s="1">
        <v>920</v>
      </c>
    </row>
    <row r="554" spans="1:2" x14ac:dyDescent="0.35">
      <c r="A554">
        <v>549</v>
      </c>
      <c r="B554" s="1">
        <v>470</v>
      </c>
    </row>
    <row r="555" spans="1:2" x14ac:dyDescent="0.35">
      <c r="A555">
        <v>550</v>
      </c>
      <c r="B555" s="1">
        <v>220</v>
      </c>
    </row>
    <row r="556" spans="1:2" x14ac:dyDescent="0.35">
      <c r="A556">
        <v>551</v>
      </c>
      <c r="B556" s="1">
        <v>280</v>
      </c>
    </row>
    <row r="557" spans="1:2" x14ac:dyDescent="0.35">
      <c r="A557">
        <v>552</v>
      </c>
      <c r="B557" s="1">
        <v>500</v>
      </c>
    </row>
    <row r="558" spans="1:2" x14ac:dyDescent="0.35">
      <c r="A558">
        <v>553</v>
      </c>
      <c r="B558" s="1">
        <v>680</v>
      </c>
    </row>
    <row r="559" spans="1:2" x14ac:dyDescent="0.35">
      <c r="A559">
        <v>554</v>
      </c>
      <c r="B559" s="1">
        <v>590</v>
      </c>
    </row>
    <row r="560" spans="1:2" x14ac:dyDescent="0.35">
      <c r="A560">
        <v>555</v>
      </c>
      <c r="B560" s="1">
        <v>900</v>
      </c>
    </row>
    <row r="561" spans="1:2" x14ac:dyDescent="0.35">
      <c r="A561">
        <v>556</v>
      </c>
      <c r="B561" s="1">
        <v>620</v>
      </c>
    </row>
    <row r="562" spans="1:2" x14ac:dyDescent="0.35">
      <c r="A562">
        <v>557</v>
      </c>
      <c r="B562" s="1">
        <v>860</v>
      </c>
    </row>
    <row r="563" spans="1:2" x14ac:dyDescent="0.35">
      <c r="A563">
        <v>558</v>
      </c>
      <c r="B563" s="1">
        <v>300</v>
      </c>
    </row>
    <row r="564" spans="1:2" x14ac:dyDescent="0.35">
      <c r="A564">
        <v>559</v>
      </c>
      <c r="B564" s="1">
        <v>1210</v>
      </c>
    </row>
    <row r="565" spans="1:2" x14ac:dyDescent="0.35">
      <c r="A565">
        <v>560</v>
      </c>
      <c r="B565" s="1">
        <v>970</v>
      </c>
    </row>
    <row r="566" spans="1:2" x14ac:dyDescent="0.35">
      <c r="A566">
        <v>561</v>
      </c>
      <c r="B566" s="1">
        <v>320</v>
      </c>
    </row>
    <row r="567" spans="1:2" x14ac:dyDescent="0.35">
      <c r="A567">
        <v>562</v>
      </c>
      <c r="B567" s="1">
        <v>360</v>
      </c>
    </row>
    <row r="568" spans="1:2" x14ac:dyDescent="0.35">
      <c r="A568">
        <v>563</v>
      </c>
      <c r="B568" s="1">
        <v>340</v>
      </c>
    </row>
    <row r="569" spans="1:2" x14ac:dyDescent="0.35">
      <c r="A569">
        <v>564</v>
      </c>
      <c r="B569" s="1">
        <v>380</v>
      </c>
    </row>
    <row r="570" spans="1:2" x14ac:dyDescent="0.35">
      <c r="A570">
        <v>565</v>
      </c>
      <c r="B570" s="1">
        <v>480</v>
      </c>
    </row>
    <row r="571" spans="1:2" x14ac:dyDescent="0.35">
      <c r="A571">
        <v>566</v>
      </c>
      <c r="B571" s="1">
        <v>200</v>
      </c>
    </row>
    <row r="572" spans="1:2" x14ac:dyDescent="0.35">
      <c r="A572">
        <v>567</v>
      </c>
      <c r="B572" s="1">
        <v>480</v>
      </c>
    </row>
    <row r="573" spans="1:2" x14ac:dyDescent="0.35">
      <c r="A573">
        <v>568</v>
      </c>
      <c r="B573" s="1">
        <v>120</v>
      </c>
    </row>
    <row r="574" spans="1:2" x14ac:dyDescent="0.35">
      <c r="A574">
        <v>569</v>
      </c>
      <c r="B574" s="1">
        <v>470</v>
      </c>
    </row>
    <row r="575" spans="1:2" x14ac:dyDescent="0.35">
      <c r="A575">
        <v>570</v>
      </c>
      <c r="B575" s="1">
        <v>630</v>
      </c>
    </row>
    <row r="576" spans="1:2" x14ac:dyDescent="0.35">
      <c r="A576">
        <v>571</v>
      </c>
      <c r="B576" s="1">
        <v>700</v>
      </c>
    </row>
    <row r="577" spans="1:2" x14ac:dyDescent="0.35">
      <c r="A577">
        <v>572</v>
      </c>
      <c r="B577" s="1">
        <v>780</v>
      </c>
    </row>
    <row r="578" spans="1:2" x14ac:dyDescent="0.35">
      <c r="A578">
        <v>573</v>
      </c>
      <c r="B578" s="1">
        <v>140</v>
      </c>
    </row>
    <row r="579" spans="1:2" x14ac:dyDescent="0.35">
      <c r="A579">
        <v>574</v>
      </c>
      <c r="B579" s="1">
        <v>600</v>
      </c>
    </row>
    <row r="580" spans="1:2" x14ac:dyDescent="0.35">
      <c r="A580">
        <v>575</v>
      </c>
      <c r="B580" s="1">
        <v>490</v>
      </c>
    </row>
    <row r="581" spans="1:2" x14ac:dyDescent="0.35">
      <c r="A581">
        <v>576</v>
      </c>
      <c r="B581" s="1">
        <v>280</v>
      </c>
    </row>
    <row r="582" spans="1:2" x14ac:dyDescent="0.35">
      <c r="A582">
        <v>577</v>
      </c>
      <c r="B582" s="1">
        <v>810</v>
      </c>
    </row>
    <row r="583" spans="1:2" x14ac:dyDescent="0.35">
      <c r="A583">
        <v>578</v>
      </c>
      <c r="B583" s="1">
        <v>870</v>
      </c>
    </row>
    <row r="584" spans="1:2" x14ac:dyDescent="0.35">
      <c r="A584">
        <v>579</v>
      </c>
      <c r="B584" s="1">
        <v>420</v>
      </c>
    </row>
    <row r="585" spans="1:2" x14ac:dyDescent="0.35">
      <c r="A585">
        <v>580</v>
      </c>
      <c r="B585" s="1">
        <v>1020</v>
      </c>
    </row>
    <row r="586" spans="1:2" x14ac:dyDescent="0.35">
      <c r="A586">
        <v>581</v>
      </c>
      <c r="B586" s="1">
        <v>850</v>
      </c>
    </row>
    <row r="587" spans="1:2" x14ac:dyDescent="0.35">
      <c r="A587">
        <v>582</v>
      </c>
      <c r="B587" s="1">
        <v>720</v>
      </c>
    </row>
    <row r="588" spans="1:2" x14ac:dyDescent="0.35">
      <c r="A588">
        <v>583</v>
      </c>
      <c r="B588" s="1">
        <v>760</v>
      </c>
    </row>
    <row r="589" spans="1:2" x14ac:dyDescent="0.35">
      <c r="A589">
        <v>584</v>
      </c>
      <c r="B589" s="1">
        <v>500</v>
      </c>
    </row>
    <row r="590" spans="1:2" x14ac:dyDescent="0.35">
      <c r="A590">
        <v>585</v>
      </c>
      <c r="B590" s="1">
        <v>800</v>
      </c>
    </row>
    <row r="591" spans="1:2" x14ac:dyDescent="0.35">
      <c r="A591">
        <v>586</v>
      </c>
      <c r="B591" s="1">
        <v>390</v>
      </c>
    </row>
    <row r="592" spans="1:2" x14ac:dyDescent="0.35">
      <c r="A592">
        <v>587</v>
      </c>
      <c r="B592" s="1">
        <v>1020</v>
      </c>
    </row>
    <row r="593" spans="1:2" x14ac:dyDescent="0.35">
      <c r="A593">
        <v>588</v>
      </c>
      <c r="B593" s="1">
        <v>810</v>
      </c>
    </row>
    <row r="594" spans="1:2" x14ac:dyDescent="0.35">
      <c r="A594">
        <v>589</v>
      </c>
      <c r="B594" s="1">
        <v>460</v>
      </c>
    </row>
    <row r="595" spans="1:2" x14ac:dyDescent="0.35">
      <c r="A595">
        <v>590</v>
      </c>
      <c r="B595" s="1">
        <v>820</v>
      </c>
    </row>
    <row r="596" spans="1:2" x14ac:dyDescent="0.35">
      <c r="A596">
        <v>591</v>
      </c>
      <c r="B596" s="1">
        <v>440</v>
      </c>
    </row>
    <row r="597" spans="1:2" x14ac:dyDescent="0.35">
      <c r="A597">
        <v>592</v>
      </c>
      <c r="B597" s="1">
        <v>730</v>
      </c>
    </row>
    <row r="598" spans="1:2" x14ac:dyDescent="0.35">
      <c r="A598">
        <v>593</v>
      </c>
      <c r="B598" s="1">
        <v>800</v>
      </c>
    </row>
    <row r="599" spans="1:2" x14ac:dyDescent="0.35">
      <c r="A599">
        <v>594</v>
      </c>
      <c r="B599" s="1">
        <v>400</v>
      </c>
    </row>
    <row r="600" spans="1:2" x14ac:dyDescent="0.35">
      <c r="A600">
        <v>595</v>
      </c>
      <c r="B600" s="1">
        <v>200</v>
      </c>
    </row>
    <row r="601" spans="1:2" x14ac:dyDescent="0.35">
      <c r="A601">
        <v>596</v>
      </c>
      <c r="B601" s="1">
        <v>680</v>
      </c>
    </row>
    <row r="602" spans="1:2" x14ac:dyDescent="0.35">
      <c r="A602">
        <v>597</v>
      </c>
      <c r="B602" s="1">
        <v>620</v>
      </c>
    </row>
    <row r="603" spans="1:2" x14ac:dyDescent="0.35">
      <c r="A603">
        <v>598</v>
      </c>
      <c r="B603" s="1">
        <v>780</v>
      </c>
    </row>
    <row r="604" spans="1:2" x14ac:dyDescent="0.35">
      <c r="A604">
        <v>599</v>
      </c>
      <c r="B604" s="1">
        <v>460</v>
      </c>
    </row>
    <row r="605" spans="1:2" x14ac:dyDescent="0.35">
      <c r="A605">
        <v>600</v>
      </c>
      <c r="B605" s="1">
        <v>300</v>
      </c>
    </row>
    <row r="606" spans="1:2" x14ac:dyDescent="0.35">
      <c r="A606">
        <v>601</v>
      </c>
      <c r="B606" s="1">
        <v>530</v>
      </c>
    </row>
    <row r="607" spans="1:2" x14ac:dyDescent="0.35">
      <c r="A607">
        <v>602</v>
      </c>
      <c r="B607" s="1">
        <v>460</v>
      </c>
    </row>
    <row r="608" spans="1:2" x14ac:dyDescent="0.35">
      <c r="A608">
        <v>603</v>
      </c>
      <c r="B608" s="1">
        <v>480</v>
      </c>
    </row>
    <row r="609" spans="1:2" x14ac:dyDescent="0.35">
      <c r="A609">
        <v>604</v>
      </c>
      <c r="B609" s="1">
        <v>930</v>
      </c>
    </row>
    <row r="610" spans="1:2" x14ac:dyDescent="0.35">
      <c r="A610">
        <v>605</v>
      </c>
      <c r="B610" s="1">
        <v>720</v>
      </c>
    </row>
    <row r="611" spans="1:2" x14ac:dyDescent="0.35">
      <c r="A611">
        <v>606</v>
      </c>
      <c r="B611" s="1">
        <v>860</v>
      </c>
    </row>
    <row r="612" spans="1:2" x14ac:dyDescent="0.35">
      <c r="A612">
        <v>607</v>
      </c>
      <c r="B612" s="1">
        <v>720</v>
      </c>
    </row>
    <row r="613" spans="1:2" x14ac:dyDescent="0.35">
      <c r="A613">
        <v>608</v>
      </c>
      <c r="B613" s="1">
        <v>740</v>
      </c>
    </row>
    <row r="614" spans="1:2" x14ac:dyDescent="0.35">
      <c r="A614">
        <v>609</v>
      </c>
      <c r="B614" s="1">
        <v>1160</v>
      </c>
    </row>
    <row r="615" spans="1:2" x14ac:dyDescent="0.35">
      <c r="A615">
        <v>610</v>
      </c>
      <c r="B615" s="1">
        <v>750</v>
      </c>
    </row>
    <row r="616" spans="1:2" x14ac:dyDescent="0.35">
      <c r="A616">
        <v>611</v>
      </c>
      <c r="B616" s="1">
        <v>640</v>
      </c>
    </row>
    <row r="617" spans="1:2" x14ac:dyDescent="0.35">
      <c r="A617">
        <v>612</v>
      </c>
      <c r="B617" s="1">
        <v>1040</v>
      </c>
    </row>
    <row r="618" spans="1:2" x14ac:dyDescent="0.35">
      <c r="A618">
        <v>613</v>
      </c>
      <c r="B618" s="1">
        <v>560</v>
      </c>
    </row>
    <row r="619" spans="1:2" x14ac:dyDescent="0.35">
      <c r="A619">
        <v>614</v>
      </c>
      <c r="B619" s="1">
        <v>220</v>
      </c>
    </row>
    <row r="620" spans="1:2" x14ac:dyDescent="0.35">
      <c r="A620">
        <v>615</v>
      </c>
      <c r="B620" s="1">
        <v>530</v>
      </c>
    </row>
    <row r="621" spans="1:2" x14ac:dyDescent="0.35">
      <c r="A621">
        <v>616</v>
      </c>
      <c r="B621" s="1">
        <v>420</v>
      </c>
    </row>
    <row r="622" spans="1:2" x14ac:dyDescent="0.35">
      <c r="A622">
        <v>617</v>
      </c>
      <c r="B622" s="1">
        <v>720</v>
      </c>
    </row>
    <row r="623" spans="1:2" x14ac:dyDescent="0.35">
      <c r="A623">
        <v>618</v>
      </c>
      <c r="B623" s="1">
        <v>750</v>
      </c>
    </row>
    <row r="624" spans="1:2" x14ac:dyDescent="0.35">
      <c r="A624">
        <v>619</v>
      </c>
      <c r="B624" s="1">
        <v>900</v>
      </c>
    </row>
    <row r="625" spans="1:2" x14ac:dyDescent="0.35">
      <c r="A625">
        <v>620</v>
      </c>
      <c r="B625" s="1">
        <v>520</v>
      </c>
    </row>
    <row r="626" spans="1:2" x14ac:dyDescent="0.35">
      <c r="A626">
        <v>621</v>
      </c>
      <c r="B626" s="1">
        <v>790</v>
      </c>
    </row>
    <row r="627" spans="1:2" x14ac:dyDescent="0.35">
      <c r="A627">
        <v>622</v>
      </c>
      <c r="B627" s="1">
        <v>930</v>
      </c>
    </row>
    <row r="628" spans="1:2" x14ac:dyDescent="0.35">
      <c r="A628">
        <v>623</v>
      </c>
      <c r="B628" s="1">
        <v>300</v>
      </c>
    </row>
    <row r="629" spans="1:2" x14ac:dyDescent="0.35">
      <c r="A629">
        <v>624</v>
      </c>
      <c r="B629" s="1">
        <v>540</v>
      </c>
    </row>
    <row r="630" spans="1:2" x14ac:dyDescent="0.35">
      <c r="A630">
        <v>625</v>
      </c>
      <c r="B630" s="1">
        <v>460</v>
      </c>
    </row>
    <row r="631" spans="1:2" x14ac:dyDescent="0.35">
      <c r="A631">
        <v>626</v>
      </c>
      <c r="B631" s="1">
        <v>840</v>
      </c>
    </row>
    <row r="632" spans="1:2" x14ac:dyDescent="0.35">
      <c r="A632">
        <v>627</v>
      </c>
      <c r="B632" s="1">
        <v>530</v>
      </c>
    </row>
    <row r="633" spans="1:2" x14ac:dyDescent="0.35">
      <c r="A633">
        <v>628</v>
      </c>
      <c r="B633" s="1">
        <v>300</v>
      </c>
    </row>
    <row r="634" spans="1:2" x14ac:dyDescent="0.35">
      <c r="A634">
        <v>629</v>
      </c>
      <c r="B634" s="1">
        <v>470</v>
      </c>
    </row>
    <row r="635" spans="1:2" x14ac:dyDescent="0.35">
      <c r="A635">
        <v>630</v>
      </c>
      <c r="B635" s="1">
        <v>620</v>
      </c>
    </row>
    <row r="636" spans="1:2" x14ac:dyDescent="0.35">
      <c r="A636">
        <v>631</v>
      </c>
      <c r="B636" s="1">
        <v>820</v>
      </c>
    </row>
    <row r="637" spans="1:2" x14ac:dyDescent="0.35">
      <c r="A637">
        <v>632</v>
      </c>
      <c r="B637" s="1">
        <v>580</v>
      </c>
    </row>
    <row r="638" spans="1:2" x14ac:dyDescent="0.35">
      <c r="A638">
        <v>633</v>
      </c>
      <c r="B638" s="1">
        <v>260</v>
      </c>
    </row>
    <row r="639" spans="1:2" x14ac:dyDescent="0.35">
      <c r="A639">
        <v>634</v>
      </c>
      <c r="B639" s="1">
        <v>980</v>
      </c>
    </row>
    <row r="640" spans="1:2" x14ac:dyDescent="0.35">
      <c r="A640">
        <v>635</v>
      </c>
      <c r="B640" s="1">
        <v>680</v>
      </c>
    </row>
    <row r="641" spans="1:2" x14ac:dyDescent="0.35">
      <c r="A641">
        <v>636</v>
      </c>
      <c r="B641" s="1">
        <v>880</v>
      </c>
    </row>
    <row r="642" spans="1:2" x14ac:dyDescent="0.35">
      <c r="A642">
        <v>637</v>
      </c>
      <c r="B642" s="1">
        <v>440</v>
      </c>
    </row>
    <row r="643" spans="1:2" x14ac:dyDescent="0.35">
      <c r="A643">
        <v>638</v>
      </c>
      <c r="B643" s="1">
        <v>360</v>
      </c>
    </row>
    <row r="644" spans="1:2" x14ac:dyDescent="0.35">
      <c r="A644">
        <v>639</v>
      </c>
      <c r="B644" s="1">
        <v>380</v>
      </c>
    </row>
    <row r="645" spans="1:2" x14ac:dyDescent="0.35">
      <c r="A645">
        <v>640</v>
      </c>
      <c r="B645" s="1">
        <v>560</v>
      </c>
    </row>
    <row r="646" spans="1:2" x14ac:dyDescent="0.35">
      <c r="A646">
        <v>641</v>
      </c>
      <c r="B646" s="1">
        <v>420</v>
      </c>
    </row>
    <row r="647" spans="1:2" x14ac:dyDescent="0.35">
      <c r="A647">
        <v>642</v>
      </c>
      <c r="B647" s="1">
        <v>660</v>
      </c>
    </row>
    <row r="648" spans="1:2" x14ac:dyDescent="0.35">
      <c r="A648">
        <v>643</v>
      </c>
      <c r="B648" s="1">
        <v>520</v>
      </c>
    </row>
    <row r="649" spans="1:2" x14ac:dyDescent="0.35">
      <c r="A649">
        <v>644</v>
      </c>
      <c r="B649" s="1">
        <v>710</v>
      </c>
    </row>
    <row r="650" spans="1:2" x14ac:dyDescent="0.35">
      <c r="A650">
        <v>645</v>
      </c>
      <c r="B650" s="1">
        <v>770</v>
      </c>
    </row>
    <row r="651" spans="1:2" x14ac:dyDescent="0.35">
      <c r="A651">
        <v>646</v>
      </c>
      <c r="B651" s="1">
        <v>740</v>
      </c>
    </row>
    <row r="652" spans="1:2" x14ac:dyDescent="0.35">
      <c r="A652">
        <v>647</v>
      </c>
      <c r="B652" s="1">
        <v>730</v>
      </c>
    </row>
    <row r="653" spans="1:2" x14ac:dyDescent="0.35">
      <c r="A653">
        <v>648</v>
      </c>
      <c r="B653" s="1">
        <v>460</v>
      </c>
    </row>
    <row r="654" spans="1:2" x14ac:dyDescent="0.35">
      <c r="A654">
        <v>649</v>
      </c>
      <c r="B654" s="1">
        <v>540</v>
      </c>
    </row>
    <row r="655" spans="1:2" x14ac:dyDescent="0.35">
      <c r="A655">
        <v>650</v>
      </c>
      <c r="B655" s="1">
        <v>560</v>
      </c>
    </row>
    <row r="656" spans="1:2" x14ac:dyDescent="0.35">
      <c r="A656">
        <v>651</v>
      </c>
      <c r="B656" s="1">
        <v>460</v>
      </c>
    </row>
    <row r="657" spans="1:2" x14ac:dyDescent="0.35">
      <c r="A657">
        <v>652</v>
      </c>
      <c r="B657" s="1">
        <v>260</v>
      </c>
    </row>
    <row r="658" spans="1:2" x14ac:dyDescent="0.35">
      <c r="A658">
        <v>653</v>
      </c>
      <c r="B658" s="1">
        <v>560</v>
      </c>
    </row>
    <row r="659" spans="1:2" x14ac:dyDescent="0.35">
      <c r="A659">
        <v>654</v>
      </c>
      <c r="B659" s="1">
        <v>630</v>
      </c>
    </row>
    <row r="660" spans="1:2" x14ac:dyDescent="0.35">
      <c r="A660">
        <v>655</v>
      </c>
      <c r="B660" s="1">
        <v>330</v>
      </c>
    </row>
    <row r="661" spans="1:2" x14ac:dyDescent="0.35">
      <c r="A661">
        <v>656</v>
      </c>
      <c r="B661" s="1">
        <v>880</v>
      </c>
    </row>
    <row r="662" spans="1:2" x14ac:dyDescent="0.35">
      <c r="A662">
        <v>657</v>
      </c>
      <c r="B662" s="1">
        <v>260</v>
      </c>
    </row>
    <row r="663" spans="1:2" x14ac:dyDescent="0.35">
      <c r="A663">
        <v>658</v>
      </c>
      <c r="B663" s="1">
        <v>440</v>
      </c>
    </row>
    <row r="664" spans="1:2" x14ac:dyDescent="0.35">
      <c r="A664">
        <v>659</v>
      </c>
      <c r="B664" s="1">
        <v>970</v>
      </c>
    </row>
    <row r="665" spans="1:2" x14ac:dyDescent="0.35">
      <c r="A665">
        <v>660</v>
      </c>
      <c r="B665" s="1">
        <v>870</v>
      </c>
    </row>
    <row r="666" spans="1:2" x14ac:dyDescent="0.35">
      <c r="A666">
        <v>661</v>
      </c>
      <c r="B666" s="1">
        <v>520</v>
      </c>
    </row>
    <row r="667" spans="1:2" x14ac:dyDescent="0.35">
      <c r="A667">
        <v>662</v>
      </c>
      <c r="B667" s="1">
        <v>1390</v>
      </c>
    </row>
    <row r="668" spans="1:2" x14ac:dyDescent="0.35">
      <c r="A668">
        <v>663</v>
      </c>
      <c r="B668" s="1">
        <v>980</v>
      </c>
    </row>
    <row r="669" spans="1:2" x14ac:dyDescent="0.35">
      <c r="A669">
        <v>664</v>
      </c>
      <c r="B669" s="1">
        <v>1630</v>
      </c>
    </row>
    <row r="670" spans="1:2" x14ac:dyDescent="0.35">
      <c r="A670">
        <v>665</v>
      </c>
      <c r="B670" s="1">
        <v>750</v>
      </c>
    </row>
    <row r="671" spans="1:2" x14ac:dyDescent="0.35">
      <c r="A671">
        <v>666</v>
      </c>
      <c r="B671" s="1">
        <v>1190</v>
      </c>
    </row>
    <row r="672" spans="1:2" x14ac:dyDescent="0.35">
      <c r="A672">
        <v>667</v>
      </c>
      <c r="B672" s="1">
        <v>360</v>
      </c>
    </row>
    <row r="673" spans="1:2" x14ac:dyDescent="0.35">
      <c r="A673">
        <v>668</v>
      </c>
      <c r="B673" s="1">
        <v>430</v>
      </c>
    </row>
    <row r="674" spans="1:2" x14ac:dyDescent="0.35">
      <c r="A674">
        <v>669</v>
      </c>
      <c r="B674" s="1">
        <v>580</v>
      </c>
    </row>
    <row r="675" spans="1:2" x14ac:dyDescent="0.35">
      <c r="A675">
        <v>670</v>
      </c>
      <c r="B675" s="1">
        <v>740</v>
      </c>
    </row>
    <row r="676" spans="1:2" x14ac:dyDescent="0.35">
      <c r="A676">
        <v>671</v>
      </c>
      <c r="B676" s="1">
        <v>360</v>
      </c>
    </row>
    <row r="677" spans="1:2" x14ac:dyDescent="0.35">
      <c r="A677">
        <v>672</v>
      </c>
      <c r="B677" s="1">
        <v>610</v>
      </c>
    </row>
    <row r="678" spans="1:2" x14ac:dyDescent="0.35">
      <c r="A678">
        <v>673</v>
      </c>
      <c r="B678" s="1">
        <v>480</v>
      </c>
    </row>
    <row r="679" spans="1:2" x14ac:dyDescent="0.35">
      <c r="A679">
        <v>674</v>
      </c>
      <c r="B679" s="1">
        <v>240</v>
      </c>
    </row>
    <row r="680" spans="1:2" x14ac:dyDescent="0.35">
      <c r="A680">
        <v>675</v>
      </c>
      <c r="B680" s="1">
        <v>710</v>
      </c>
    </row>
    <row r="681" spans="1:2" x14ac:dyDescent="0.35">
      <c r="A681">
        <v>676</v>
      </c>
      <c r="B681" s="1">
        <v>740</v>
      </c>
    </row>
    <row r="682" spans="1:2" x14ac:dyDescent="0.35">
      <c r="A682">
        <v>677</v>
      </c>
      <c r="B682" s="1">
        <v>710</v>
      </c>
    </row>
    <row r="683" spans="1:2" x14ac:dyDescent="0.35">
      <c r="A683">
        <v>678</v>
      </c>
      <c r="B683" s="1">
        <v>630</v>
      </c>
    </row>
    <row r="684" spans="1:2" x14ac:dyDescent="0.35">
      <c r="A684">
        <v>679</v>
      </c>
      <c r="B684" s="1">
        <v>650</v>
      </c>
    </row>
    <row r="685" spans="1:2" x14ac:dyDescent="0.35">
      <c r="A685">
        <v>680</v>
      </c>
      <c r="B685" s="1">
        <v>700</v>
      </c>
    </row>
    <row r="686" spans="1:2" x14ac:dyDescent="0.35">
      <c r="A686">
        <v>681</v>
      </c>
      <c r="B686" s="1">
        <v>680</v>
      </c>
    </row>
    <row r="687" spans="1:2" x14ac:dyDescent="0.35">
      <c r="A687">
        <v>682</v>
      </c>
      <c r="B687" s="1">
        <v>1300</v>
      </c>
    </row>
    <row r="688" spans="1:2" x14ac:dyDescent="0.35">
      <c r="A688">
        <v>683</v>
      </c>
      <c r="B688" s="1">
        <v>760</v>
      </c>
    </row>
    <row r="689" spans="1:2" x14ac:dyDescent="0.35">
      <c r="A689">
        <v>684</v>
      </c>
      <c r="B689" s="1">
        <v>880</v>
      </c>
    </row>
    <row r="690" spans="1:2" x14ac:dyDescent="0.35">
      <c r="A690">
        <v>685</v>
      </c>
      <c r="B690" s="1">
        <v>370</v>
      </c>
    </row>
    <row r="691" spans="1:2" x14ac:dyDescent="0.35">
      <c r="A691">
        <v>686</v>
      </c>
      <c r="B691" s="1">
        <v>940</v>
      </c>
    </row>
    <row r="692" spans="1:2" x14ac:dyDescent="0.35">
      <c r="A692">
        <v>687</v>
      </c>
      <c r="B692" s="1">
        <v>700</v>
      </c>
    </row>
    <row r="693" spans="1:2" x14ac:dyDescent="0.35">
      <c r="A693">
        <v>688</v>
      </c>
      <c r="B693" s="1">
        <v>740</v>
      </c>
    </row>
    <row r="694" spans="1:2" x14ac:dyDescent="0.35">
      <c r="A694">
        <v>689</v>
      </c>
      <c r="B694" s="1">
        <v>1210</v>
      </c>
    </row>
    <row r="695" spans="1:2" x14ac:dyDescent="0.35">
      <c r="A695">
        <v>690</v>
      </c>
      <c r="B695" s="1">
        <v>540</v>
      </c>
    </row>
    <row r="696" spans="1:2" x14ac:dyDescent="0.35">
      <c r="A696">
        <v>691</v>
      </c>
      <c r="B696" s="1">
        <v>320</v>
      </c>
    </row>
    <row r="697" spans="1:2" x14ac:dyDescent="0.35">
      <c r="A697">
        <v>692</v>
      </c>
      <c r="B697" s="1">
        <v>610</v>
      </c>
    </row>
    <row r="698" spans="1:2" x14ac:dyDescent="0.35">
      <c r="A698">
        <v>693</v>
      </c>
      <c r="B698" s="1">
        <v>1000</v>
      </c>
    </row>
    <row r="699" spans="1:2" x14ac:dyDescent="0.35">
      <c r="A699">
        <v>694</v>
      </c>
      <c r="B699" s="1">
        <v>580</v>
      </c>
    </row>
    <row r="700" spans="1:2" x14ac:dyDescent="0.35">
      <c r="A700">
        <v>695</v>
      </c>
      <c r="B700" s="1">
        <v>640</v>
      </c>
    </row>
    <row r="701" spans="1:2" x14ac:dyDescent="0.35">
      <c r="A701">
        <v>696</v>
      </c>
      <c r="B701" s="1">
        <v>780</v>
      </c>
    </row>
    <row r="702" spans="1:2" x14ac:dyDescent="0.35">
      <c r="A702">
        <v>697</v>
      </c>
      <c r="B702" s="1">
        <v>770</v>
      </c>
    </row>
    <row r="703" spans="1:2" x14ac:dyDescent="0.35">
      <c r="A703">
        <v>698</v>
      </c>
      <c r="B703" s="1">
        <v>910</v>
      </c>
    </row>
    <row r="704" spans="1:2" x14ac:dyDescent="0.35">
      <c r="A704">
        <v>699</v>
      </c>
      <c r="B704" s="1">
        <v>980</v>
      </c>
    </row>
    <row r="705" spans="1:2" x14ac:dyDescent="0.35">
      <c r="A705">
        <v>700</v>
      </c>
      <c r="B705" s="1">
        <v>580</v>
      </c>
    </row>
    <row r="706" spans="1:2" x14ac:dyDescent="0.35">
      <c r="A706">
        <v>701</v>
      </c>
      <c r="B706" s="1">
        <v>660</v>
      </c>
    </row>
    <row r="707" spans="1:2" x14ac:dyDescent="0.35">
      <c r="A707">
        <v>702</v>
      </c>
      <c r="B707" s="1">
        <v>360</v>
      </c>
    </row>
    <row r="708" spans="1:2" x14ac:dyDescent="0.35">
      <c r="A708">
        <v>703</v>
      </c>
      <c r="B708" s="1">
        <v>710</v>
      </c>
    </row>
    <row r="709" spans="1:2" x14ac:dyDescent="0.35">
      <c r="A709">
        <v>704</v>
      </c>
      <c r="B709" s="1">
        <v>620</v>
      </c>
    </row>
    <row r="710" spans="1:2" x14ac:dyDescent="0.35">
      <c r="A710">
        <v>705</v>
      </c>
      <c r="B710" s="1">
        <v>620</v>
      </c>
    </row>
    <row r="711" spans="1:2" x14ac:dyDescent="0.35">
      <c r="A711">
        <v>706</v>
      </c>
      <c r="B711" s="1">
        <v>1100</v>
      </c>
    </row>
    <row r="712" spans="1:2" x14ac:dyDescent="0.35">
      <c r="A712">
        <v>707</v>
      </c>
      <c r="B712" s="1">
        <v>600</v>
      </c>
    </row>
    <row r="713" spans="1:2" x14ac:dyDescent="0.35">
      <c r="A713">
        <v>708</v>
      </c>
      <c r="B713" s="1">
        <v>300</v>
      </c>
    </row>
    <row r="714" spans="1:2" x14ac:dyDescent="0.35">
      <c r="A714">
        <v>709</v>
      </c>
      <c r="B714" s="1">
        <v>240</v>
      </c>
    </row>
    <row r="715" spans="1:2" x14ac:dyDescent="0.35">
      <c r="A715">
        <v>710</v>
      </c>
      <c r="B715" s="1">
        <v>400</v>
      </c>
    </row>
    <row r="716" spans="1:2" x14ac:dyDescent="0.35">
      <c r="A716">
        <v>711</v>
      </c>
      <c r="B716" s="1">
        <v>1120</v>
      </c>
    </row>
    <row r="717" spans="1:2" x14ac:dyDescent="0.35">
      <c r="A717">
        <v>712</v>
      </c>
      <c r="B717" s="1">
        <v>360</v>
      </c>
    </row>
    <row r="718" spans="1:2" x14ac:dyDescent="0.35">
      <c r="A718">
        <v>713</v>
      </c>
      <c r="B718" s="1">
        <v>260</v>
      </c>
    </row>
    <row r="719" spans="1:2" x14ac:dyDescent="0.35">
      <c r="A719">
        <v>714</v>
      </c>
      <c r="B719" s="1">
        <v>140</v>
      </c>
    </row>
    <row r="720" spans="1:2" x14ac:dyDescent="0.35">
      <c r="A720">
        <v>715</v>
      </c>
      <c r="B720" s="1">
        <v>480</v>
      </c>
    </row>
    <row r="721" spans="1:2" x14ac:dyDescent="0.35">
      <c r="A721">
        <v>716</v>
      </c>
      <c r="B721" s="1">
        <v>300</v>
      </c>
    </row>
    <row r="722" spans="1:2" x14ac:dyDescent="0.35">
      <c r="A722">
        <v>717</v>
      </c>
      <c r="B722" s="1">
        <v>260</v>
      </c>
    </row>
    <row r="723" spans="1:2" x14ac:dyDescent="0.35">
      <c r="A723">
        <v>718</v>
      </c>
      <c r="B723" s="1">
        <v>660</v>
      </c>
    </row>
    <row r="724" spans="1:2" x14ac:dyDescent="0.35">
      <c r="A724">
        <v>719</v>
      </c>
      <c r="B724" s="1">
        <v>1140</v>
      </c>
    </row>
    <row r="725" spans="1:2" x14ac:dyDescent="0.35">
      <c r="A725">
        <v>720</v>
      </c>
      <c r="B725" s="1">
        <v>550</v>
      </c>
    </row>
    <row r="726" spans="1:2" x14ac:dyDescent="0.35">
      <c r="A726">
        <v>721</v>
      </c>
      <c r="B726" s="1">
        <v>420</v>
      </c>
    </row>
    <row r="727" spans="1:2" x14ac:dyDescent="0.35">
      <c r="A727">
        <v>722</v>
      </c>
      <c r="B727" s="1">
        <v>660</v>
      </c>
    </row>
    <row r="728" spans="1:2" x14ac:dyDescent="0.35">
      <c r="A728">
        <v>723</v>
      </c>
      <c r="B728" s="1">
        <v>460</v>
      </c>
    </row>
    <row r="729" spans="1:2" x14ac:dyDescent="0.35">
      <c r="A729">
        <v>724</v>
      </c>
      <c r="B729" s="1">
        <v>620</v>
      </c>
    </row>
    <row r="730" spans="1:2" x14ac:dyDescent="0.35">
      <c r="A730">
        <v>725</v>
      </c>
      <c r="B730" s="1">
        <v>140</v>
      </c>
    </row>
    <row r="731" spans="1:2" x14ac:dyDescent="0.35">
      <c r="A731">
        <v>726</v>
      </c>
      <c r="B731" s="1">
        <v>780</v>
      </c>
    </row>
    <row r="732" spans="1:2" x14ac:dyDescent="0.35">
      <c r="A732">
        <v>727</v>
      </c>
      <c r="B732" s="1">
        <v>800</v>
      </c>
    </row>
    <row r="733" spans="1:2" x14ac:dyDescent="0.35">
      <c r="A733">
        <v>728</v>
      </c>
      <c r="B733" s="1">
        <v>530</v>
      </c>
    </row>
    <row r="734" spans="1:2" x14ac:dyDescent="0.35">
      <c r="A734">
        <v>729</v>
      </c>
      <c r="B734" s="1">
        <v>1050</v>
      </c>
    </row>
    <row r="735" spans="1:2" x14ac:dyDescent="0.35">
      <c r="A735">
        <v>730</v>
      </c>
      <c r="B735" s="1">
        <v>420</v>
      </c>
    </row>
    <row r="736" spans="1:2" x14ac:dyDescent="0.35">
      <c r="A736">
        <v>731</v>
      </c>
      <c r="B736" s="1">
        <v>740</v>
      </c>
    </row>
    <row r="737" spans="1:2" x14ac:dyDescent="0.35">
      <c r="A737">
        <v>732</v>
      </c>
      <c r="B737" s="1">
        <v>470</v>
      </c>
    </row>
    <row r="738" spans="1:2" x14ac:dyDescent="0.35">
      <c r="A738">
        <v>733</v>
      </c>
      <c r="B738" s="1">
        <v>1070</v>
      </c>
    </row>
    <row r="739" spans="1:2" x14ac:dyDescent="0.35">
      <c r="A739">
        <v>734</v>
      </c>
      <c r="B739" s="1">
        <v>560</v>
      </c>
    </row>
    <row r="740" spans="1:2" x14ac:dyDescent="0.35">
      <c r="A740">
        <v>735</v>
      </c>
      <c r="B740" s="1">
        <v>1020</v>
      </c>
    </row>
    <row r="741" spans="1:2" x14ac:dyDescent="0.35">
      <c r="A741">
        <v>736</v>
      </c>
      <c r="B741" s="1">
        <v>360</v>
      </c>
    </row>
    <row r="742" spans="1:2" x14ac:dyDescent="0.35">
      <c r="A742">
        <v>737</v>
      </c>
      <c r="B742" s="1">
        <v>990</v>
      </c>
    </row>
    <row r="743" spans="1:2" x14ac:dyDescent="0.35">
      <c r="A743">
        <v>738</v>
      </c>
      <c r="B743" s="1">
        <v>790</v>
      </c>
    </row>
    <row r="744" spans="1:2" x14ac:dyDescent="0.35">
      <c r="A744">
        <v>739</v>
      </c>
      <c r="B744" s="1">
        <v>770</v>
      </c>
    </row>
    <row r="745" spans="1:2" x14ac:dyDescent="0.35">
      <c r="A745">
        <v>740</v>
      </c>
      <c r="B745" s="1">
        <v>980</v>
      </c>
    </row>
    <row r="746" spans="1:2" x14ac:dyDescent="0.35">
      <c r="A746">
        <v>741</v>
      </c>
      <c r="B746" s="1">
        <v>1370</v>
      </c>
    </row>
    <row r="747" spans="1:2" x14ac:dyDescent="0.35">
      <c r="A747">
        <v>742</v>
      </c>
      <c r="B747" s="1">
        <v>560</v>
      </c>
    </row>
    <row r="748" spans="1:2" x14ac:dyDescent="0.35">
      <c r="A748">
        <v>743</v>
      </c>
      <c r="B748" s="1">
        <v>1080</v>
      </c>
    </row>
    <row r="749" spans="1:2" x14ac:dyDescent="0.35">
      <c r="A749">
        <v>744</v>
      </c>
      <c r="B749" s="1">
        <v>650</v>
      </c>
    </row>
    <row r="750" spans="1:2" x14ac:dyDescent="0.35">
      <c r="A750">
        <v>745</v>
      </c>
      <c r="B750" s="1">
        <v>380</v>
      </c>
    </row>
    <row r="751" spans="1:2" x14ac:dyDescent="0.35">
      <c r="A751">
        <v>746</v>
      </c>
      <c r="B751" s="1">
        <v>720</v>
      </c>
    </row>
    <row r="752" spans="1:2" x14ac:dyDescent="0.35">
      <c r="A752">
        <v>747</v>
      </c>
      <c r="B752" s="1">
        <v>690</v>
      </c>
    </row>
    <row r="753" spans="1:2" x14ac:dyDescent="0.35">
      <c r="A753">
        <v>748</v>
      </c>
      <c r="B753" s="1">
        <v>610</v>
      </c>
    </row>
    <row r="754" spans="1:2" x14ac:dyDescent="0.35">
      <c r="A754">
        <v>749</v>
      </c>
      <c r="B754" s="1">
        <v>530</v>
      </c>
    </row>
    <row r="755" spans="1:2" x14ac:dyDescent="0.35">
      <c r="A755">
        <v>750</v>
      </c>
      <c r="B755" s="1">
        <v>740</v>
      </c>
    </row>
    <row r="756" spans="1:2" x14ac:dyDescent="0.35">
      <c r="A756">
        <v>751</v>
      </c>
      <c r="B756" s="1">
        <v>1070</v>
      </c>
    </row>
    <row r="757" spans="1:2" x14ac:dyDescent="0.35">
      <c r="A757">
        <v>752</v>
      </c>
      <c r="B757" s="1">
        <v>590</v>
      </c>
    </row>
    <row r="758" spans="1:2" x14ac:dyDescent="0.35">
      <c r="A758">
        <v>753</v>
      </c>
      <c r="B758" s="1">
        <v>1160</v>
      </c>
    </row>
    <row r="759" spans="1:2" x14ac:dyDescent="0.35">
      <c r="A759">
        <v>754</v>
      </c>
      <c r="B759" s="1">
        <v>1110</v>
      </c>
    </row>
    <row r="760" spans="1:2" x14ac:dyDescent="0.35">
      <c r="A760">
        <v>755</v>
      </c>
      <c r="B760" s="1">
        <v>860</v>
      </c>
    </row>
    <row r="761" spans="1:2" x14ac:dyDescent="0.35">
      <c r="A761">
        <v>756</v>
      </c>
      <c r="B761" s="1">
        <v>820</v>
      </c>
    </row>
    <row r="762" spans="1:2" x14ac:dyDescent="0.35">
      <c r="A762">
        <v>757</v>
      </c>
      <c r="B762" s="1">
        <v>610</v>
      </c>
    </row>
    <row r="763" spans="1:2" x14ac:dyDescent="0.35">
      <c r="A763">
        <v>758</v>
      </c>
      <c r="B763" s="1">
        <v>440</v>
      </c>
    </row>
    <row r="764" spans="1:2" x14ac:dyDescent="0.35">
      <c r="A764">
        <v>759</v>
      </c>
      <c r="B764" s="1">
        <v>390</v>
      </c>
    </row>
    <row r="765" spans="1:2" x14ac:dyDescent="0.35">
      <c r="A765">
        <v>760</v>
      </c>
      <c r="B765" s="1">
        <v>540</v>
      </c>
    </row>
    <row r="766" spans="1:2" x14ac:dyDescent="0.35">
      <c r="A766">
        <v>761</v>
      </c>
      <c r="B766" s="1">
        <v>910</v>
      </c>
    </row>
    <row r="767" spans="1:2" x14ac:dyDescent="0.35">
      <c r="A767">
        <v>762</v>
      </c>
      <c r="B767" s="1">
        <v>420</v>
      </c>
    </row>
    <row r="768" spans="1:2" x14ac:dyDescent="0.35">
      <c r="A768">
        <v>763</v>
      </c>
      <c r="B768" s="1">
        <v>440</v>
      </c>
    </row>
    <row r="769" spans="1:2" x14ac:dyDescent="0.35">
      <c r="A769">
        <v>764</v>
      </c>
      <c r="B769" s="1">
        <v>1000</v>
      </c>
    </row>
    <row r="770" spans="1:2" x14ac:dyDescent="0.35">
      <c r="A770">
        <v>765</v>
      </c>
      <c r="B770" s="1">
        <v>780</v>
      </c>
    </row>
    <row r="771" spans="1:2" x14ac:dyDescent="0.35">
      <c r="A771">
        <v>766</v>
      </c>
      <c r="B771" s="1">
        <v>320</v>
      </c>
    </row>
    <row r="772" spans="1:2" x14ac:dyDescent="0.35">
      <c r="A772">
        <v>767</v>
      </c>
      <c r="B772" s="1">
        <v>670</v>
      </c>
    </row>
    <row r="773" spans="1:2" x14ac:dyDescent="0.35">
      <c r="A773">
        <v>768</v>
      </c>
      <c r="B773" s="1">
        <v>1120</v>
      </c>
    </row>
    <row r="774" spans="1:2" x14ac:dyDescent="0.35">
      <c r="A774">
        <v>769</v>
      </c>
      <c r="B774" s="1">
        <v>640</v>
      </c>
    </row>
    <row r="775" spans="1:2" x14ac:dyDescent="0.35">
      <c r="A775">
        <v>770</v>
      </c>
      <c r="B775" s="1">
        <v>660</v>
      </c>
    </row>
    <row r="776" spans="1:2" x14ac:dyDescent="0.35">
      <c r="A776">
        <v>771</v>
      </c>
      <c r="B776" s="1">
        <v>520</v>
      </c>
    </row>
    <row r="777" spans="1:2" x14ac:dyDescent="0.35">
      <c r="A777">
        <v>772</v>
      </c>
      <c r="B777" s="1">
        <v>400</v>
      </c>
    </row>
    <row r="778" spans="1:2" x14ac:dyDescent="0.35">
      <c r="A778">
        <v>773</v>
      </c>
      <c r="B778" s="1">
        <v>1140</v>
      </c>
    </row>
    <row r="779" spans="1:2" x14ac:dyDescent="0.35">
      <c r="A779">
        <v>774</v>
      </c>
      <c r="B779" s="1">
        <v>500</v>
      </c>
    </row>
    <row r="780" spans="1:2" x14ac:dyDescent="0.35">
      <c r="A780">
        <v>775</v>
      </c>
      <c r="B780" s="1">
        <v>640</v>
      </c>
    </row>
    <row r="781" spans="1:2" x14ac:dyDescent="0.35">
      <c r="A781">
        <v>776</v>
      </c>
      <c r="B781" s="1">
        <v>580</v>
      </c>
    </row>
    <row r="782" spans="1:2" x14ac:dyDescent="0.35">
      <c r="A782">
        <v>777</v>
      </c>
      <c r="B782" s="1">
        <v>520</v>
      </c>
    </row>
    <row r="783" spans="1:2" x14ac:dyDescent="0.35">
      <c r="A783">
        <v>778</v>
      </c>
      <c r="B783" s="1">
        <v>1010</v>
      </c>
    </row>
    <row r="784" spans="1:2" x14ac:dyDescent="0.35">
      <c r="A784">
        <v>779</v>
      </c>
      <c r="B784" s="1">
        <v>300</v>
      </c>
    </row>
    <row r="785" spans="1:2" x14ac:dyDescent="0.35">
      <c r="A785">
        <v>780</v>
      </c>
      <c r="B785" s="1">
        <v>200</v>
      </c>
    </row>
    <row r="786" spans="1:2" x14ac:dyDescent="0.35">
      <c r="A786">
        <v>781</v>
      </c>
      <c r="B786" s="1">
        <v>1090</v>
      </c>
    </row>
    <row r="787" spans="1:2" x14ac:dyDescent="0.35">
      <c r="A787">
        <v>782</v>
      </c>
      <c r="B787" s="1">
        <v>440</v>
      </c>
    </row>
    <row r="788" spans="1:2" x14ac:dyDescent="0.35">
      <c r="A788">
        <v>783</v>
      </c>
      <c r="B788" s="1">
        <v>600</v>
      </c>
    </row>
    <row r="789" spans="1:2" x14ac:dyDescent="0.35">
      <c r="A789">
        <v>784</v>
      </c>
      <c r="B789" s="1">
        <v>540</v>
      </c>
    </row>
    <row r="790" spans="1:2" x14ac:dyDescent="0.35">
      <c r="A790">
        <v>785</v>
      </c>
      <c r="B790" s="1">
        <v>750</v>
      </c>
    </row>
    <row r="791" spans="1:2" x14ac:dyDescent="0.35">
      <c r="A791">
        <v>786</v>
      </c>
      <c r="B791" s="1">
        <v>520</v>
      </c>
    </row>
    <row r="792" spans="1:2" x14ac:dyDescent="0.35">
      <c r="A792">
        <v>787</v>
      </c>
      <c r="B792" s="1">
        <v>380</v>
      </c>
    </row>
    <row r="793" spans="1:2" x14ac:dyDescent="0.35">
      <c r="A793">
        <v>788</v>
      </c>
      <c r="B793" s="1">
        <v>710</v>
      </c>
    </row>
    <row r="794" spans="1:2" x14ac:dyDescent="0.35">
      <c r="A794">
        <v>789</v>
      </c>
      <c r="B794" s="1">
        <v>540</v>
      </c>
    </row>
    <row r="795" spans="1:2" x14ac:dyDescent="0.35">
      <c r="A795">
        <v>790</v>
      </c>
      <c r="B795" s="1">
        <v>790</v>
      </c>
    </row>
    <row r="796" spans="1:2" x14ac:dyDescent="0.35">
      <c r="A796">
        <v>791</v>
      </c>
      <c r="B796" s="1">
        <v>650</v>
      </c>
    </row>
    <row r="797" spans="1:2" x14ac:dyDescent="0.35">
      <c r="A797">
        <v>792</v>
      </c>
      <c r="B797" s="1">
        <v>1020</v>
      </c>
    </row>
    <row r="798" spans="1:2" x14ac:dyDescent="0.35">
      <c r="A798">
        <v>793</v>
      </c>
      <c r="B798" s="1">
        <v>810</v>
      </c>
    </row>
    <row r="799" spans="1:2" x14ac:dyDescent="0.35">
      <c r="A799">
        <v>794</v>
      </c>
      <c r="B799" s="1">
        <v>300</v>
      </c>
    </row>
    <row r="800" spans="1:2" x14ac:dyDescent="0.35">
      <c r="A800">
        <v>795</v>
      </c>
      <c r="B800" s="1">
        <v>530</v>
      </c>
    </row>
    <row r="801" spans="1:2" x14ac:dyDescent="0.35">
      <c r="A801">
        <v>796</v>
      </c>
      <c r="B801" s="1">
        <v>260</v>
      </c>
    </row>
    <row r="802" spans="1:2" x14ac:dyDescent="0.35">
      <c r="A802">
        <v>797</v>
      </c>
      <c r="B802" s="1">
        <v>300</v>
      </c>
    </row>
    <row r="803" spans="1:2" x14ac:dyDescent="0.35">
      <c r="A803">
        <v>798</v>
      </c>
      <c r="B803" s="1">
        <v>560</v>
      </c>
    </row>
    <row r="804" spans="1:2" x14ac:dyDescent="0.35">
      <c r="A804">
        <v>799</v>
      </c>
      <c r="B804" s="1">
        <v>480</v>
      </c>
    </row>
    <row r="805" spans="1:2" x14ac:dyDescent="0.35">
      <c r="A805">
        <v>800</v>
      </c>
      <c r="B805" s="1">
        <v>980</v>
      </c>
    </row>
    <row r="806" spans="1:2" x14ac:dyDescent="0.35">
      <c r="A806">
        <v>801</v>
      </c>
      <c r="B806" s="1">
        <v>980</v>
      </c>
    </row>
    <row r="807" spans="1:2" x14ac:dyDescent="0.35">
      <c r="A807">
        <v>802</v>
      </c>
      <c r="B807" s="1">
        <v>610</v>
      </c>
    </row>
    <row r="808" spans="1:2" x14ac:dyDescent="0.35">
      <c r="A808">
        <v>803</v>
      </c>
      <c r="B808" s="1">
        <v>800</v>
      </c>
    </row>
    <row r="809" spans="1:2" x14ac:dyDescent="0.35">
      <c r="A809">
        <v>804</v>
      </c>
      <c r="B809" s="1">
        <v>630</v>
      </c>
    </row>
    <row r="810" spans="1:2" x14ac:dyDescent="0.35">
      <c r="A810">
        <v>805</v>
      </c>
      <c r="B810" s="1">
        <v>930</v>
      </c>
    </row>
    <row r="811" spans="1:2" x14ac:dyDescent="0.35">
      <c r="A811">
        <v>806</v>
      </c>
      <c r="B811" s="1">
        <v>620</v>
      </c>
    </row>
    <row r="812" spans="1:2" x14ac:dyDescent="0.35">
      <c r="A812">
        <v>807</v>
      </c>
      <c r="B812" s="1">
        <v>780</v>
      </c>
    </row>
    <row r="813" spans="1:2" x14ac:dyDescent="0.35">
      <c r="A813">
        <v>808</v>
      </c>
      <c r="B813" s="1">
        <v>480</v>
      </c>
    </row>
    <row r="814" spans="1:2" x14ac:dyDescent="0.35">
      <c r="A814">
        <v>809</v>
      </c>
      <c r="B814" s="1">
        <v>860</v>
      </c>
    </row>
    <row r="815" spans="1:2" x14ac:dyDescent="0.35">
      <c r="A815">
        <v>810</v>
      </c>
      <c r="B815" s="1">
        <v>260</v>
      </c>
    </row>
    <row r="816" spans="1:2" x14ac:dyDescent="0.35">
      <c r="A816">
        <v>811</v>
      </c>
      <c r="B816" s="1">
        <v>820</v>
      </c>
    </row>
    <row r="817" spans="1:2" x14ac:dyDescent="0.35">
      <c r="A817">
        <v>812</v>
      </c>
      <c r="B817" s="1">
        <v>700</v>
      </c>
    </row>
    <row r="818" spans="1:2" x14ac:dyDescent="0.35">
      <c r="A818">
        <v>813</v>
      </c>
      <c r="B818" s="1">
        <v>270</v>
      </c>
    </row>
    <row r="819" spans="1:2" x14ac:dyDescent="0.35">
      <c r="A819">
        <v>814</v>
      </c>
      <c r="B819" s="1">
        <v>930</v>
      </c>
    </row>
    <row r="820" spans="1:2" x14ac:dyDescent="0.35">
      <c r="A820">
        <v>815</v>
      </c>
      <c r="B820" s="1">
        <v>560</v>
      </c>
    </row>
    <row r="821" spans="1:2" x14ac:dyDescent="0.35">
      <c r="A821">
        <v>816</v>
      </c>
      <c r="B821" s="1">
        <v>480</v>
      </c>
    </row>
    <row r="822" spans="1:2" x14ac:dyDescent="0.35">
      <c r="A822">
        <v>817</v>
      </c>
      <c r="B822" s="1">
        <v>200</v>
      </c>
    </row>
    <row r="823" spans="1:2" x14ac:dyDescent="0.35">
      <c r="A823">
        <v>818</v>
      </c>
      <c r="B823" s="1">
        <v>640</v>
      </c>
    </row>
    <row r="824" spans="1:2" x14ac:dyDescent="0.35">
      <c r="A824">
        <v>819</v>
      </c>
      <c r="B824" s="1">
        <v>800</v>
      </c>
    </row>
    <row r="825" spans="1:2" x14ac:dyDescent="0.35">
      <c r="A825">
        <v>820</v>
      </c>
      <c r="B825" s="1">
        <v>500</v>
      </c>
    </row>
    <row r="826" spans="1:2" x14ac:dyDescent="0.35">
      <c r="A826">
        <v>821</v>
      </c>
      <c r="B826" s="1">
        <v>420</v>
      </c>
    </row>
    <row r="827" spans="1:2" x14ac:dyDescent="0.35">
      <c r="A827">
        <v>822</v>
      </c>
      <c r="B827" s="1">
        <v>980</v>
      </c>
    </row>
    <row r="828" spans="1:2" x14ac:dyDescent="0.35">
      <c r="A828">
        <v>823</v>
      </c>
      <c r="B828" s="1">
        <v>1040</v>
      </c>
    </row>
    <row r="829" spans="1:2" x14ac:dyDescent="0.35">
      <c r="A829">
        <v>824</v>
      </c>
      <c r="B829" s="1">
        <v>540</v>
      </c>
    </row>
    <row r="830" spans="1:2" x14ac:dyDescent="0.35">
      <c r="A830">
        <v>825</v>
      </c>
      <c r="B830" s="1">
        <v>720</v>
      </c>
    </row>
    <row r="831" spans="1:2" x14ac:dyDescent="0.35">
      <c r="A831">
        <v>826</v>
      </c>
      <c r="B831" s="1">
        <v>340</v>
      </c>
    </row>
    <row r="832" spans="1:2" x14ac:dyDescent="0.35">
      <c r="A832">
        <v>827</v>
      </c>
      <c r="B832" s="1">
        <v>540</v>
      </c>
    </row>
    <row r="833" spans="1:2" x14ac:dyDescent="0.35">
      <c r="A833">
        <v>828</v>
      </c>
      <c r="B833" s="1">
        <v>780</v>
      </c>
    </row>
    <row r="834" spans="1:2" x14ac:dyDescent="0.35">
      <c r="A834">
        <v>829</v>
      </c>
      <c r="B834" s="1">
        <v>710</v>
      </c>
    </row>
    <row r="835" spans="1:2" x14ac:dyDescent="0.35">
      <c r="A835">
        <v>830</v>
      </c>
      <c r="B835" s="1">
        <v>440</v>
      </c>
    </row>
    <row r="836" spans="1:2" x14ac:dyDescent="0.35">
      <c r="A836">
        <v>831</v>
      </c>
      <c r="B836" s="1">
        <v>880</v>
      </c>
    </row>
    <row r="837" spans="1:2" x14ac:dyDescent="0.35">
      <c r="A837">
        <v>832</v>
      </c>
      <c r="B837" s="1">
        <v>580</v>
      </c>
    </row>
    <row r="838" spans="1:2" x14ac:dyDescent="0.35">
      <c r="A838">
        <v>833</v>
      </c>
      <c r="B838" s="1">
        <v>600</v>
      </c>
    </row>
    <row r="839" spans="1:2" x14ac:dyDescent="0.35">
      <c r="A839">
        <v>834</v>
      </c>
      <c r="B839" s="1">
        <v>980</v>
      </c>
    </row>
    <row r="840" spans="1:2" x14ac:dyDescent="0.35">
      <c r="A840">
        <v>835</v>
      </c>
      <c r="B840" s="1">
        <v>600</v>
      </c>
    </row>
    <row r="841" spans="1:2" x14ac:dyDescent="0.35">
      <c r="A841">
        <v>836</v>
      </c>
      <c r="B841" s="1">
        <v>500</v>
      </c>
    </row>
    <row r="842" spans="1:2" x14ac:dyDescent="0.35">
      <c r="A842">
        <v>837</v>
      </c>
      <c r="B842" s="1">
        <v>1080</v>
      </c>
    </row>
    <row r="843" spans="1:2" x14ac:dyDescent="0.35">
      <c r="A843">
        <v>838</v>
      </c>
      <c r="B843" s="1">
        <v>740</v>
      </c>
    </row>
    <row r="844" spans="1:2" x14ac:dyDescent="0.35">
      <c r="A844">
        <v>839</v>
      </c>
      <c r="B844" s="1">
        <v>550</v>
      </c>
    </row>
    <row r="845" spans="1:2" x14ac:dyDescent="0.35">
      <c r="A845">
        <v>840</v>
      </c>
      <c r="B845" s="1">
        <v>580</v>
      </c>
    </row>
    <row r="846" spans="1:2" x14ac:dyDescent="0.35">
      <c r="A846">
        <v>841</v>
      </c>
      <c r="B846" s="1">
        <v>860</v>
      </c>
    </row>
    <row r="847" spans="1:2" x14ac:dyDescent="0.35">
      <c r="A847">
        <v>842</v>
      </c>
      <c r="B847" s="1">
        <v>1240</v>
      </c>
    </row>
    <row r="848" spans="1:2" x14ac:dyDescent="0.35">
      <c r="A848">
        <v>843</v>
      </c>
      <c r="B848" s="1">
        <v>420</v>
      </c>
    </row>
    <row r="849" spans="1:2" x14ac:dyDescent="0.35">
      <c r="A849">
        <v>844</v>
      </c>
      <c r="B849" s="1">
        <v>1410</v>
      </c>
    </row>
    <row r="850" spans="1:2" x14ac:dyDescent="0.35">
      <c r="A850">
        <v>845</v>
      </c>
      <c r="B850" s="1">
        <v>680</v>
      </c>
    </row>
    <row r="851" spans="1:2" x14ac:dyDescent="0.35">
      <c r="A851">
        <v>846</v>
      </c>
      <c r="B851" s="1">
        <v>960</v>
      </c>
    </row>
    <row r="852" spans="1:2" x14ac:dyDescent="0.35">
      <c r="A852">
        <v>847</v>
      </c>
      <c r="B852" s="1">
        <v>800</v>
      </c>
    </row>
    <row r="853" spans="1:2" x14ac:dyDescent="0.35">
      <c r="A853">
        <v>848</v>
      </c>
      <c r="B853" s="1">
        <v>560</v>
      </c>
    </row>
    <row r="854" spans="1:2" x14ac:dyDescent="0.35">
      <c r="A854">
        <v>849</v>
      </c>
      <c r="B854" s="1">
        <v>860</v>
      </c>
    </row>
    <row r="855" spans="1:2" x14ac:dyDescent="0.35">
      <c r="A855">
        <v>850</v>
      </c>
      <c r="B855" s="1">
        <v>1060</v>
      </c>
    </row>
    <row r="856" spans="1:2" x14ac:dyDescent="0.35">
      <c r="A856">
        <v>851</v>
      </c>
      <c r="B856" s="1">
        <v>1020</v>
      </c>
    </row>
    <row r="857" spans="1:2" x14ac:dyDescent="0.35">
      <c r="A857">
        <v>852</v>
      </c>
      <c r="B857" s="1">
        <v>320</v>
      </c>
    </row>
    <row r="858" spans="1:2" x14ac:dyDescent="0.35">
      <c r="A858">
        <v>853</v>
      </c>
      <c r="B858" s="1">
        <v>820</v>
      </c>
    </row>
    <row r="859" spans="1:2" x14ac:dyDescent="0.35">
      <c r="A859">
        <v>854</v>
      </c>
      <c r="B859" s="1">
        <v>740</v>
      </c>
    </row>
    <row r="860" spans="1:2" x14ac:dyDescent="0.35">
      <c r="A860">
        <v>855</v>
      </c>
      <c r="B860" s="1">
        <v>620</v>
      </c>
    </row>
    <row r="861" spans="1:2" x14ac:dyDescent="0.35">
      <c r="A861">
        <v>856</v>
      </c>
      <c r="B861" s="1">
        <v>940</v>
      </c>
    </row>
    <row r="862" spans="1:2" x14ac:dyDescent="0.35">
      <c r="A862">
        <v>857</v>
      </c>
      <c r="B862" s="1">
        <v>590</v>
      </c>
    </row>
    <row r="863" spans="1:2" x14ac:dyDescent="0.35">
      <c r="A863">
        <v>858</v>
      </c>
      <c r="B863" s="1">
        <v>860</v>
      </c>
    </row>
    <row r="864" spans="1:2" x14ac:dyDescent="0.35">
      <c r="A864">
        <v>859</v>
      </c>
      <c r="B864" s="1">
        <v>400</v>
      </c>
    </row>
    <row r="865" spans="1:2" x14ac:dyDescent="0.35">
      <c r="A865">
        <v>860</v>
      </c>
      <c r="B865" s="1">
        <v>800</v>
      </c>
    </row>
    <row r="866" spans="1:2" x14ac:dyDescent="0.35">
      <c r="A866">
        <v>861</v>
      </c>
      <c r="B866" s="1">
        <v>800</v>
      </c>
    </row>
    <row r="867" spans="1:2" x14ac:dyDescent="0.35">
      <c r="A867">
        <v>862</v>
      </c>
      <c r="B867" s="1">
        <v>740</v>
      </c>
    </row>
    <row r="868" spans="1:2" x14ac:dyDescent="0.35">
      <c r="A868">
        <v>863</v>
      </c>
      <c r="B868" s="1">
        <v>1000</v>
      </c>
    </row>
    <row r="869" spans="1:2" x14ac:dyDescent="0.35">
      <c r="A869">
        <v>864</v>
      </c>
      <c r="B869" s="1">
        <v>200</v>
      </c>
    </row>
    <row r="870" spans="1:2" x14ac:dyDescent="0.35">
      <c r="A870">
        <v>865</v>
      </c>
      <c r="B870" s="1">
        <v>540</v>
      </c>
    </row>
    <row r="871" spans="1:2" x14ac:dyDescent="0.35">
      <c r="A871">
        <v>866</v>
      </c>
      <c r="B871" s="1">
        <v>720</v>
      </c>
    </row>
    <row r="872" spans="1:2" x14ac:dyDescent="0.35">
      <c r="A872">
        <v>867</v>
      </c>
      <c r="B872" s="1">
        <v>660</v>
      </c>
    </row>
    <row r="873" spans="1:2" x14ac:dyDescent="0.35">
      <c r="A873">
        <v>868</v>
      </c>
      <c r="B873" s="1">
        <v>540</v>
      </c>
    </row>
    <row r="874" spans="1:2" x14ac:dyDescent="0.35">
      <c r="A874">
        <v>869</v>
      </c>
      <c r="B874" s="1">
        <v>640</v>
      </c>
    </row>
    <row r="875" spans="1:2" x14ac:dyDescent="0.35">
      <c r="A875">
        <v>870</v>
      </c>
      <c r="B875" s="1">
        <v>680</v>
      </c>
    </row>
    <row r="876" spans="1:2" x14ac:dyDescent="0.35">
      <c r="A876">
        <v>871</v>
      </c>
      <c r="B876" s="1">
        <v>590</v>
      </c>
    </row>
    <row r="877" spans="1:2" x14ac:dyDescent="0.35">
      <c r="A877">
        <v>872</v>
      </c>
      <c r="B877" s="1">
        <v>800</v>
      </c>
    </row>
    <row r="878" spans="1:2" x14ac:dyDescent="0.35">
      <c r="A878">
        <v>873</v>
      </c>
      <c r="B878" s="1">
        <v>1050</v>
      </c>
    </row>
    <row r="879" spans="1:2" x14ac:dyDescent="0.35">
      <c r="A879">
        <v>874</v>
      </c>
      <c r="B879" s="1">
        <v>350</v>
      </c>
    </row>
    <row r="880" spans="1:2" x14ac:dyDescent="0.35">
      <c r="A880">
        <v>875</v>
      </c>
      <c r="B880" s="1">
        <v>640</v>
      </c>
    </row>
    <row r="881" spans="1:2" x14ac:dyDescent="0.35">
      <c r="A881">
        <v>876</v>
      </c>
      <c r="B881" s="1">
        <v>300</v>
      </c>
    </row>
    <row r="882" spans="1:2" x14ac:dyDescent="0.35">
      <c r="A882">
        <v>877</v>
      </c>
      <c r="B882" s="1">
        <v>470</v>
      </c>
    </row>
    <row r="883" spans="1:2" x14ac:dyDescent="0.35">
      <c r="A883">
        <v>878</v>
      </c>
      <c r="B883" s="1">
        <v>830</v>
      </c>
    </row>
    <row r="884" spans="1:2" x14ac:dyDescent="0.35">
      <c r="A884">
        <v>879</v>
      </c>
      <c r="B884" s="1">
        <v>630</v>
      </c>
    </row>
    <row r="885" spans="1:2" x14ac:dyDescent="0.35">
      <c r="A885">
        <v>880</v>
      </c>
      <c r="B885" s="1">
        <v>760</v>
      </c>
    </row>
    <row r="886" spans="1:2" x14ac:dyDescent="0.35">
      <c r="A886">
        <v>881</v>
      </c>
      <c r="B886" s="1">
        <v>500</v>
      </c>
    </row>
    <row r="887" spans="1:2" x14ac:dyDescent="0.35">
      <c r="A887">
        <v>882</v>
      </c>
      <c r="B887" s="1">
        <v>1000</v>
      </c>
    </row>
    <row r="888" spans="1:2" x14ac:dyDescent="0.35">
      <c r="A888">
        <v>883</v>
      </c>
      <c r="B888" s="1">
        <v>670</v>
      </c>
    </row>
    <row r="889" spans="1:2" x14ac:dyDescent="0.35">
      <c r="A889">
        <v>884</v>
      </c>
      <c r="B889" s="1">
        <v>1280</v>
      </c>
    </row>
    <row r="890" spans="1:2" x14ac:dyDescent="0.35">
      <c r="A890">
        <v>885</v>
      </c>
      <c r="B890" s="1">
        <v>750</v>
      </c>
    </row>
    <row r="891" spans="1:2" x14ac:dyDescent="0.35">
      <c r="A891">
        <v>886</v>
      </c>
      <c r="B891" s="1">
        <v>620</v>
      </c>
    </row>
    <row r="892" spans="1:2" x14ac:dyDescent="0.35">
      <c r="A892">
        <v>887</v>
      </c>
      <c r="B892" s="1">
        <v>560</v>
      </c>
    </row>
    <row r="893" spans="1:2" x14ac:dyDescent="0.35">
      <c r="A893">
        <v>888</v>
      </c>
      <c r="B893" s="1">
        <v>1110</v>
      </c>
    </row>
    <row r="894" spans="1:2" x14ac:dyDescent="0.35">
      <c r="A894">
        <v>889</v>
      </c>
      <c r="B894" s="1">
        <v>680</v>
      </c>
    </row>
    <row r="895" spans="1:2" x14ac:dyDescent="0.35">
      <c r="A895">
        <v>890</v>
      </c>
      <c r="B895" s="1">
        <v>440</v>
      </c>
    </row>
    <row r="896" spans="1:2" x14ac:dyDescent="0.35">
      <c r="A896">
        <v>891</v>
      </c>
      <c r="B896" s="1">
        <v>660</v>
      </c>
    </row>
    <row r="897" spans="1:2" x14ac:dyDescent="0.35">
      <c r="A897">
        <v>892</v>
      </c>
      <c r="B897" s="1">
        <v>340</v>
      </c>
    </row>
    <row r="898" spans="1:2" x14ac:dyDescent="0.35">
      <c r="A898">
        <v>893</v>
      </c>
      <c r="B898" s="1">
        <v>790</v>
      </c>
    </row>
    <row r="899" spans="1:2" x14ac:dyDescent="0.35">
      <c r="A899">
        <v>894</v>
      </c>
      <c r="B899" s="1">
        <v>180</v>
      </c>
    </row>
    <row r="900" spans="1:2" x14ac:dyDescent="0.35">
      <c r="A900">
        <v>895</v>
      </c>
      <c r="B900" s="1">
        <v>660</v>
      </c>
    </row>
    <row r="901" spans="1:2" x14ac:dyDescent="0.35">
      <c r="A901">
        <v>896</v>
      </c>
      <c r="B901" s="1">
        <v>740</v>
      </c>
    </row>
    <row r="902" spans="1:2" x14ac:dyDescent="0.35">
      <c r="A902">
        <v>897</v>
      </c>
      <c r="B902" s="1">
        <v>400</v>
      </c>
    </row>
    <row r="903" spans="1:2" x14ac:dyDescent="0.35">
      <c r="A903">
        <v>898</v>
      </c>
      <c r="B903" s="1">
        <v>440</v>
      </c>
    </row>
    <row r="904" spans="1:2" x14ac:dyDescent="0.35">
      <c r="A904">
        <v>899</v>
      </c>
      <c r="B904" s="1">
        <v>690</v>
      </c>
    </row>
    <row r="905" spans="1:2" x14ac:dyDescent="0.35">
      <c r="A905">
        <v>900</v>
      </c>
      <c r="B905" s="1">
        <v>1130</v>
      </c>
    </row>
    <row r="906" spans="1:2" x14ac:dyDescent="0.35">
      <c r="A906">
        <v>901</v>
      </c>
      <c r="B906" s="1">
        <v>1100</v>
      </c>
    </row>
    <row r="907" spans="1:2" x14ac:dyDescent="0.35">
      <c r="A907">
        <v>902</v>
      </c>
      <c r="B907" s="1">
        <v>710</v>
      </c>
    </row>
    <row r="908" spans="1:2" x14ac:dyDescent="0.35">
      <c r="A908">
        <v>903</v>
      </c>
      <c r="B908" s="1">
        <v>820</v>
      </c>
    </row>
    <row r="909" spans="1:2" x14ac:dyDescent="0.35">
      <c r="A909">
        <v>904</v>
      </c>
      <c r="B909" s="1">
        <v>600</v>
      </c>
    </row>
    <row r="910" spans="1:2" x14ac:dyDescent="0.35">
      <c r="A910">
        <v>905</v>
      </c>
      <c r="B910" s="1">
        <v>830</v>
      </c>
    </row>
    <row r="911" spans="1:2" x14ac:dyDescent="0.35">
      <c r="A911">
        <v>906</v>
      </c>
      <c r="B911" s="1">
        <v>660</v>
      </c>
    </row>
    <row r="912" spans="1:2" x14ac:dyDescent="0.35">
      <c r="A912">
        <v>907</v>
      </c>
      <c r="B912" s="1">
        <v>480</v>
      </c>
    </row>
    <row r="913" spans="1:2" x14ac:dyDescent="0.35">
      <c r="A913">
        <v>908</v>
      </c>
      <c r="B913" s="1">
        <v>300</v>
      </c>
    </row>
    <row r="914" spans="1:2" x14ac:dyDescent="0.35">
      <c r="A914">
        <v>909</v>
      </c>
      <c r="B914" s="1">
        <v>300</v>
      </c>
    </row>
    <row r="915" spans="1:2" x14ac:dyDescent="0.35">
      <c r="A915">
        <v>910</v>
      </c>
      <c r="B915" s="1">
        <v>380</v>
      </c>
    </row>
    <row r="916" spans="1:2" x14ac:dyDescent="0.35">
      <c r="A916">
        <v>911</v>
      </c>
      <c r="B916" s="1">
        <v>460</v>
      </c>
    </row>
    <row r="917" spans="1:2" x14ac:dyDescent="0.35">
      <c r="A917">
        <v>912</v>
      </c>
      <c r="B917" s="1">
        <v>660</v>
      </c>
    </row>
    <row r="918" spans="1:2" x14ac:dyDescent="0.35">
      <c r="A918">
        <v>913</v>
      </c>
      <c r="B918" s="1">
        <v>570</v>
      </c>
    </row>
    <row r="919" spans="1:2" x14ac:dyDescent="0.35">
      <c r="A919">
        <v>914</v>
      </c>
      <c r="B919" s="1">
        <v>680</v>
      </c>
    </row>
    <row r="920" spans="1:2" x14ac:dyDescent="0.35">
      <c r="A920">
        <v>915</v>
      </c>
      <c r="B920" s="1">
        <v>740</v>
      </c>
    </row>
    <row r="921" spans="1:2" x14ac:dyDescent="0.35">
      <c r="A921">
        <v>916</v>
      </c>
      <c r="B921" s="1">
        <v>710</v>
      </c>
    </row>
    <row r="922" spans="1:2" x14ac:dyDescent="0.35">
      <c r="A922">
        <v>917</v>
      </c>
      <c r="B922" s="1">
        <v>1390</v>
      </c>
    </row>
    <row r="923" spans="1:2" x14ac:dyDescent="0.35">
      <c r="A923">
        <v>918</v>
      </c>
      <c r="B923" s="1">
        <v>800</v>
      </c>
    </row>
    <row r="924" spans="1:2" x14ac:dyDescent="0.35">
      <c r="A924">
        <v>919</v>
      </c>
      <c r="B924" s="1">
        <v>280</v>
      </c>
    </row>
    <row r="925" spans="1:2" x14ac:dyDescent="0.35">
      <c r="A925">
        <v>920</v>
      </c>
      <c r="B925" s="1">
        <v>640</v>
      </c>
    </row>
    <row r="926" spans="1:2" x14ac:dyDescent="0.35">
      <c r="A926">
        <v>921</v>
      </c>
      <c r="B926" s="1">
        <v>670</v>
      </c>
    </row>
    <row r="927" spans="1:2" x14ac:dyDescent="0.35">
      <c r="A927">
        <v>922</v>
      </c>
      <c r="B927" s="1">
        <v>360</v>
      </c>
    </row>
    <row r="928" spans="1:2" x14ac:dyDescent="0.35">
      <c r="A928">
        <v>923</v>
      </c>
      <c r="B928" s="1">
        <v>860</v>
      </c>
    </row>
    <row r="929" spans="1:2" x14ac:dyDescent="0.35">
      <c r="A929">
        <v>924</v>
      </c>
      <c r="B929" s="1">
        <v>640</v>
      </c>
    </row>
    <row r="930" spans="1:2" x14ac:dyDescent="0.35">
      <c r="A930">
        <v>925</v>
      </c>
      <c r="B930" s="1">
        <v>580</v>
      </c>
    </row>
    <row r="931" spans="1:2" x14ac:dyDescent="0.35">
      <c r="A931">
        <v>926</v>
      </c>
      <c r="B931" s="1">
        <v>800</v>
      </c>
    </row>
    <row r="932" spans="1:2" x14ac:dyDescent="0.35">
      <c r="A932">
        <v>927</v>
      </c>
      <c r="B932" s="1">
        <v>380</v>
      </c>
    </row>
    <row r="933" spans="1:2" x14ac:dyDescent="0.35">
      <c r="A933">
        <v>928</v>
      </c>
      <c r="B933" s="1">
        <v>790</v>
      </c>
    </row>
    <row r="934" spans="1:2" x14ac:dyDescent="0.35">
      <c r="A934">
        <v>929</v>
      </c>
      <c r="B934" s="1">
        <v>700</v>
      </c>
    </row>
    <row r="935" spans="1:2" x14ac:dyDescent="0.35">
      <c r="A935">
        <v>930</v>
      </c>
      <c r="B935" s="1">
        <v>260</v>
      </c>
    </row>
    <row r="936" spans="1:2" x14ac:dyDescent="0.35">
      <c r="A936">
        <v>931</v>
      </c>
      <c r="B936" s="1">
        <v>1000</v>
      </c>
    </row>
    <row r="937" spans="1:2" x14ac:dyDescent="0.35">
      <c r="A937">
        <v>932</v>
      </c>
      <c r="B937" s="1">
        <v>580</v>
      </c>
    </row>
    <row r="938" spans="1:2" x14ac:dyDescent="0.35">
      <c r="A938">
        <v>933</v>
      </c>
      <c r="B938" s="1">
        <v>460</v>
      </c>
    </row>
    <row r="939" spans="1:2" x14ac:dyDescent="0.35">
      <c r="A939">
        <v>934</v>
      </c>
      <c r="B939" s="1">
        <v>630</v>
      </c>
    </row>
    <row r="940" spans="1:2" x14ac:dyDescent="0.35">
      <c r="A940">
        <v>935</v>
      </c>
      <c r="B940" s="1">
        <v>540</v>
      </c>
    </row>
    <row r="941" spans="1:2" x14ac:dyDescent="0.35">
      <c r="A941">
        <v>936</v>
      </c>
      <c r="B941" s="1">
        <v>470</v>
      </c>
    </row>
    <row r="942" spans="1:2" x14ac:dyDescent="0.35">
      <c r="A942">
        <v>937</v>
      </c>
      <c r="B942" s="1">
        <v>280</v>
      </c>
    </row>
    <row r="943" spans="1:2" x14ac:dyDescent="0.35">
      <c r="A943">
        <v>938</v>
      </c>
      <c r="B943" s="1">
        <v>350</v>
      </c>
    </row>
    <row r="944" spans="1:2" x14ac:dyDescent="0.35">
      <c r="A944">
        <v>939</v>
      </c>
      <c r="B944" s="1">
        <v>720</v>
      </c>
    </row>
    <row r="945" spans="1:2" x14ac:dyDescent="0.35">
      <c r="A945">
        <v>940</v>
      </c>
      <c r="B945" s="1">
        <v>700</v>
      </c>
    </row>
    <row r="946" spans="1:2" x14ac:dyDescent="0.35">
      <c r="A946">
        <v>941</v>
      </c>
      <c r="B946" s="1">
        <v>770</v>
      </c>
    </row>
    <row r="947" spans="1:2" x14ac:dyDescent="0.35">
      <c r="A947">
        <v>942</v>
      </c>
      <c r="B947" s="1">
        <v>610</v>
      </c>
    </row>
    <row r="948" spans="1:2" x14ac:dyDescent="0.35">
      <c r="A948">
        <v>943</v>
      </c>
      <c r="B948" s="1">
        <v>380</v>
      </c>
    </row>
    <row r="949" spans="1:2" x14ac:dyDescent="0.35">
      <c r="A949">
        <v>944</v>
      </c>
      <c r="B949" s="1">
        <v>700</v>
      </c>
    </row>
    <row r="950" spans="1:2" x14ac:dyDescent="0.35">
      <c r="A950">
        <v>945</v>
      </c>
      <c r="B950" s="1">
        <v>0</v>
      </c>
    </row>
    <row r="951" spans="1:2" x14ac:dyDescent="0.35">
      <c r="A951">
        <v>946</v>
      </c>
      <c r="B951" s="1">
        <v>520</v>
      </c>
    </row>
    <row r="952" spans="1:2" x14ac:dyDescent="0.35">
      <c r="A952">
        <v>947</v>
      </c>
      <c r="B952" s="1">
        <v>640</v>
      </c>
    </row>
    <row r="953" spans="1:2" x14ac:dyDescent="0.35">
      <c r="A953">
        <v>948</v>
      </c>
      <c r="B953" s="1">
        <v>160</v>
      </c>
    </row>
    <row r="954" spans="1:2" x14ac:dyDescent="0.35">
      <c r="A954">
        <v>949</v>
      </c>
      <c r="B954" s="1">
        <v>120</v>
      </c>
    </row>
    <row r="955" spans="1:2" x14ac:dyDescent="0.35">
      <c r="A955">
        <v>950</v>
      </c>
      <c r="B955" s="1">
        <v>500</v>
      </c>
    </row>
    <row r="956" spans="1:2" x14ac:dyDescent="0.35">
      <c r="A956">
        <v>951</v>
      </c>
      <c r="B956" s="1">
        <v>470</v>
      </c>
    </row>
    <row r="957" spans="1:2" x14ac:dyDescent="0.35">
      <c r="A957">
        <v>952</v>
      </c>
      <c r="B957" s="1">
        <v>760</v>
      </c>
    </row>
    <row r="958" spans="1:2" x14ac:dyDescent="0.35">
      <c r="A958">
        <v>953</v>
      </c>
      <c r="B958" s="1">
        <v>300</v>
      </c>
    </row>
    <row r="959" spans="1:2" x14ac:dyDescent="0.35">
      <c r="A959">
        <v>954</v>
      </c>
      <c r="B959" s="1">
        <v>730</v>
      </c>
    </row>
    <row r="960" spans="1:2" x14ac:dyDescent="0.35">
      <c r="A960">
        <v>955</v>
      </c>
      <c r="B960" s="1">
        <v>590</v>
      </c>
    </row>
    <row r="961" spans="1:2" x14ac:dyDescent="0.35">
      <c r="A961">
        <v>956</v>
      </c>
      <c r="B961" s="1">
        <v>520</v>
      </c>
    </row>
    <row r="962" spans="1:2" x14ac:dyDescent="0.35">
      <c r="A962">
        <v>957</v>
      </c>
      <c r="B962" s="1">
        <v>400</v>
      </c>
    </row>
    <row r="963" spans="1:2" x14ac:dyDescent="0.35">
      <c r="A963">
        <v>958</v>
      </c>
      <c r="B963" s="1">
        <v>520</v>
      </c>
    </row>
    <row r="964" spans="1:2" x14ac:dyDescent="0.35">
      <c r="A964">
        <v>959</v>
      </c>
      <c r="B964" s="1">
        <v>930</v>
      </c>
    </row>
    <row r="965" spans="1:2" x14ac:dyDescent="0.35">
      <c r="A965">
        <v>960</v>
      </c>
      <c r="B965" s="1">
        <v>660</v>
      </c>
    </row>
    <row r="966" spans="1:2" x14ac:dyDescent="0.35">
      <c r="A966">
        <v>961</v>
      </c>
      <c r="B966" s="1">
        <v>780</v>
      </c>
    </row>
    <row r="967" spans="1:2" x14ac:dyDescent="0.35">
      <c r="A967">
        <v>962</v>
      </c>
      <c r="B967" s="1">
        <v>580</v>
      </c>
    </row>
    <row r="968" spans="1:2" x14ac:dyDescent="0.35">
      <c r="A968">
        <v>963</v>
      </c>
      <c r="B968" s="1">
        <v>420</v>
      </c>
    </row>
    <row r="969" spans="1:2" x14ac:dyDescent="0.35">
      <c r="A969">
        <v>964</v>
      </c>
      <c r="B969" s="1">
        <v>420</v>
      </c>
    </row>
    <row r="970" spans="1:2" x14ac:dyDescent="0.35">
      <c r="A970">
        <v>965</v>
      </c>
      <c r="B970" s="1">
        <v>620</v>
      </c>
    </row>
    <row r="971" spans="1:2" x14ac:dyDescent="0.35">
      <c r="A971">
        <v>966</v>
      </c>
      <c r="B971" s="1">
        <v>750</v>
      </c>
    </row>
    <row r="972" spans="1:2" x14ac:dyDescent="0.35">
      <c r="A972">
        <v>967</v>
      </c>
      <c r="B972" s="1">
        <v>280</v>
      </c>
    </row>
    <row r="973" spans="1:2" x14ac:dyDescent="0.35">
      <c r="A973">
        <v>968</v>
      </c>
      <c r="B973" s="1">
        <v>510</v>
      </c>
    </row>
    <row r="974" spans="1:2" x14ac:dyDescent="0.35">
      <c r="A974">
        <v>969</v>
      </c>
      <c r="B974" s="1">
        <v>620</v>
      </c>
    </row>
    <row r="975" spans="1:2" x14ac:dyDescent="0.35">
      <c r="A975">
        <v>970</v>
      </c>
      <c r="B975" s="1">
        <v>360</v>
      </c>
    </row>
    <row r="976" spans="1:2" x14ac:dyDescent="0.35">
      <c r="A976">
        <v>971</v>
      </c>
      <c r="B976" s="1">
        <v>530</v>
      </c>
    </row>
    <row r="977" spans="1:2" x14ac:dyDescent="0.35">
      <c r="A977">
        <v>972</v>
      </c>
      <c r="B977" s="1">
        <v>610</v>
      </c>
    </row>
    <row r="978" spans="1:2" x14ac:dyDescent="0.35">
      <c r="A978">
        <v>973</v>
      </c>
      <c r="B978" s="1">
        <v>420</v>
      </c>
    </row>
    <row r="979" spans="1:2" x14ac:dyDescent="0.35">
      <c r="A979">
        <v>974</v>
      </c>
      <c r="B979" s="1">
        <v>1000</v>
      </c>
    </row>
    <row r="980" spans="1:2" x14ac:dyDescent="0.35">
      <c r="A980">
        <v>975</v>
      </c>
      <c r="B980" s="1">
        <v>1130</v>
      </c>
    </row>
    <row r="981" spans="1:2" x14ac:dyDescent="0.35">
      <c r="A981">
        <v>976</v>
      </c>
      <c r="B981" s="1">
        <v>240</v>
      </c>
    </row>
    <row r="982" spans="1:2" x14ac:dyDescent="0.35">
      <c r="A982">
        <v>977</v>
      </c>
      <c r="B982" s="1">
        <v>460</v>
      </c>
    </row>
    <row r="983" spans="1:2" x14ac:dyDescent="0.35">
      <c r="A983">
        <v>978</v>
      </c>
      <c r="B983" s="1">
        <v>310</v>
      </c>
    </row>
    <row r="984" spans="1:2" x14ac:dyDescent="0.35">
      <c r="A984">
        <v>979</v>
      </c>
      <c r="B984" s="1">
        <v>790</v>
      </c>
    </row>
    <row r="985" spans="1:2" x14ac:dyDescent="0.35">
      <c r="A985">
        <v>980</v>
      </c>
      <c r="B985" s="1">
        <v>330</v>
      </c>
    </row>
    <row r="986" spans="1:2" x14ac:dyDescent="0.35">
      <c r="A986">
        <v>981</v>
      </c>
      <c r="B986" s="1">
        <v>160</v>
      </c>
    </row>
    <row r="987" spans="1:2" x14ac:dyDescent="0.35">
      <c r="A987">
        <v>982</v>
      </c>
      <c r="B987" s="1">
        <v>1110</v>
      </c>
    </row>
    <row r="988" spans="1:2" x14ac:dyDescent="0.35">
      <c r="A988">
        <v>983</v>
      </c>
      <c r="B988" s="1">
        <v>380</v>
      </c>
    </row>
    <row r="989" spans="1:2" x14ac:dyDescent="0.35">
      <c r="A989">
        <v>984</v>
      </c>
      <c r="B989" s="1">
        <v>640</v>
      </c>
    </row>
    <row r="990" spans="1:2" x14ac:dyDescent="0.35">
      <c r="A990">
        <v>985</v>
      </c>
      <c r="B990" s="1">
        <v>340</v>
      </c>
    </row>
    <row r="991" spans="1:2" x14ac:dyDescent="0.35">
      <c r="A991">
        <v>986</v>
      </c>
      <c r="B991" s="1">
        <v>460</v>
      </c>
    </row>
    <row r="992" spans="1:2" x14ac:dyDescent="0.35">
      <c r="A992">
        <v>987</v>
      </c>
      <c r="B992" s="1">
        <v>1000</v>
      </c>
    </row>
    <row r="993" spans="1:2" x14ac:dyDescent="0.35">
      <c r="A993">
        <v>988</v>
      </c>
      <c r="B993" s="1">
        <v>930</v>
      </c>
    </row>
    <row r="994" spans="1:2" x14ac:dyDescent="0.35">
      <c r="A994">
        <v>989</v>
      </c>
      <c r="B994" s="1">
        <v>360</v>
      </c>
    </row>
    <row r="995" spans="1:2" x14ac:dyDescent="0.35">
      <c r="A995">
        <v>990</v>
      </c>
      <c r="B995" s="1">
        <v>490</v>
      </c>
    </row>
    <row r="996" spans="1:2" x14ac:dyDescent="0.35">
      <c r="A996">
        <v>991</v>
      </c>
      <c r="B996" s="1">
        <v>950</v>
      </c>
    </row>
    <row r="997" spans="1:2" x14ac:dyDescent="0.35">
      <c r="A997">
        <v>992</v>
      </c>
      <c r="B997" s="1">
        <v>910</v>
      </c>
    </row>
    <row r="998" spans="1:2" x14ac:dyDescent="0.35">
      <c r="A998">
        <v>993</v>
      </c>
      <c r="B998" s="1">
        <v>820</v>
      </c>
    </row>
    <row r="999" spans="1:2" x14ac:dyDescent="0.35">
      <c r="A999">
        <v>994</v>
      </c>
      <c r="B999" s="1">
        <v>1020</v>
      </c>
    </row>
    <row r="1000" spans="1:2" x14ac:dyDescent="0.35">
      <c r="A1000">
        <v>995</v>
      </c>
      <c r="B1000" s="1">
        <v>440</v>
      </c>
    </row>
    <row r="1001" spans="1:2" x14ac:dyDescent="0.35">
      <c r="A1001">
        <v>996</v>
      </c>
      <c r="B1001" s="1">
        <v>80</v>
      </c>
    </row>
    <row r="1002" spans="1:2" x14ac:dyDescent="0.35">
      <c r="A1002">
        <v>997</v>
      </c>
      <c r="B1002" s="1">
        <v>580</v>
      </c>
    </row>
    <row r="1003" spans="1:2" x14ac:dyDescent="0.35">
      <c r="A1003">
        <v>998</v>
      </c>
      <c r="B1003" s="1">
        <v>480</v>
      </c>
    </row>
    <row r="1004" spans="1:2" x14ac:dyDescent="0.35">
      <c r="A1004">
        <v>999</v>
      </c>
      <c r="B1004" s="1">
        <v>540</v>
      </c>
    </row>
    <row r="1005" spans="1:2" x14ac:dyDescent="0.35">
      <c r="A1005">
        <v>1000</v>
      </c>
      <c r="B1005" s="1">
        <v>720</v>
      </c>
    </row>
    <row r="1006" spans="1:2" x14ac:dyDescent="0.35">
      <c r="B1006" s="23">
        <v>570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73B12-8069-4515-898C-9E6969BEFE5D}">
  <dimension ref="A1:AP1002"/>
  <sheetViews>
    <sheetView workbookViewId="0">
      <selection activeCell="E3" sqref="E3"/>
    </sheetView>
  </sheetViews>
  <sheetFormatPr defaultRowHeight="14.5" x14ac:dyDescent="0.35"/>
  <cols>
    <col min="2" max="2" width="9.6328125" bestFit="1" customWidth="1"/>
    <col min="3" max="3" width="18.81640625" bestFit="1" customWidth="1"/>
    <col min="4" max="4" width="11.54296875" bestFit="1" customWidth="1"/>
    <col min="5" max="5" width="18.6328125" bestFit="1" customWidth="1"/>
    <col min="7" max="7" width="13.81640625" bestFit="1" customWidth="1"/>
    <col min="8" max="10" width="21.7265625" bestFit="1" customWidth="1"/>
    <col min="11" max="11" width="22.7265625" bestFit="1" customWidth="1"/>
    <col min="12" max="12" width="22.08984375" bestFit="1" customWidth="1"/>
    <col min="13" max="13" width="14.26953125" bestFit="1" customWidth="1"/>
    <col min="14" max="14" width="12" bestFit="1" customWidth="1"/>
    <col min="16" max="16" width="12" bestFit="1" customWidth="1"/>
    <col min="18" max="18" width="9.1796875" bestFit="1" customWidth="1"/>
    <col min="19" max="19" width="9.6328125" bestFit="1" customWidth="1"/>
    <col min="20" max="20" width="14.26953125" bestFit="1" customWidth="1"/>
    <col min="27" max="27" width="11.90625" bestFit="1" customWidth="1"/>
    <col min="34" max="34" width="13" bestFit="1" customWidth="1"/>
  </cols>
  <sheetData>
    <row r="1" spans="1:42" x14ac:dyDescent="0.35">
      <c r="A1" t="s">
        <v>0</v>
      </c>
      <c r="B1" s="1">
        <v>180</v>
      </c>
      <c r="C1" t="s">
        <v>150</v>
      </c>
      <c r="D1" s="20">
        <f>B1*5</f>
        <v>900</v>
      </c>
      <c r="G1" s="29" t="s">
        <v>218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</row>
    <row r="2" spans="1:42" x14ac:dyDescent="0.35">
      <c r="A2" s="16" t="s">
        <v>145</v>
      </c>
      <c r="B2" s="1">
        <v>60</v>
      </c>
      <c r="H2" t="s">
        <v>158</v>
      </c>
      <c r="I2" t="s">
        <v>161</v>
      </c>
      <c r="J2" t="s">
        <v>162</v>
      </c>
      <c r="K2" t="s">
        <v>163</v>
      </c>
      <c r="L2" t="s">
        <v>164</v>
      </c>
      <c r="M2" t="s">
        <v>165</v>
      </c>
      <c r="O2" t="s">
        <v>168</v>
      </c>
      <c r="P2" t="s">
        <v>169</v>
      </c>
      <c r="Q2" t="s">
        <v>170</v>
      </c>
      <c r="R2" t="s">
        <v>171</v>
      </c>
      <c r="S2" t="s">
        <v>172</v>
      </c>
      <c r="T2" t="s">
        <v>173</v>
      </c>
      <c r="V2" t="s">
        <v>180</v>
      </c>
      <c r="W2" t="s">
        <v>181</v>
      </c>
      <c r="X2" t="s">
        <v>182</v>
      </c>
      <c r="Y2" t="s">
        <v>183</v>
      </c>
      <c r="Z2" t="s">
        <v>184</v>
      </c>
      <c r="AA2" t="s">
        <v>185</v>
      </c>
      <c r="AC2" t="s">
        <v>192</v>
      </c>
      <c r="AD2" t="s">
        <v>193</v>
      </c>
      <c r="AE2" t="s">
        <v>194</v>
      </c>
      <c r="AF2" t="s">
        <v>195</v>
      </c>
      <c r="AG2" t="s">
        <v>196</v>
      </c>
      <c r="AH2" t="s">
        <v>197</v>
      </c>
      <c r="AJ2" t="s">
        <v>199</v>
      </c>
      <c r="AK2" t="s">
        <v>200</v>
      </c>
      <c r="AL2" t="s">
        <v>201</v>
      </c>
      <c r="AM2" t="s">
        <v>202</v>
      </c>
      <c r="AN2" t="s">
        <v>203</v>
      </c>
      <c r="AO2" t="s">
        <v>204</v>
      </c>
    </row>
    <row r="3" spans="1:42" x14ac:dyDescent="0.35">
      <c r="A3" s="17" t="s">
        <v>146</v>
      </c>
      <c r="B3" s="1">
        <v>80</v>
      </c>
      <c r="G3">
        <v>1</v>
      </c>
      <c r="H3">
        <f ca="1">VLOOKUP(RAND(),A9:C14,3,TRUE)</f>
        <v>0</v>
      </c>
      <c r="I3">
        <f ca="1">VLOOKUP(RAND(),A15:C21,3,TRUE)</f>
        <v>0</v>
      </c>
      <c r="J3">
        <f ca="1">VLOOKUP(RAND(),A22:C28,3,TRUE)</f>
        <v>1</v>
      </c>
      <c r="K3">
        <f ca="1">VLOOKUP(RAND(),A29:C34,3,TRUE)</f>
        <v>4</v>
      </c>
      <c r="L3">
        <f ca="1">VLOOKUP(RAND(),A35:C40,3,TRUE)</f>
        <v>2</v>
      </c>
      <c r="M3" s="1">
        <f ca="1">SUM(H3:L3)*B2</f>
        <v>420</v>
      </c>
      <c r="N3">
        <v>1</v>
      </c>
      <c r="O3">
        <f ca="1">VLOOKUP(RAND(),A42:C46,3,TRUE)</f>
        <v>1</v>
      </c>
      <c r="P3">
        <f ca="1">VLOOKUP(RAND(),A47:C50,3,TRUE)</f>
        <v>1</v>
      </c>
      <c r="Q3">
        <f ca="1">VLOOKUP(RAND(),A51:C55,3,TRUE)</f>
        <v>1</v>
      </c>
      <c r="R3">
        <f ca="1">VLOOKUP(RAND(),A56:C60,3,TRUE)</f>
        <v>0</v>
      </c>
      <c r="S3">
        <f ca="1">VLOOKUP(RAND(),A62:C64,3,TRUE)</f>
        <v>0</v>
      </c>
      <c r="T3" s="1">
        <f ca="1">SUM(O3:S3)*B3</f>
        <v>240</v>
      </c>
      <c r="U3">
        <v>1</v>
      </c>
      <c r="V3">
        <f ca="1">VLOOKUP(RAND(),A66:C68,3,TRUE)</f>
        <v>0</v>
      </c>
      <c r="W3">
        <f ca="1">VLOOKUP(RAND(),A70:C73,3,TRUE)</f>
        <v>0</v>
      </c>
      <c r="X3">
        <f ca="1">VLOOKUP(RAND(),A74:C76,3,TRUE)</f>
        <v>0</v>
      </c>
      <c r="Y3">
        <f ca="1">VLOOKUP(RAND(),A77:C80,3,TRUE)</f>
        <v>0</v>
      </c>
      <c r="Z3">
        <f ca="1">VLOOKUP(RAND(),A81:C83,3,TRUE)</f>
        <v>0</v>
      </c>
      <c r="AA3" s="1">
        <f ca="1">SUM(V3:Z3)*B4</f>
        <v>0</v>
      </c>
      <c r="AB3">
        <v>1</v>
      </c>
      <c r="AC3">
        <f ca="1">VLOOKUP(RAND(),A85:C88,3,TRUE)</f>
        <v>0</v>
      </c>
      <c r="AD3">
        <f ca="1">VLOOKUP(RAND(),A89:C91,3,TRUE)</f>
        <v>0</v>
      </c>
      <c r="AE3">
        <f ca="1">VLOOKUP(RAND(),A92:C94,3,TRUE)</f>
        <v>0</v>
      </c>
      <c r="AF3">
        <f ca="1">VLOOKUP(RAND(),A95:C97,3,TRUE)</f>
        <v>0</v>
      </c>
      <c r="AG3">
        <f ca="1">VLOOKUP(RAND(),A98:C101,3,TRUE)</f>
        <v>0</v>
      </c>
      <c r="AH3" s="1">
        <f ca="1">SUM(AC3:AG3)*B5</f>
        <v>0</v>
      </c>
      <c r="AI3">
        <v>1</v>
      </c>
      <c r="AJ3">
        <f ca="1">VLOOKUP(RAND(),A103:C105,3,TRUE)</f>
        <v>2</v>
      </c>
      <c r="AK3">
        <f ca="1">VLOOKUP(RAND(),A106:C108,3,TRUE)</f>
        <v>0</v>
      </c>
      <c r="AL3">
        <f ca="1">VLOOKUP(RAND(),A52:C55,3,TRUE)</f>
        <v>0</v>
      </c>
      <c r="AM3">
        <f ca="1">VLOOKUP(RAND(),A113:C114,3,TRUE)</f>
        <v>0</v>
      </c>
      <c r="AN3">
        <f ca="1">VLOOKUP(RAND(),A115:C118,3,TRUE)</f>
        <v>0</v>
      </c>
      <c r="AO3" s="1">
        <f ca="1">SUM(AJ3:AN3)*B6</f>
        <v>300</v>
      </c>
    </row>
    <row r="4" spans="1:42" x14ac:dyDescent="0.35">
      <c r="A4" s="17" t="s">
        <v>147</v>
      </c>
      <c r="B4" s="1">
        <v>100</v>
      </c>
      <c r="G4">
        <v>2</v>
      </c>
      <c r="H4">
        <f t="dataTable" ref="H4:M1002" dt2D="0" dtr="0" r1="A7" ca="1"/>
        <v>0</v>
      </c>
      <c r="I4">
        <v>0</v>
      </c>
      <c r="J4">
        <v>0</v>
      </c>
      <c r="K4">
        <v>0</v>
      </c>
      <c r="L4">
        <v>0</v>
      </c>
      <c r="M4" s="1">
        <v>0</v>
      </c>
      <c r="N4">
        <v>2</v>
      </c>
      <c r="O4">
        <f t="dataTable" ref="O4:T1002" dt2D="0" dtr="0" r1="A7" ca="1"/>
        <v>2</v>
      </c>
      <c r="P4">
        <v>0</v>
      </c>
      <c r="Q4">
        <v>0</v>
      </c>
      <c r="R4">
        <v>0</v>
      </c>
      <c r="S4">
        <v>0</v>
      </c>
      <c r="T4" s="1">
        <v>160</v>
      </c>
      <c r="U4">
        <v>2</v>
      </c>
      <c r="V4">
        <f t="dataTable" ref="V4:AA1002" dt2D="0" dtr="0" r1="C2" ca="1"/>
        <v>0</v>
      </c>
      <c r="W4">
        <v>0</v>
      </c>
      <c r="X4">
        <v>0</v>
      </c>
      <c r="Y4">
        <v>0</v>
      </c>
      <c r="Z4">
        <v>0</v>
      </c>
      <c r="AA4" s="1">
        <v>0</v>
      </c>
      <c r="AB4">
        <v>2</v>
      </c>
      <c r="AC4">
        <f t="dataTable" ref="AC4:AH1002" dt2D="0" dtr="0" r1="A7" ca="1"/>
        <v>0</v>
      </c>
      <c r="AD4">
        <v>0</v>
      </c>
      <c r="AE4">
        <v>0</v>
      </c>
      <c r="AF4">
        <v>0</v>
      </c>
      <c r="AG4">
        <v>0</v>
      </c>
      <c r="AH4" s="1">
        <v>0</v>
      </c>
      <c r="AI4">
        <v>2</v>
      </c>
      <c r="AJ4">
        <f t="dataTable" ref="AJ4:AO1002" dt2D="0" dtr="0" r1="A7" ca="1"/>
        <v>0</v>
      </c>
      <c r="AK4">
        <v>0</v>
      </c>
      <c r="AL4">
        <v>0</v>
      </c>
      <c r="AM4">
        <v>0</v>
      </c>
      <c r="AN4">
        <v>0</v>
      </c>
      <c r="AO4" s="1">
        <v>0</v>
      </c>
    </row>
    <row r="5" spans="1:42" x14ac:dyDescent="0.35">
      <c r="A5" s="18" t="s">
        <v>149</v>
      </c>
      <c r="B5" s="1">
        <v>120</v>
      </c>
      <c r="E5" s="21"/>
      <c r="F5" s="21"/>
      <c r="G5">
        <v>3</v>
      </c>
      <c r="H5">
        <v>0</v>
      </c>
      <c r="I5">
        <v>3</v>
      </c>
      <c r="J5">
        <v>0</v>
      </c>
      <c r="K5">
        <v>0</v>
      </c>
      <c r="L5">
        <v>2</v>
      </c>
      <c r="M5" s="1">
        <v>300</v>
      </c>
      <c r="N5">
        <v>3</v>
      </c>
      <c r="O5">
        <v>0</v>
      </c>
      <c r="P5">
        <v>0</v>
      </c>
      <c r="Q5">
        <v>0</v>
      </c>
      <c r="R5">
        <v>0</v>
      </c>
      <c r="S5">
        <v>1</v>
      </c>
      <c r="T5" s="1">
        <v>80</v>
      </c>
      <c r="U5">
        <v>3</v>
      </c>
      <c r="V5">
        <v>0</v>
      </c>
      <c r="W5">
        <v>1</v>
      </c>
      <c r="X5">
        <v>0</v>
      </c>
      <c r="Y5">
        <v>0</v>
      </c>
      <c r="Z5">
        <v>0</v>
      </c>
      <c r="AA5" s="1">
        <v>100</v>
      </c>
      <c r="AB5">
        <v>3</v>
      </c>
      <c r="AC5">
        <v>0</v>
      </c>
      <c r="AD5">
        <v>0</v>
      </c>
      <c r="AE5">
        <v>0</v>
      </c>
      <c r="AF5">
        <v>0</v>
      </c>
      <c r="AG5">
        <v>0</v>
      </c>
      <c r="AH5" s="1">
        <v>0</v>
      </c>
      <c r="AI5">
        <v>3</v>
      </c>
      <c r="AJ5">
        <v>0</v>
      </c>
      <c r="AK5">
        <v>0</v>
      </c>
      <c r="AL5">
        <v>0</v>
      </c>
      <c r="AM5">
        <v>0</v>
      </c>
      <c r="AN5">
        <v>0</v>
      </c>
      <c r="AO5" s="1">
        <v>0</v>
      </c>
    </row>
    <row r="6" spans="1:42" x14ac:dyDescent="0.35">
      <c r="A6" s="17" t="s">
        <v>148</v>
      </c>
      <c r="B6" s="1">
        <v>150</v>
      </c>
      <c r="G6">
        <v>4</v>
      </c>
      <c r="H6">
        <v>1</v>
      </c>
      <c r="I6">
        <v>3</v>
      </c>
      <c r="J6">
        <v>2</v>
      </c>
      <c r="K6">
        <v>0</v>
      </c>
      <c r="L6">
        <v>0</v>
      </c>
      <c r="M6" s="1">
        <v>360</v>
      </c>
      <c r="N6">
        <v>4</v>
      </c>
      <c r="O6">
        <v>0</v>
      </c>
      <c r="P6">
        <v>1</v>
      </c>
      <c r="Q6">
        <v>1</v>
      </c>
      <c r="R6">
        <v>0</v>
      </c>
      <c r="S6">
        <v>0</v>
      </c>
      <c r="T6" s="1">
        <v>160</v>
      </c>
      <c r="U6">
        <v>4</v>
      </c>
      <c r="V6">
        <v>0</v>
      </c>
      <c r="W6">
        <v>0</v>
      </c>
      <c r="X6">
        <v>1</v>
      </c>
      <c r="Y6">
        <v>0</v>
      </c>
      <c r="Z6">
        <v>0</v>
      </c>
      <c r="AA6" s="1">
        <v>100</v>
      </c>
      <c r="AB6">
        <v>4</v>
      </c>
      <c r="AC6">
        <v>0</v>
      </c>
      <c r="AD6">
        <v>0</v>
      </c>
      <c r="AE6">
        <v>0</v>
      </c>
      <c r="AF6">
        <v>0</v>
      </c>
      <c r="AG6">
        <v>0</v>
      </c>
      <c r="AH6" s="1">
        <v>0</v>
      </c>
      <c r="AI6">
        <v>4</v>
      </c>
      <c r="AJ6">
        <v>0</v>
      </c>
      <c r="AK6">
        <v>0</v>
      </c>
      <c r="AL6">
        <v>0</v>
      </c>
      <c r="AM6">
        <v>0</v>
      </c>
      <c r="AN6">
        <v>2</v>
      </c>
      <c r="AO6" s="1">
        <v>300</v>
      </c>
    </row>
    <row r="7" spans="1:42" x14ac:dyDescent="0.35">
      <c r="A7" s="32" t="s">
        <v>219</v>
      </c>
      <c r="B7" s="32"/>
      <c r="C7" s="32"/>
      <c r="G7">
        <v>5</v>
      </c>
      <c r="H7">
        <v>0</v>
      </c>
      <c r="I7">
        <v>1</v>
      </c>
      <c r="J7">
        <v>0</v>
      </c>
      <c r="K7">
        <v>3</v>
      </c>
      <c r="L7">
        <v>1</v>
      </c>
      <c r="M7" s="1">
        <v>300</v>
      </c>
      <c r="N7">
        <v>5</v>
      </c>
      <c r="O7">
        <v>0</v>
      </c>
      <c r="P7">
        <v>0</v>
      </c>
      <c r="Q7">
        <v>0</v>
      </c>
      <c r="R7">
        <v>0</v>
      </c>
      <c r="S7">
        <v>0</v>
      </c>
      <c r="T7" s="1">
        <v>0</v>
      </c>
      <c r="U7">
        <v>5</v>
      </c>
      <c r="V7">
        <v>0</v>
      </c>
      <c r="W7">
        <v>3</v>
      </c>
      <c r="X7">
        <v>0</v>
      </c>
      <c r="Y7">
        <v>0</v>
      </c>
      <c r="Z7">
        <v>0</v>
      </c>
      <c r="AA7" s="1">
        <v>300</v>
      </c>
      <c r="AB7">
        <v>5</v>
      </c>
      <c r="AC7">
        <v>0</v>
      </c>
      <c r="AD7">
        <v>0</v>
      </c>
      <c r="AE7">
        <v>0</v>
      </c>
      <c r="AF7">
        <v>0</v>
      </c>
      <c r="AG7">
        <v>0</v>
      </c>
      <c r="AH7" s="1">
        <v>0</v>
      </c>
      <c r="AI7">
        <v>5</v>
      </c>
      <c r="AJ7">
        <v>0</v>
      </c>
      <c r="AK7">
        <v>0</v>
      </c>
      <c r="AL7">
        <v>0</v>
      </c>
      <c r="AM7">
        <v>0</v>
      </c>
      <c r="AN7">
        <v>0</v>
      </c>
      <c r="AO7" s="1">
        <v>0</v>
      </c>
    </row>
    <row r="8" spans="1:42" x14ac:dyDescent="0.35">
      <c r="A8" s="33" t="s">
        <v>145</v>
      </c>
      <c r="B8" s="34"/>
      <c r="C8" s="34"/>
      <c r="D8" s="21"/>
      <c r="G8">
        <v>6</v>
      </c>
      <c r="H8">
        <v>1</v>
      </c>
      <c r="I8">
        <v>2</v>
      </c>
      <c r="J8">
        <v>0</v>
      </c>
      <c r="K8">
        <v>0</v>
      </c>
      <c r="L8">
        <v>0</v>
      </c>
      <c r="M8" s="1">
        <v>180</v>
      </c>
      <c r="N8">
        <v>6</v>
      </c>
      <c r="O8">
        <v>2</v>
      </c>
      <c r="P8">
        <v>2</v>
      </c>
      <c r="Q8">
        <v>0</v>
      </c>
      <c r="R8">
        <v>0</v>
      </c>
      <c r="S8">
        <v>1</v>
      </c>
      <c r="T8" s="1">
        <v>400</v>
      </c>
      <c r="U8">
        <v>6</v>
      </c>
      <c r="V8">
        <v>0</v>
      </c>
      <c r="W8">
        <v>0</v>
      </c>
      <c r="X8">
        <v>1</v>
      </c>
      <c r="Y8">
        <v>0</v>
      </c>
      <c r="Z8">
        <v>0</v>
      </c>
      <c r="AA8" s="1">
        <v>100</v>
      </c>
      <c r="AB8">
        <v>6</v>
      </c>
      <c r="AC8">
        <v>1</v>
      </c>
      <c r="AD8">
        <v>1</v>
      </c>
      <c r="AE8">
        <v>0</v>
      </c>
      <c r="AF8">
        <v>0</v>
      </c>
      <c r="AG8">
        <v>0</v>
      </c>
      <c r="AH8" s="1">
        <v>240</v>
      </c>
      <c r="AI8">
        <v>6</v>
      </c>
      <c r="AJ8">
        <v>0</v>
      </c>
      <c r="AK8">
        <v>0</v>
      </c>
      <c r="AL8">
        <v>0</v>
      </c>
      <c r="AM8">
        <v>0</v>
      </c>
      <c r="AN8">
        <v>0</v>
      </c>
      <c r="AO8" s="1">
        <v>0</v>
      </c>
    </row>
    <row r="9" spans="1:42" x14ac:dyDescent="0.35">
      <c r="A9" t="s">
        <v>156</v>
      </c>
      <c r="B9" t="s">
        <v>157</v>
      </c>
      <c r="C9" s="18" t="s">
        <v>159</v>
      </c>
      <c r="G9">
        <v>7</v>
      </c>
      <c r="H9">
        <v>1</v>
      </c>
      <c r="I9">
        <v>0</v>
      </c>
      <c r="J9">
        <v>1</v>
      </c>
      <c r="K9">
        <v>0</v>
      </c>
      <c r="L9">
        <v>0</v>
      </c>
      <c r="M9" s="1">
        <v>120</v>
      </c>
      <c r="N9">
        <v>7</v>
      </c>
      <c r="O9">
        <v>1</v>
      </c>
      <c r="P9">
        <v>0</v>
      </c>
      <c r="Q9">
        <v>1</v>
      </c>
      <c r="R9">
        <v>0</v>
      </c>
      <c r="S9">
        <v>1</v>
      </c>
      <c r="T9" s="1">
        <v>240</v>
      </c>
      <c r="U9">
        <v>7</v>
      </c>
      <c r="V9">
        <v>0</v>
      </c>
      <c r="W9">
        <v>0</v>
      </c>
      <c r="X9">
        <v>0</v>
      </c>
      <c r="Y9">
        <v>0</v>
      </c>
      <c r="Z9">
        <v>0</v>
      </c>
      <c r="AA9" s="1">
        <v>0</v>
      </c>
      <c r="AB9">
        <v>7</v>
      </c>
      <c r="AC9">
        <v>1</v>
      </c>
      <c r="AD9">
        <v>0</v>
      </c>
      <c r="AE9">
        <v>0</v>
      </c>
      <c r="AF9">
        <v>0</v>
      </c>
      <c r="AG9">
        <v>0</v>
      </c>
      <c r="AH9" s="1">
        <v>120</v>
      </c>
      <c r="AI9">
        <v>7</v>
      </c>
      <c r="AJ9">
        <v>0</v>
      </c>
      <c r="AK9">
        <v>0</v>
      </c>
      <c r="AL9">
        <v>0</v>
      </c>
      <c r="AM9">
        <v>0</v>
      </c>
      <c r="AN9">
        <v>0</v>
      </c>
      <c r="AO9" s="1">
        <v>0</v>
      </c>
    </row>
    <row r="10" spans="1:42" x14ac:dyDescent="0.35">
      <c r="A10" s="22">
        <v>0</v>
      </c>
      <c r="B10">
        <v>0.65217391304347827</v>
      </c>
      <c r="C10">
        <v>0</v>
      </c>
      <c r="G10">
        <v>8</v>
      </c>
      <c r="H10">
        <v>0</v>
      </c>
      <c r="I10">
        <v>0</v>
      </c>
      <c r="J10">
        <v>1</v>
      </c>
      <c r="K10">
        <v>0</v>
      </c>
      <c r="L10">
        <v>0</v>
      </c>
      <c r="M10" s="1">
        <v>60</v>
      </c>
      <c r="N10">
        <v>8</v>
      </c>
      <c r="O10">
        <v>0</v>
      </c>
      <c r="P10">
        <v>1</v>
      </c>
      <c r="Q10">
        <v>2</v>
      </c>
      <c r="R10">
        <v>0</v>
      </c>
      <c r="S10">
        <v>0</v>
      </c>
      <c r="T10" s="1">
        <v>240</v>
      </c>
      <c r="U10">
        <v>8</v>
      </c>
      <c r="V10">
        <v>0</v>
      </c>
      <c r="W10">
        <v>0</v>
      </c>
      <c r="X10">
        <v>0</v>
      </c>
      <c r="Y10">
        <v>0</v>
      </c>
      <c r="Z10">
        <v>0</v>
      </c>
      <c r="AA10" s="1">
        <v>0</v>
      </c>
      <c r="AB10">
        <v>8</v>
      </c>
      <c r="AC10">
        <v>0</v>
      </c>
      <c r="AD10">
        <v>0</v>
      </c>
      <c r="AE10">
        <v>0</v>
      </c>
      <c r="AF10">
        <v>0</v>
      </c>
      <c r="AG10">
        <v>0</v>
      </c>
      <c r="AH10" s="1">
        <v>0</v>
      </c>
      <c r="AI10">
        <v>8</v>
      </c>
      <c r="AJ10">
        <v>2</v>
      </c>
      <c r="AK10">
        <v>0</v>
      </c>
      <c r="AL10">
        <v>1</v>
      </c>
      <c r="AM10">
        <v>0</v>
      </c>
      <c r="AN10">
        <v>0</v>
      </c>
      <c r="AO10" s="1">
        <v>450</v>
      </c>
    </row>
    <row r="11" spans="1:42" x14ac:dyDescent="0.35">
      <c r="A11" s="17">
        <v>0.65217391304347827</v>
      </c>
      <c r="B11">
        <v>0.90579710144927539</v>
      </c>
      <c r="C11">
        <v>1</v>
      </c>
      <c r="G11">
        <v>9</v>
      </c>
      <c r="H11">
        <v>0</v>
      </c>
      <c r="I11">
        <v>3</v>
      </c>
      <c r="J11">
        <v>3</v>
      </c>
      <c r="K11">
        <v>0</v>
      </c>
      <c r="L11">
        <v>2</v>
      </c>
      <c r="M11" s="1">
        <v>480</v>
      </c>
      <c r="N11">
        <v>9</v>
      </c>
      <c r="O11">
        <v>0</v>
      </c>
      <c r="P11">
        <v>0</v>
      </c>
      <c r="Q11">
        <v>3</v>
      </c>
      <c r="R11">
        <v>0</v>
      </c>
      <c r="S11">
        <v>0</v>
      </c>
      <c r="T11" s="1">
        <v>240</v>
      </c>
      <c r="U11">
        <v>9</v>
      </c>
      <c r="V11">
        <v>0</v>
      </c>
      <c r="W11">
        <v>0</v>
      </c>
      <c r="X11">
        <v>0</v>
      </c>
      <c r="Y11">
        <v>0</v>
      </c>
      <c r="Z11">
        <v>0</v>
      </c>
      <c r="AA11" s="1">
        <v>0</v>
      </c>
      <c r="AB11">
        <v>9</v>
      </c>
      <c r="AC11">
        <v>0</v>
      </c>
      <c r="AD11">
        <v>0</v>
      </c>
      <c r="AE11">
        <v>0</v>
      </c>
      <c r="AF11">
        <v>1</v>
      </c>
      <c r="AG11">
        <v>0</v>
      </c>
      <c r="AH11" s="1">
        <v>120</v>
      </c>
      <c r="AI11">
        <v>9</v>
      </c>
      <c r="AJ11">
        <v>0</v>
      </c>
      <c r="AK11">
        <v>0</v>
      </c>
      <c r="AL11">
        <v>0</v>
      </c>
      <c r="AM11">
        <v>0</v>
      </c>
      <c r="AN11">
        <v>0</v>
      </c>
      <c r="AO11" s="1">
        <v>0</v>
      </c>
    </row>
    <row r="12" spans="1:42" x14ac:dyDescent="0.35">
      <c r="A12" s="17">
        <v>0.90579710144927539</v>
      </c>
      <c r="B12">
        <v>0.97826086956521741</v>
      </c>
      <c r="C12">
        <v>2</v>
      </c>
      <c r="E12" s="21"/>
      <c r="F12" s="21"/>
      <c r="G12">
        <v>10</v>
      </c>
      <c r="H12">
        <v>0</v>
      </c>
      <c r="I12">
        <v>1</v>
      </c>
      <c r="J12">
        <v>4</v>
      </c>
      <c r="K12">
        <v>0</v>
      </c>
      <c r="L12">
        <v>2</v>
      </c>
      <c r="M12" s="1">
        <v>420</v>
      </c>
      <c r="N12">
        <v>10</v>
      </c>
      <c r="O12">
        <v>0</v>
      </c>
      <c r="P12">
        <v>0</v>
      </c>
      <c r="Q12">
        <v>1</v>
      </c>
      <c r="R12">
        <v>0</v>
      </c>
      <c r="S12">
        <v>2</v>
      </c>
      <c r="T12" s="1">
        <v>240</v>
      </c>
      <c r="U12">
        <v>10</v>
      </c>
      <c r="V12">
        <v>0</v>
      </c>
      <c r="W12">
        <v>0</v>
      </c>
      <c r="X12">
        <v>0</v>
      </c>
      <c r="Y12">
        <v>0</v>
      </c>
      <c r="Z12">
        <v>0</v>
      </c>
      <c r="AA12" s="1">
        <v>0</v>
      </c>
      <c r="AB12">
        <v>10</v>
      </c>
      <c r="AC12">
        <v>0</v>
      </c>
      <c r="AD12">
        <v>0</v>
      </c>
      <c r="AE12">
        <v>0</v>
      </c>
      <c r="AF12">
        <v>0</v>
      </c>
      <c r="AG12">
        <v>0</v>
      </c>
      <c r="AH12" s="1">
        <v>0</v>
      </c>
      <c r="AI12">
        <v>10</v>
      </c>
      <c r="AJ12">
        <v>0</v>
      </c>
      <c r="AK12">
        <v>0</v>
      </c>
      <c r="AL12">
        <v>0</v>
      </c>
      <c r="AM12">
        <v>0</v>
      </c>
      <c r="AN12">
        <v>0</v>
      </c>
      <c r="AO12" s="1">
        <v>0</v>
      </c>
    </row>
    <row r="13" spans="1:42" x14ac:dyDescent="0.35">
      <c r="A13" s="17">
        <v>0.97826086956521741</v>
      </c>
      <c r="B13">
        <v>0.99275362318840576</v>
      </c>
      <c r="C13">
        <v>3</v>
      </c>
      <c r="G13">
        <v>11</v>
      </c>
      <c r="H13">
        <v>0</v>
      </c>
      <c r="I13">
        <v>0</v>
      </c>
      <c r="J13">
        <v>2</v>
      </c>
      <c r="K13">
        <v>2</v>
      </c>
      <c r="L13">
        <v>0</v>
      </c>
      <c r="M13" s="1">
        <v>240</v>
      </c>
      <c r="N13">
        <v>11</v>
      </c>
      <c r="O13">
        <v>3</v>
      </c>
      <c r="P13">
        <v>0</v>
      </c>
      <c r="Q13">
        <v>1</v>
      </c>
      <c r="R13">
        <v>0</v>
      </c>
      <c r="S13">
        <v>0</v>
      </c>
      <c r="T13" s="1">
        <v>320</v>
      </c>
      <c r="U13">
        <v>11</v>
      </c>
      <c r="V13">
        <v>0</v>
      </c>
      <c r="W13">
        <v>0</v>
      </c>
      <c r="X13">
        <v>0</v>
      </c>
      <c r="Y13">
        <v>0</v>
      </c>
      <c r="Z13">
        <v>0</v>
      </c>
      <c r="AA13" s="1">
        <v>0</v>
      </c>
      <c r="AB13">
        <v>11</v>
      </c>
      <c r="AC13">
        <v>0</v>
      </c>
      <c r="AD13">
        <v>0</v>
      </c>
      <c r="AE13">
        <v>0</v>
      </c>
      <c r="AF13">
        <v>0</v>
      </c>
      <c r="AG13">
        <v>0</v>
      </c>
      <c r="AH13" s="1">
        <v>0</v>
      </c>
      <c r="AI13">
        <v>11</v>
      </c>
      <c r="AJ13">
        <v>0</v>
      </c>
      <c r="AK13">
        <v>0</v>
      </c>
      <c r="AL13">
        <v>0</v>
      </c>
      <c r="AM13">
        <v>0</v>
      </c>
      <c r="AN13">
        <v>0</v>
      </c>
      <c r="AO13" s="1">
        <v>0</v>
      </c>
    </row>
    <row r="14" spans="1:42" x14ac:dyDescent="0.35">
      <c r="A14" s="17">
        <v>0.99275362318840576</v>
      </c>
      <c r="B14">
        <v>1</v>
      </c>
      <c r="C14">
        <v>4</v>
      </c>
      <c r="G14">
        <v>12</v>
      </c>
      <c r="H14">
        <v>0</v>
      </c>
      <c r="I14">
        <v>0</v>
      </c>
      <c r="J14">
        <v>2</v>
      </c>
      <c r="K14">
        <v>3</v>
      </c>
      <c r="L14">
        <v>1</v>
      </c>
      <c r="M14" s="1">
        <v>360</v>
      </c>
      <c r="N14">
        <v>12</v>
      </c>
      <c r="O14">
        <v>0</v>
      </c>
      <c r="P14">
        <v>0</v>
      </c>
      <c r="Q14">
        <v>0</v>
      </c>
      <c r="R14">
        <v>0</v>
      </c>
      <c r="S14">
        <v>0</v>
      </c>
      <c r="T14" s="1">
        <v>0</v>
      </c>
      <c r="U14">
        <v>12</v>
      </c>
      <c r="V14">
        <v>0</v>
      </c>
      <c r="W14">
        <v>1</v>
      </c>
      <c r="X14">
        <v>0</v>
      </c>
      <c r="Y14">
        <v>0</v>
      </c>
      <c r="Z14">
        <v>0</v>
      </c>
      <c r="AA14" s="1">
        <v>100</v>
      </c>
      <c r="AB14">
        <v>12</v>
      </c>
      <c r="AC14">
        <v>0</v>
      </c>
      <c r="AD14">
        <v>0</v>
      </c>
      <c r="AE14">
        <v>0</v>
      </c>
      <c r="AF14">
        <v>0</v>
      </c>
      <c r="AG14">
        <v>0</v>
      </c>
      <c r="AH14" s="1">
        <v>0</v>
      </c>
      <c r="AI14">
        <v>12</v>
      </c>
      <c r="AJ14">
        <v>0</v>
      </c>
      <c r="AK14">
        <v>0</v>
      </c>
      <c r="AL14">
        <v>0</v>
      </c>
      <c r="AM14">
        <v>0</v>
      </c>
      <c r="AN14">
        <v>0</v>
      </c>
      <c r="AO14" s="1">
        <v>0</v>
      </c>
    </row>
    <row r="15" spans="1:42" x14ac:dyDescent="0.35">
      <c r="A15" t="s">
        <v>156</v>
      </c>
      <c r="B15" t="s">
        <v>157</v>
      </c>
      <c r="C15" s="18" t="s">
        <v>160</v>
      </c>
      <c r="D15" s="21"/>
      <c r="G15">
        <v>13</v>
      </c>
      <c r="H15">
        <v>0</v>
      </c>
      <c r="I15">
        <v>2</v>
      </c>
      <c r="J15">
        <v>0</v>
      </c>
      <c r="K15">
        <v>4</v>
      </c>
      <c r="L15">
        <v>0</v>
      </c>
      <c r="M15" s="1">
        <v>360</v>
      </c>
      <c r="N15">
        <v>13</v>
      </c>
      <c r="O15">
        <v>0</v>
      </c>
      <c r="P15">
        <v>1</v>
      </c>
      <c r="Q15">
        <v>0</v>
      </c>
      <c r="R15">
        <v>1</v>
      </c>
      <c r="S15">
        <v>1</v>
      </c>
      <c r="T15" s="1">
        <v>240</v>
      </c>
      <c r="U15">
        <v>13</v>
      </c>
      <c r="V15">
        <v>0</v>
      </c>
      <c r="W15">
        <v>0</v>
      </c>
      <c r="X15">
        <v>0</v>
      </c>
      <c r="Y15">
        <v>0</v>
      </c>
      <c r="Z15">
        <v>0</v>
      </c>
      <c r="AA15" s="1">
        <v>0</v>
      </c>
      <c r="AB15">
        <v>13</v>
      </c>
      <c r="AC15">
        <v>0</v>
      </c>
      <c r="AD15">
        <v>0</v>
      </c>
      <c r="AE15">
        <v>0</v>
      </c>
      <c r="AF15">
        <v>0</v>
      </c>
      <c r="AG15">
        <v>0</v>
      </c>
      <c r="AH15" s="1">
        <v>0</v>
      </c>
      <c r="AI15">
        <v>13</v>
      </c>
      <c r="AJ15">
        <v>0</v>
      </c>
      <c r="AK15">
        <v>0</v>
      </c>
      <c r="AL15">
        <v>0</v>
      </c>
      <c r="AM15">
        <v>0</v>
      </c>
      <c r="AN15">
        <v>0</v>
      </c>
      <c r="AO15" s="1">
        <v>0</v>
      </c>
    </row>
    <row r="16" spans="1:42" x14ac:dyDescent="0.35">
      <c r="A16">
        <v>0</v>
      </c>
      <c r="B16">
        <v>0.49275362318840582</v>
      </c>
      <c r="C16">
        <v>0</v>
      </c>
      <c r="G16">
        <v>14</v>
      </c>
      <c r="H16">
        <v>1</v>
      </c>
      <c r="I16">
        <v>2</v>
      </c>
      <c r="J16">
        <v>0</v>
      </c>
      <c r="K16">
        <v>0</v>
      </c>
      <c r="L16">
        <v>0</v>
      </c>
      <c r="M16" s="1">
        <v>180</v>
      </c>
      <c r="N16">
        <v>14</v>
      </c>
      <c r="O16">
        <v>0</v>
      </c>
      <c r="P16">
        <v>0</v>
      </c>
      <c r="Q16">
        <v>0</v>
      </c>
      <c r="R16">
        <v>0</v>
      </c>
      <c r="S16">
        <v>0</v>
      </c>
      <c r="T16" s="1">
        <v>0</v>
      </c>
      <c r="U16">
        <v>14</v>
      </c>
      <c r="V16">
        <v>0</v>
      </c>
      <c r="W16">
        <v>0</v>
      </c>
      <c r="X16">
        <v>0</v>
      </c>
      <c r="Y16">
        <v>0</v>
      </c>
      <c r="Z16">
        <v>0</v>
      </c>
      <c r="AA16" s="1">
        <v>0</v>
      </c>
      <c r="AB16">
        <v>14</v>
      </c>
      <c r="AC16">
        <v>0</v>
      </c>
      <c r="AD16">
        <v>0</v>
      </c>
      <c r="AE16">
        <v>0</v>
      </c>
      <c r="AF16">
        <v>0</v>
      </c>
      <c r="AG16">
        <v>0</v>
      </c>
      <c r="AH16" s="1">
        <v>0</v>
      </c>
      <c r="AI16">
        <v>14</v>
      </c>
      <c r="AJ16">
        <v>0</v>
      </c>
      <c r="AK16">
        <v>0</v>
      </c>
      <c r="AL16">
        <v>0</v>
      </c>
      <c r="AM16">
        <v>0</v>
      </c>
      <c r="AN16">
        <v>0</v>
      </c>
      <c r="AO16" s="1">
        <v>0</v>
      </c>
    </row>
    <row r="17" spans="1:41" x14ac:dyDescent="0.35">
      <c r="A17">
        <v>0.49275362318840582</v>
      </c>
      <c r="B17">
        <v>0.78260869565217395</v>
      </c>
      <c r="C17">
        <v>1</v>
      </c>
      <c r="G17">
        <v>15</v>
      </c>
      <c r="H17">
        <v>2</v>
      </c>
      <c r="I17">
        <v>0</v>
      </c>
      <c r="J17">
        <v>0</v>
      </c>
      <c r="K17">
        <v>0</v>
      </c>
      <c r="L17">
        <v>2</v>
      </c>
      <c r="M17" s="1">
        <v>240</v>
      </c>
      <c r="N17">
        <v>15</v>
      </c>
      <c r="O17">
        <v>0</v>
      </c>
      <c r="P17">
        <v>1</v>
      </c>
      <c r="Q17">
        <v>3</v>
      </c>
      <c r="R17">
        <v>0</v>
      </c>
      <c r="S17">
        <v>1</v>
      </c>
      <c r="T17" s="1">
        <v>400</v>
      </c>
      <c r="U17">
        <v>15</v>
      </c>
      <c r="V17">
        <v>1</v>
      </c>
      <c r="W17">
        <v>3</v>
      </c>
      <c r="X17">
        <v>0</v>
      </c>
      <c r="Y17">
        <v>0</v>
      </c>
      <c r="Z17">
        <v>0</v>
      </c>
      <c r="AA17" s="1">
        <v>400</v>
      </c>
      <c r="AB17">
        <v>15</v>
      </c>
      <c r="AC17">
        <v>0</v>
      </c>
      <c r="AD17">
        <v>0</v>
      </c>
      <c r="AE17">
        <v>0</v>
      </c>
      <c r="AF17">
        <v>0</v>
      </c>
      <c r="AG17">
        <v>0</v>
      </c>
      <c r="AH17" s="1">
        <v>0</v>
      </c>
      <c r="AI17">
        <v>15</v>
      </c>
      <c r="AJ17">
        <v>0</v>
      </c>
      <c r="AK17">
        <v>0</v>
      </c>
      <c r="AL17">
        <v>2</v>
      </c>
      <c r="AM17">
        <v>0</v>
      </c>
      <c r="AN17">
        <v>0</v>
      </c>
      <c r="AO17" s="1">
        <v>300</v>
      </c>
    </row>
    <row r="18" spans="1:41" x14ac:dyDescent="0.35">
      <c r="A18">
        <v>0.78260869565217395</v>
      </c>
      <c r="B18">
        <v>0.92028985507246386</v>
      </c>
      <c r="C18">
        <v>2</v>
      </c>
      <c r="G18">
        <v>16</v>
      </c>
      <c r="H18">
        <v>1</v>
      </c>
      <c r="I18">
        <v>2</v>
      </c>
      <c r="J18">
        <v>2</v>
      </c>
      <c r="K18">
        <v>2</v>
      </c>
      <c r="L18">
        <v>2</v>
      </c>
      <c r="M18" s="1">
        <v>540</v>
      </c>
      <c r="N18">
        <v>16</v>
      </c>
      <c r="O18">
        <v>0</v>
      </c>
      <c r="P18">
        <v>1</v>
      </c>
      <c r="Q18">
        <v>0</v>
      </c>
      <c r="R18">
        <v>0</v>
      </c>
      <c r="S18">
        <v>0</v>
      </c>
      <c r="T18" s="1">
        <v>80</v>
      </c>
      <c r="U18">
        <v>16</v>
      </c>
      <c r="V18">
        <v>0</v>
      </c>
      <c r="W18">
        <v>0</v>
      </c>
      <c r="X18">
        <v>0</v>
      </c>
      <c r="Y18">
        <v>0</v>
      </c>
      <c r="Z18">
        <v>0</v>
      </c>
      <c r="AA18" s="1">
        <v>0</v>
      </c>
      <c r="AB18">
        <v>16</v>
      </c>
      <c r="AC18">
        <v>0</v>
      </c>
      <c r="AD18">
        <v>0</v>
      </c>
      <c r="AE18">
        <v>0</v>
      </c>
      <c r="AF18">
        <v>0</v>
      </c>
      <c r="AG18">
        <v>1</v>
      </c>
      <c r="AH18" s="1">
        <v>120</v>
      </c>
      <c r="AI18">
        <v>16</v>
      </c>
      <c r="AJ18">
        <v>0</v>
      </c>
      <c r="AK18">
        <v>0</v>
      </c>
      <c r="AL18">
        <v>0</v>
      </c>
      <c r="AM18">
        <v>0</v>
      </c>
      <c r="AN18">
        <v>0</v>
      </c>
      <c r="AO18" s="1">
        <v>0</v>
      </c>
    </row>
    <row r="19" spans="1:41" x14ac:dyDescent="0.35">
      <c r="A19">
        <v>0.92028985507246386</v>
      </c>
      <c r="B19">
        <v>0.97826086956521752</v>
      </c>
      <c r="C19">
        <v>3</v>
      </c>
      <c r="G19">
        <v>17</v>
      </c>
      <c r="H19">
        <v>0</v>
      </c>
      <c r="I19">
        <v>0</v>
      </c>
      <c r="J19">
        <v>1</v>
      </c>
      <c r="K19">
        <v>0</v>
      </c>
      <c r="L19">
        <v>1</v>
      </c>
      <c r="M19" s="1">
        <v>120</v>
      </c>
      <c r="N19">
        <v>17</v>
      </c>
      <c r="O19">
        <v>0</v>
      </c>
      <c r="P19">
        <v>2</v>
      </c>
      <c r="Q19">
        <v>1</v>
      </c>
      <c r="R19">
        <v>0</v>
      </c>
      <c r="S19">
        <v>0</v>
      </c>
      <c r="T19" s="1">
        <v>240</v>
      </c>
      <c r="U19">
        <v>17</v>
      </c>
      <c r="V19">
        <v>0</v>
      </c>
      <c r="W19">
        <v>0</v>
      </c>
      <c r="X19">
        <v>0</v>
      </c>
      <c r="Y19">
        <v>1</v>
      </c>
      <c r="Z19">
        <v>0</v>
      </c>
      <c r="AA19" s="1">
        <v>100</v>
      </c>
      <c r="AB19">
        <v>17</v>
      </c>
      <c r="AC19">
        <v>0</v>
      </c>
      <c r="AD19">
        <v>0</v>
      </c>
      <c r="AE19">
        <v>0</v>
      </c>
      <c r="AF19">
        <v>1</v>
      </c>
      <c r="AG19">
        <v>0</v>
      </c>
      <c r="AH19" s="1">
        <v>120</v>
      </c>
      <c r="AI19">
        <v>17</v>
      </c>
      <c r="AJ19">
        <v>0</v>
      </c>
      <c r="AK19">
        <v>0</v>
      </c>
      <c r="AL19">
        <v>0</v>
      </c>
      <c r="AM19">
        <v>0</v>
      </c>
      <c r="AN19">
        <v>0</v>
      </c>
      <c r="AO19" s="1">
        <v>0</v>
      </c>
    </row>
    <row r="20" spans="1:41" x14ac:dyDescent="0.35">
      <c r="A20">
        <v>0.97826086956521752</v>
      </c>
      <c r="B20">
        <v>0.99275362318840588</v>
      </c>
      <c r="C20">
        <v>4</v>
      </c>
      <c r="G20">
        <v>18</v>
      </c>
      <c r="H20">
        <v>0</v>
      </c>
      <c r="I20">
        <v>1</v>
      </c>
      <c r="J20">
        <v>1</v>
      </c>
      <c r="K20">
        <v>0</v>
      </c>
      <c r="L20">
        <v>0</v>
      </c>
      <c r="M20" s="1">
        <v>120</v>
      </c>
      <c r="N20">
        <v>18</v>
      </c>
      <c r="O20">
        <v>0</v>
      </c>
      <c r="P20">
        <v>0</v>
      </c>
      <c r="Q20">
        <v>0</v>
      </c>
      <c r="R20">
        <v>0</v>
      </c>
      <c r="S20">
        <v>0</v>
      </c>
      <c r="T20" s="1">
        <v>0</v>
      </c>
      <c r="U20">
        <v>18</v>
      </c>
      <c r="V20">
        <v>0</v>
      </c>
      <c r="W20">
        <v>0</v>
      </c>
      <c r="X20">
        <v>0</v>
      </c>
      <c r="Y20">
        <v>0</v>
      </c>
      <c r="Z20">
        <v>0</v>
      </c>
      <c r="AA20" s="1">
        <v>0</v>
      </c>
      <c r="AB20">
        <v>18</v>
      </c>
      <c r="AC20">
        <v>0</v>
      </c>
      <c r="AD20">
        <v>0</v>
      </c>
      <c r="AE20">
        <v>0</v>
      </c>
      <c r="AF20">
        <v>0</v>
      </c>
      <c r="AG20">
        <v>0</v>
      </c>
      <c r="AH20" s="1">
        <v>0</v>
      </c>
      <c r="AI20">
        <v>18</v>
      </c>
      <c r="AJ20">
        <v>0</v>
      </c>
      <c r="AK20">
        <v>0</v>
      </c>
      <c r="AL20">
        <v>1</v>
      </c>
      <c r="AM20">
        <v>0</v>
      </c>
      <c r="AN20">
        <v>0</v>
      </c>
      <c r="AO20" s="1">
        <v>150</v>
      </c>
    </row>
    <row r="21" spans="1:41" x14ac:dyDescent="0.35">
      <c r="A21">
        <v>0.99275362318840588</v>
      </c>
      <c r="B21">
        <v>1</v>
      </c>
      <c r="C21">
        <v>5</v>
      </c>
      <c r="G21">
        <v>19</v>
      </c>
      <c r="H21">
        <v>0</v>
      </c>
      <c r="I21">
        <v>2</v>
      </c>
      <c r="J21">
        <v>0</v>
      </c>
      <c r="K21">
        <v>3</v>
      </c>
      <c r="L21">
        <v>1</v>
      </c>
      <c r="M21" s="1">
        <v>360</v>
      </c>
      <c r="N21">
        <v>19</v>
      </c>
      <c r="O21">
        <v>0</v>
      </c>
      <c r="P21">
        <v>0</v>
      </c>
      <c r="Q21">
        <v>0</v>
      </c>
      <c r="R21">
        <v>3</v>
      </c>
      <c r="S21">
        <v>0</v>
      </c>
      <c r="T21" s="1">
        <v>240</v>
      </c>
      <c r="U21">
        <v>19</v>
      </c>
      <c r="V21">
        <v>0</v>
      </c>
      <c r="W21">
        <v>0</v>
      </c>
      <c r="X21">
        <v>0</v>
      </c>
      <c r="Y21">
        <v>0</v>
      </c>
      <c r="Z21">
        <v>0</v>
      </c>
      <c r="AA21" s="1">
        <v>0</v>
      </c>
      <c r="AB21">
        <v>19</v>
      </c>
      <c r="AC21">
        <v>0</v>
      </c>
      <c r="AD21">
        <v>0</v>
      </c>
      <c r="AE21">
        <v>0</v>
      </c>
      <c r="AF21">
        <v>0</v>
      </c>
      <c r="AG21">
        <v>0</v>
      </c>
      <c r="AH21" s="1">
        <v>0</v>
      </c>
      <c r="AI21">
        <v>19</v>
      </c>
      <c r="AJ21">
        <v>0</v>
      </c>
      <c r="AK21">
        <v>0</v>
      </c>
      <c r="AL21">
        <v>1</v>
      </c>
      <c r="AM21">
        <v>0</v>
      </c>
      <c r="AN21">
        <v>0</v>
      </c>
      <c r="AO21" s="1">
        <v>150</v>
      </c>
    </row>
    <row r="22" spans="1:41" x14ac:dyDescent="0.35">
      <c r="A22" t="s">
        <v>156</v>
      </c>
      <c r="B22" t="s">
        <v>157</v>
      </c>
      <c r="C22" t="s">
        <v>142</v>
      </c>
      <c r="G22">
        <v>20</v>
      </c>
      <c r="H22">
        <v>0</v>
      </c>
      <c r="I22">
        <v>0</v>
      </c>
      <c r="J22">
        <v>1</v>
      </c>
      <c r="K22">
        <v>1</v>
      </c>
      <c r="L22">
        <v>0</v>
      </c>
      <c r="M22" s="1">
        <v>120</v>
      </c>
      <c r="N22">
        <v>20</v>
      </c>
      <c r="O22">
        <v>0</v>
      </c>
      <c r="P22">
        <v>0</v>
      </c>
      <c r="Q22">
        <v>0</v>
      </c>
      <c r="R22">
        <v>1</v>
      </c>
      <c r="S22">
        <v>0</v>
      </c>
      <c r="T22" s="1">
        <v>80</v>
      </c>
      <c r="U22">
        <v>20</v>
      </c>
      <c r="V22">
        <v>0</v>
      </c>
      <c r="W22">
        <v>1</v>
      </c>
      <c r="X22">
        <v>0</v>
      </c>
      <c r="Y22">
        <v>0</v>
      </c>
      <c r="Z22">
        <v>0</v>
      </c>
      <c r="AA22" s="1">
        <v>100</v>
      </c>
      <c r="AB22">
        <v>20</v>
      </c>
      <c r="AC22">
        <v>0</v>
      </c>
      <c r="AD22">
        <v>0</v>
      </c>
      <c r="AE22">
        <v>0</v>
      </c>
      <c r="AF22">
        <v>0</v>
      </c>
      <c r="AG22">
        <v>0</v>
      </c>
      <c r="AH22" s="1">
        <v>0</v>
      </c>
      <c r="AI22">
        <v>20</v>
      </c>
      <c r="AJ22">
        <v>0</v>
      </c>
      <c r="AK22">
        <v>0</v>
      </c>
      <c r="AL22">
        <v>1</v>
      </c>
      <c r="AM22">
        <v>0</v>
      </c>
      <c r="AN22">
        <v>0</v>
      </c>
      <c r="AO22" s="1">
        <v>150</v>
      </c>
    </row>
    <row r="23" spans="1:41" x14ac:dyDescent="0.35">
      <c r="A23">
        <v>0</v>
      </c>
      <c r="B23">
        <v>0.42028985507246375</v>
      </c>
      <c r="C23">
        <v>0</v>
      </c>
      <c r="G23">
        <v>21</v>
      </c>
      <c r="H23">
        <v>0</v>
      </c>
      <c r="I23">
        <v>2</v>
      </c>
      <c r="J23">
        <v>1</v>
      </c>
      <c r="K23">
        <v>0</v>
      </c>
      <c r="L23">
        <v>1</v>
      </c>
      <c r="M23" s="1">
        <v>240</v>
      </c>
      <c r="N23">
        <v>21</v>
      </c>
      <c r="O23">
        <v>0</v>
      </c>
      <c r="P23">
        <v>0</v>
      </c>
      <c r="Q23">
        <v>0</v>
      </c>
      <c r="R23">
        <v>0</v>
      </c>
      <c r="S23">
        <v>1</v>
      </c>
      <c r="T23" s="1">
        <v>80</v>
      </c>
      <c r="U23">
        <v>21</v>
      </c>
      <c r="V23">
        <v>0</v>
      </c>
      <c r="W23">
        <v>0</v>
      </c>
      <c r="X23">
        <v>0</v>
      </c>
      <c r="Y23">
        <v>0</v>
      </c>
      <c r="Z23">
        <v>0</v>
      </c>
      <c r="AA23" s="1">
        <v>0</v>
      </c>
      <c r="AB23">
        <v>21</v>
      </c>
      <c r="AC23">
        <v>0</v>
      </c>
      <c r="AD23">
        <v>0</v>
      </c>
      <c r="AE23">
        <v>0</v>
      </c>
      <c r="AF23">
        <v>0</v>
      </c>
      <c r="AG23">
        <v>0</v>
      </c>
      <c r="AH23" s="1">
        <v>0</v>
      </c>
      <c r="AI23">
        <v>21</v>
      </c>
      <c r="AJ23">
        <v>0</v>
      </c>
      <c r="AK23">
        <v>0</v>
      </c>
      <c r="AL23">
        <v>2</v>
      </c>
      <c r="AM23">
        <v>0</v>
      </c>
      <c r="AN23">
        <v>0</v>
      </c>
      <c r="AO23" s="1">
        <v>300</v>
      </c>
    </row>
    <row r="24" spans="1:41" x14ac:dyDescent="0.35">
      <c r="A24">
        <v>0.42028985507246375</v>
      </c>
      <c r="B24">
        <v>0.72463768115942029</v>
      </c>
      <c r="C24">
        <v>1</v>
      </c>
      <c r="G24">
        <v>22</v>
      </c>
      <c r="H24">
        <v>1</v>
      </c>
      <c r="I24">
        <v>1</v>
      </c>
      <c r="J24">
        <v>3</v>
      </c>
      <c r="K24">
        <v>0</v>
      </c>
      <c r="L24">
        <v>0</v>
      </c>
      <c r="M24" s="1">
        <v>300</v>
      </c>
      <c r="N24">
        <v>22</v>
      </c>
      <c r="O24">
        <v>0</v>
      </c>
      <c r="P24">
        <v>0</v>
      </c>
      <c r="Q24">
        <v>0</v>
      </c>
      <c r="R24">
        <v>0</v>
      </c>
      <c r="S24">
        <v>0</v>
      </c>
      <c r="T24" s="1">
        <v>0</v>
      </c>
      <c r="U24">
        <v>22</v>
      </c>
      <c r="V24">
        <v>0</v>
      </c>
      <c r="W24">
        <v>0</v>
      </c>
      <c r="X24">
        <v>0</v>
      </c>
      <c r="Y24">
        <v>0</v>
      </c>
      <c r="Z24">
        <v>0</v>
      </c>
      <c r="AA24" s="1">
        <v>0</v>
      </c>
      <c r="AB24">
        <v>22</v>
      </c>
      <c r="AC24">
        <v>0</v>
      </c>
      <c r="AD24">
        <v>0</v>
      </c>
      <c r="AE24">
        <v>0</v>
      </c>
      <c r="AF24">
        <v>0</v>
      </c>
      <c r="AG24">
        <v>0</v>
      </c>
      <c r="AH24" s="1">
        <v>0</v>
      </c>
      <c r="AI24">
        <v>22</v>
      </c>
      <c r="AJ24">
        <v>0</v>
      </c>
      <c r="AK24">
        <v>0</v>
      </c>
      <c r="AL24">
        <v>0</v>
      </c>
      <c r="AM24">
        <v>0</v>
      </c>
      <c r="AN24">
        <v>0</v>
      </c>
      <c r="AO24" s="1">
        <v>0</v>
      </c>
    </row>
    <row r="25" spans="1:41" x14ac:dyDescent="0.35">
      <c r="A25">
        <v>0.72463768115942029</v>
      </c>
      <c r="B25">
        <v>0.89855072463768115</v>
      </c>
      <c r="C25">
        <v>2</v>
      </c>
      <c r="G25">
        <v>23</v>
      </c>
      <c r="H25">
        <v>1</v>
      </c>
      <c r="I25">
        <v>0</v>
      </c>
      <c r="J25">
        <v>3</v>
      </c>
      <c r="K25">
        <v>2</v>
      </c>
      <c r="L25">
        <v>2</v>
      </c>
      <c r="M25" s="1">
        <v>480</v>
      </c>
      <c r="N25">
        <v>23</v>
      </c>
      <c r="O25">
        <v>0</v>
      </c>
      <c r="P25">
        <v>0</v>
      </c>
      <c r="Q25">
        <v>0</v>
      </c>
      <c r="R25">
        <v>0</v>
      </c>
      <c r="S25">
        <v>0</v>
      </c>
      <c r="T25" s="1">
        <v>0</v>
      </c>
      <c r="U25">
        <v>23</v>
      </c>
      <c r="V25">
        <v>0</v>
      </c>
      <c r="W25">
        <v>0</v>
      </c>
      <c r="X25">
        <v>0</v>
      </c>
      <c r="Y25">
        <v>0</v>
      </c>
      <c r="Z25">
        <v>0</v>
      </c>
      <c r="AA25" s="1">
        <v>0</v>
      </c>
      <c r="AB25">
        <v>23</v>
      </c>
      <c r="AC25">
        <v>1</v>
      </c>
      <c r="AD25">
        <v>0</v>
      </c>
      <c r="AE25">
        <v>0</v>
      </c>
      <c r="AF25">
        <v>0</v>
      </c>
      <c r="AG25">
        <v>0</v>
      </c>
      <c r="AH25" s="1">
        <v>120</v>
      </c>
      <c r="AI25">
        <v>23</v>
      </c>
      <c r="AJ25">
        <v>0</v>
      </c>
      <c r="AK25">
        <v>0</v>
      </c>
      <c r="AL25">
        <v>0</v>
      </c>
      <c r="AM25">
        <v>0</v>
      </c>
      <c r="AN25">
        <v>0</v>
      </c>
      <c r="AO25" s="1">
        <v>0</v>
      </c>
    </row>
    <row r="26" spans="1:41" x14ac:dyDescent="0.35">
      <c r="A26">
        <v>0.89855072463768115</v>
      </c>
      <c r="B26">
        <v>0.98550724637681153</v>
      </c>
      <c r="C26">
        <v>3</v>
      </c>
      <c r="G26">
        <v>24</v>
      </c>
      <c r="H26">
        <v>0</v>
      </c>
      <c r="I26">
        <v>0</v>
      </c>
      <c r="J26">
        <v>2</v>
      </c>
      <c r="K26">
        <v>3</v>
      </c>
      <c r="L26">
        <v>1</v>
      </c>
      <c r="M26" s="1">
        <v>360</v>
      </c>
      <c r="N26">
        <v>24</v>
      </c>
      <c r="O26">
        <v>0</v>
      </c>
      <c r="P26">
        <v>1</v>
      </c>
      <c r="Q26">
        <v>0</v>
      </c>
      <c r="R26">
        <v>0</v>
      </c>
      <c r="S26">
        <v>1</v>
      </c>
      <c r="T26" s="1">
        <v>160</v>
      </c>
      <c r="U26">
        <v>24</v>
      </c>
      <c r="V26">
        <v>0</v>
      </c>
      <c r="W26">
        <v>0</v>
      </c>
      <c r="X26">
        <v>0</v>
      </c>
      <c r="Y26">
        <v>0</v>
      </c>
      <c r="Z26">
        <v>0</v>
      </c>
      <c r="AA26" s="1">
        <v>0</v>
      </c>
      <c r="AB26">
        <v>24</v>
      </c>
      <c r="AC26">
        <v>0</v>
      </c>
      <c r="AD26">
        <v>1</v>
      </c>
      <c r="AE26">
        <v>0</v>
      </c>
      <c r="AF26">
        <v>0</v>
      </c>
      <c r="AG26">
        <v>0</v>
      </c>
      <c r="AH26" s="1">
        <v>120</v>
      </c>
      <c r="AI26">
        <v>24</v>
      </c>
      <c r="AJ26">
        <v>0</v>
      </c>
      <c r="AK26">
        <v>0</v>
      </c>
      <c r="AL26">
        <v>0</v>
      </c>
      <c r="AM26">
        <v>0</v>
      </c>
      <c r="AN26">
        <v>0</v>
      </c>
      <c r="AO26" s="1">
        <v>0</v>
      </c>
    </row>
    <row r="27" spans="1:41" x14ac:dyDescent="0.35">
      <c r="A27">
        <v>0.98550724637681153</v>
      </c>
      <c r="B27">
        <v>0.99275362318840576</v>
      </c>
      <c r="C27">
        <v>4</v>
      </c>
      <c r="G27">
        <v>25</v>
      </c>
      <c r="H27">
        <v>2</v>
      </c>
      <c r="I27">
        <v>1</v>
      </c>
      <c r="J27">
        <v>2</v>
      </c>
      <c r="K27">
        <v>0</v>
      </c>
      <c r="L27">
        <v>0</v>
      </c>
      <c r="M27" s="1">
        <v>300</v>
      </c>
      <c r="N27">
        <v>25</v>
      </c>
      <c r="O27">
        <v>0</v>
      </c>
      <c r="P27">
        <v>1</v>
      </c>
      <c r="Q27">
        <v>2</v>
      </c>
      <c r="R27">
        <v>0</v>
      </c>
      <c r="S27">
        <v>0</v>
      </c>
      <c r="T27" s="1">
        <v>240</v>
      </c>
      <c r="U27">
        <v>25</v>
      </c>
      <c r="V27">
        <v>0</v>
      </c>
      <c r="W27">
        <v>0</v>
      </c>
      <c r="X27">
        <v>1</v>
      </c>
      <c r="Y27">
        <v>0</v>
      </c>
      <c r="Z27">
        <v>0</v>
      </c>
      <c r="AA27" s="1">
        <v>100</v>
      </c>
      <c r="AB27">
        <v>25</v>
      </c>
      <c r="AC27">
        <v>0</v>
      </c>
      <c r="AD27">
        <v>0</v>
      </c>
      <c r="AE27">
        <v>0</v>
      </c>
      <c r="AF27">
        <v>0</v>
      </c>
      <c r="AG27">
        <v>0</v>
      </c>
      <c r="AH27" s="1">
        <v>0</v>
      </c>
      <c r="AI27">
        <v>25</v>
      </c>
      <c r="AJ27">
        <v>0</v>
      </c>
      <c r="AK27">
        <v>0</v>
      </c>
      <c r="AL27">
        <v>0</v>
      </c>
      <c r="AM27">
        <v>0</v>
      </c>
      <c r="AN27">
        <v>0</v>
      </c>
      <c r="AO27" s="1">
        <v>0</v>
      </c>
    </row>
    <row r="28" spans="1:41" x14ac:dyDescent="0.35">
      <c r="A28">
        <v>0.99275362318840576</v>
      </c>
      <c r="B28">
        <v>1</v>
      </c>
      <c r="C28">
        <v>5</v>
      </c>
      <c r="G28">
        <v>26</v>
      </c>
      <c r="H28">
        <v>0</v>
      </c>
      <c r="I28">
        <v>0</v>
      </c>
      <c r="J28">
        <v>2</v>
      </c>
      <c r="K28">
        <v>1</v>
      </c>
      <c r="L28">
        <v>2</v>
      </c>
      <c r="M28" s="1">
        <v>300</v>
      </c>
      <c r="N28">
        <v>26</v>
      </c>
      <c r="O28">
        <v>0</v>
      </c>
      <c r="P28">
        <v>0</v>
      </c>
      <c r="Q28">
        <v>0</v>
      </c>
      <c r="R28">
        <v>1</v>
      </c>
      <c r="S28">
        <v>0</v>
      </c>
      <c r="T28" s="1">
        <v>80</v>
      </c>
      <c r="U28">
        <v>26</v>
      </c>
      <c r="V28">
        <v>0</v>
      </c>
      <c r="W28">
        <v>0</v>
      </c>
      <c r="X28">
        <v>0</v>
      </c>
      <c r="Y28">
        <v>0</v>
      </c>
      <c r="Z28">
        <v>0</v>
      </c>
      <c r="AA28" s="1">
        <v>0</v>
      </c>
      <c r="AB28">
        <v>26</v>
      </c>
      <c r="AC28">
        <v>1</v>
      </c>
      <c r="AD28">
        <v>0</v>
      </c>
      <c r="AE28">
        <v>0</v>
      </c>
      <c r="AF28">
        <v>0</v>
      </c>
      <c r="AG28">
        <v>0</v>
      </c>
      <c r="AH28" s="1">
        <v>120</v>
      </c>
      <c r="AI28">
        <v>26</v>
      </c>
      <c r="AJ28">
        <v>0</v>
      </c>
      <c r="AK28">
        <v>0</v>
      </c>
      <c r="AL28">
        <v>1</v>
      </c>
      <c r="AM28">
        <v>0</v>
      </c>
      <c r="AN28">
        <v>0</v>
      </c>
      <c r="AO28" s="1">
        <v>150</v>
      </c>
    </row>
    <row r="29" spans="1:41" x14ac:dyDescent="0.35">
      <c r="A29" t="s">
        <v>156</v>
      </c>
      <c r="B29" t="s">
        <v>157</v>
      </c>
      <c r="C29" t="s">
        <v>143</v>
      </c>
      <c r="G29">
        <v>27</v>
      </c>
      <c r="H29">
        <v>0</v>
      </c>
      <c r="I29">
        <v>2</v>
      </c>
      <c r="J29">
        <v>0</v>
      </c>
      <c r="K29">
        <v>2</v>
      </c>
      <c r="L29">
        <v>1</v>
      </c>
      <c r="M29" s="1">
        <v>300</v>
      </c>
      <c r="N29">
        <v>27</v>
      </c>
      <c r="O29">
        <v>0</v>
      </c>
      <c r="P29">
        <v>0</v>
      </c>
      <c r="Q29">
        <v>2</v>
      </c>
      <c r="R29">
        <v>0</v>
      </c>
      <c r="S29">
        <v>0</v>
      </c>
      <c r="T29" s="1">
        <v>160</v>
      </c>
      <c r="U29">
        <v>27</v>
      </c>
      <c r="V29">
        <v>0</v>
      </c>
      <c r="W29">
        <v>1</v>
      </c>
      <c r="X29">
        <v>1</v>
      </c>
      <c r="Y29">
        <v>0</v>
      </c>
      <c r="Z29">
        <v>0</v>
      </c>
      <c r="AA29" s="1">
        <v>200</v>
      </c>
      <c r="AB29">
        <v>27</v>
      </c>
      <c r="AC29">
        <v>1</v>
      </c>
      <c r="AD29">
        <v>0</v>
      </c>
      <c r="AE29">
        <v>0</v>
      </c>
      <c r="AF29">
        <v>0</v>
      </c>
      <c r="AG29">
        <v>0</v>
      </c>
      <c r="AH29" s="1">
        <v>120</v>
      </c>
      <c r="AI29">
        <v>27</v>
      </c>
      <c r="AJ29">
        <v>0</v>
      </c>
      <c r="AK29">
        <v>0</v>
      </c>
      <c r="AL29">
        <v>0</v>
      </c>
      <c r="AM29">
        <v>0</v>
      </c>
      <c r="AN29">
        <v>0</v>
      </c>
      <c r="AO29" s="1">
        <v>0</v>
      </c>
    </row>
    <row r="30" spans="1:41" x14ac:dyDescent="0.35">
      <c r="A30">
        <v>0</v>
      </c>
      <c r="B30">
        <v>0.45652173913043476</v>
      </c>
      <c r="C30">
        <v>0</v>
      </c>
      <c r="G30">
        <v>28</v>
      </c>
      <c r="H30">
        <v>0</v>
      </c>
      <c r="I30">
        <v>0</v>
      </c>
      <c r="J30">
        <v>1</v>
      </c>
      <c r="K30">
        <v>0</v>
      </c>
      <c r="L30">
        <v>1</v>
      </c>
      <c r="M30" s="1">
        <v>120</v>
      </c>
      <c r="N30">
        <v>28</v>
      </c>
      <c r="O30">
        <v>0</v>
      </c>
      <c r="P30">
        <v>2</v>
      </c>
      <c r="Q30">
        <v>1</v>
      </c>
      <c r="R30">
        <v>0</v>
      </c>
      <c r="S30">
        <v>1</v>
      </c>
      <c r="T30" s="1">
        <v>320</v>
      </c>
      <c r="U30">
        <v>28</v>
      </c>
      <c r="V30">
        <v>0</v>
      </c>
      <c r="W30">
        <v>0</v>
      </c>
      <c r="X30">
        <v>0</v>
      </c>
      <c r="Y30">
        <v>0</v>
      </c>
      <c r="Z30">
        <v>1</v>
      </c>
      <c r="AA30" s="1">
        <v>100</v>
      </c>
      <c r="AB30">
        <v>28</v>
      </c>
      <c r="AC30">
        <v>0</v>
      </c>
      <c r="AD30">
        <v>0</v>
      </c>
      <c r="AE30">
        <v>0</v>
      </c>
      <c r="AF30">
        <v>0</v>
      </c>
      <c r="AG30">
        <v>0</v>
      </c>
      <c r="AH30" s="1">
        <v>0</v>
      </c>
      <c r="AI30">
        <v>28</v>
      </c>
      <c r="AJ30">
        <v>0</v>
      </c>
      <c r="AK30">
        <v>0</v>
      </c>
      <c r="AL30">
        <v>0</v>
      </c>
      <c r="AM30">
        <v>0</v>
      </c>
      <c r="AN30">
        <v>0</v>
      </c>
      <c r="AO30" s="1">
        <v>0</v>
      </c>
    </row>
    <row r="31" spans="1:41" x14ac:dyDescent="0.35">
      <c r="A31">
        <v>0.45652173913043476</v>
      </c>
      <c r="B31">
        <v>0.57333333333333336</v>
      </c>
      <c r="C31">
        <v>1</v>
      </c>
      <c r="G31">
        <v>29</v>
      </c>
      <c r="H31">
        <v>0</v>
      </c>
      <c r="I31">
        <v>0</v>
      </c>
      <c r="J31">
        <v>3</v>
      </c>
      <c r="K31">
        <v>0</v>
      </c>
      <c r="L31">
        <v>0</v>
      </c>
      <c r="M31" s="1">
        <v>180</v>
      </c>
      <c r="N31">
        <v>29</v>
      </c>
      <c r="O31">
        <v>2</v>
      </c>
      <c r="P31">
        <v>1</v>
      </c>
      <c r="Q31">
        <v>0</v>
      </c>
      <c r="R31">
        <v>0</v>
      </c>
      <c r="S31">
        <v>0</v>
      </c>
      <c r="T31" s="1">
        <v>240</v>
      </c>
      <c r="U31">
        <v>29</v>
      </c>
      <c r="V31">
        <v>0</v>
      </c>
      <c r="W31">
        <v>2</v>
      </c>
      <c r="X31">
        <v>0</v>
      </c>
      <c r="Y31">
        <v>0</v>
      </c>
      <c r="Z31">
        <v>0</v>
      </c>
      <c r="AA31" s="1">
        <v>200</v>
      </c>
      <c r="AB31">
        <v>29</v>
      </c>
      <c r="AC31">
        <v>0</v>
      </c>
      <c r="AD31">
        <v>0</v>
      </c>
      <c r="AE31">
        <v>0</v>
      </c>
      <c r="AF31">
        <v>0</v>
      </c>
      <c r="AG31">
        <v>0</v>
      </c>
      <c r="AH31" s="1">
        <v>0</v>
      </c>
      <c r="AI31">
        <v>29</v>
      </c>
      <c r="AJ31">
        <v>0</v>
      </c>
      <c r="AK31">
        <v>0</v>
      </c>
      <c r="AL31">
        <v>0</v>
      </c>
      <c r="AM31">
        <v>0</v>
      </c>
      <c r="AN31">
        <v>0</v>
      </c>
      <c r="AO31" s="1">
        <v>0</v>
      </c>
    </row>
    <row r="32" spans="1:41" x14ac:dyDescent="0.35">
      <c r="A32">
        <v>0.57333333333333336</v>
      </c>
      <c r="B32">
        <v>0.78125</v>
      </c>
      <c r="C32">
        <v>2</v>
      </c>
      <c r="G32">
        <v>30</v>
      </c>
      <c r="H32">
        <v>0</v>
      </c>
      <c r="I32">
        <v>1</v>
      </c>
      <c r="J32">
        <v>0</v>
      </c>
      <c r="K32">
        <v>0</v>
      </c>
      <c r="L32">
        <v>0</v>
      </c>
      <c r="M32" s="1">
        <v>60</v>
      </c>
      <c r="N32">
        <v>30</v>
      </c>
      <c r="O32">
        <v>1</v>
      </c>
      <c r="P32">
        <v>1</v>
      </c>
      <c r="Q32">
        <v>0</v>
      </c>
      <c r="R32">
        <v>2</v>
      </c>
      <c r="S32">
        <v>0</v>
      </c>
      <c r="T32" s="1">
        <v>320</v>
      </c>
      <c r="U32">
        <v>30</v>
      </c>
      <c r="V32">
        <v>0</v>
      </c>
      <c r="W32">
        <v>0</v>
      </c>
      <c r="X32">
        <v>0</v>
      </c>
      <c r="Y32">
        <v>0</v>
      </c>
      <c r="Z32">
        <v>0</v>
      </c>
      <c r="AA32" s="1">
        <v>0</v>
      </c>
      <c r="AB32">
        <v>30</v>
      </c>
      <c r="AC32">
        <v>0</v>
      </c>
      <c r="AD32">
        <v>0</v>
      </c>
      <c r="AE32">
        <v>0</v>
      </c>
      <c r="AF32">
        <v>0</v>
      </c>
      <c r="AG32">
        <v>0</v>
      </c>
      <c r="AH32" s="1">
        <v>0</v>
      </c>
      <c r="AI32">
        <v>30</v>
      </c>
      <c r="AJ32">
        <v>0</v>
      </c>
      <c r="AK32">
        <v>0</v>
      </c>
      <c r="AL32">
        <v>0</v>
      </c>
      <c r="AM32">
        <v>0</v>
      </c>
      <c r="AN32">
        <v>0</v>
      </c>
      <c r="AO32" s="1">
        <v>0</v>
      </c>
    </row>
    <row r="33" spans="1:41" x14ac:dyDescent="0.35">
      <c r="A33">
        <v>0.78125</v>
      </c>
      <c r="B33">
        <v>0.8571428571428571</v>
      </c>
      <c r="C33">
        <v>3</v>
      </c>
      <c r="G33">
        <v>31</v>
      </c>
      <c r="H33">
        <v>1</v>
      </c>
      <c r="I33">
        <v>0</v>
      </c>
      <c r="J33">
        <v>1</v>
      </c>
      <c r="K33">
        <v>3</v>
      </c>
      <c r="L33">
        <v>2</v>
      </c>
      <c r="M33" s="1">
        <v>420</v>
      </c>
      <c r="N33">
        <v>31</v>
      </c>
      <c r="O33">
        <v>0</v>
      </c>
      <c r="P33">
        <v>0</v>
      </c>
      <c r="Q33">
        <v>0</v>
      </c>
      <c r="R33">
        <v>0</v>
      </c>
      <c r="S33">
        <v>0</v>
      </c>
      <c r="T33" s="1">
        <v>0</v>
      </c>
      <c r="U33">
        <v>31</v>
      </c>
      <c r="V33">
        <v>0</v>
      </c>
      <c r="W33">
        <v>1</v>
      </c>
      <c r="X33">
        <v>0</v>
      </c>
      <c r="Y33">
        <v>0</v>
      </c>
      <c r="Z33">
        <v>0</v>
      </c>
      <c r="AA33" s="1">
        <v>100</v>
      </c>
      <c r="AB33">
        <v>31</v>
      </c>
      <c r="AC33">
        <v>0</v>
      </c>
      <c r="AD33">
        <v>0</v>
      </c>
      <c r="AE33">
        <v>0</v>
      </c>
      <c r="AF33">
        <v>0</v>
      </c>
      <c r="AG33">
        <v>0</v>
      </c>
      <c r="AH33" s="1">
        <v>0</v>
      </c>
      <c r="AI33">
        <v>31</v>
      </c>
      <c r="AJ33">
        <v>0</v>
      </c>
      <c r="AK33">
        <v>0</v>
      </c>
      <c r="AL33">
        <v>1</v>
      </c>
      <c r="AM33">
        <v>0</v>
      </c>
      <c r="AN33">
        <v>0</v>
      </c>
      <c r="AO33" s="1">
        <v>150</v>
      </c>
    </row>
    <row r="34" spans="1:41" x14ac:dyDescent="0.35">
      <c r="A34">
        <v>0.8571428571428571</v>
      </c>
      <c r="B34">
        <v>1</v>
      </c>
      <c r="C34">
        <v>4</v>
      </c>
      <c r="G34">
        <v>32</v>
      </c>
      <c r="H34">
        <v>1</v>
      </c>
      <c r="I34">
        <v>1</v>
      </c>
      <c r="J34">
        <v>0</v>
      </c>
      <c r="K34">
        <v>4</v>
      </c>
      <c r="L34">
        <v>2</v>
      </c>
      <c r="M34" s="1">
        <v>480</v>
      </c>
      <c r="N34">
        <v>32</v>
      </c>
      <c r="O34">
        <v>1</v>
      </c>
      <c r="P34">
        <v>0</v>
      </c>
      <c r="Q34">
        <v>1</v>
      </c>
      <c r="R34">
        <v>0</v>
      </c>
      <c r="S34">
        <v>1</v>
      </c>
      <c r="T34" s="1">
        <v>240</v>
      </c>
      <c r="U34">
        <v>32</v>
      </c>
      <c r="V34">
        <v>0</v>
      </c>
      <c r="W34">
        <v>2</v>
      </c>
      <c r="X34">
        <v>0</v>
      </c>
      <c r="Y34">
        <v>0</v>
      </c>
      <c r="Z34">
        <v>0</v>
      </c>
      <c r="AA34" s="1">
        <v>200</v>
      </c>
      <c r="AB34">
        <v>32</v>
      </c>
      <c r="AC34">
        <v>0</v>
      </c>
      <c r="AD34">
        <v>0</v>
      </c>
      <c r="AE34">
        <v>0</v>
      </c>
      <c r="AF34">
        <v>0</v>
      </c>
      <c r="AG34">
        <v>1</v>
      </c>
      <c r="AH34" s="1">
        <v>120</v>
      </c>
      <c r="AI34">
        <v>32</v>
      </c>
      <c r="AJ34">
        <v>0</v>
      </c>
      <c r="AK34">
        <v>0</v>
      </c>
      <c r="AL34">
        <v>0</v>
      </c>
      <c r="AM34">
        <v>0</v>
      </c>
      <c r="AN34">
        <v>0</v>
      </c>
      <c r="AO34" s="1">
        <v>0</v>
      </c>
    </row>
    <row r="35" spans="1:41" x14ac:dyDescent="0.35">
      <c r="A35" t="s">
        <v>156</v>
      </c>
      <c r="B35" t="s">
        <v>157</v>
      </c>
      <c r="C35" t="s">
        <v>144</v>
      </c>
      <c r="G35">
        <v>33</v>
      </c>
      <c r="H35">
        <v>1</v>
      </c>
      <c r="I35">
        <v>2</v>
      </c>
      <c r="J35">
        <v>2</v>
      </c>
      <c r="K35">
        <v>4</v>
      </c>
      <c r="L35">
        <v>0</v>
      </c>
      <c r="M35" s="1">
        <v>540</v>
      </c>
      <c r="N35">
        <v>33</v>
      </c>
      <c r="O35">
        <v>0</v>
      </c>
      <c r="P35">
        <v>0</v>
      </c>
      <c r="Q35">
        <v>1</v>
      </c>
      <c r="R35">
        <v>0</v>
      </c>
      <c r="S35">
        <v>0</v>
      </c>
      <c r="T35" s="1">
        <v>80</v>
      </c>
      <c r="U35">
        <v>33</v>
      </c>
      <c r="V35">
        <v>0</v>
      </c>
      <c r="W35">
        <v>0</v>
      </c>
      <c r="X35">
        <v>0</v>
      </c>
      <c r="Y35">
        <v>0</v>
      </c>
      <c r="Z35">
        <v>0</v>
      </c>
      <c r="AA35" s="1">
        <v>0</v>
      </c>
      <c r="AB35">
        <v>33</v>
      </c>
      <c r="AC35">
        <v>0</v>
      </c>
      <c r="AD35">
        <v>0</v>
      </c>
      <c r="AE35">
        <v>0</v>
      </c>
      <c r="AF35">
        <v>0</v>
      </c>
      <c r="AG35">
        <v>1</v>
      </c>
      <c r="AH35" s="1">
        <v>120</v>
      </c>
      <c r="AI35">
        <v>33</v>
      </c>
      <c r="AJ35">
        <v>0</v>
      </c>
      <c r="AK35">
        <v>0</v>
      </c>
      <c r="AL35">
        <v>0</v>
      </c>
      <c r="AM35">
        <v>0</v>
      </c>
      <c r="AN35">
        <v>0</v>
      </c>
      <c r="AO35" s="1">
        <v>0</v>
      </c>
    </row>
    <row r="36" spans="1:41" x14ac:dyDescent="0.35">
      <c r="A36">
        <v>0</v>
      </c>
      <c r="B36">
        <v>0.52898550724637683</v>
      </c>
      <c r="C36">
        <v>0</v>
      </c>
      <c r="G36">
        <v>34</v>
      </c>
      <c r="H36">
        <v>3</v>
      </c>
      <c r="I36">
        <v>0</v>
      </c>
      <c r="J36">
        <v>1</v>
      </c>
      <c r="K36">
        <v>1</v>
      </c>
      <c r="L36">
        <v>0</v>
      </c>
      <c r="M36" s="1">
        <v>300</v>
      </c>
      <c r="N36">
        <v>34</v>
      </c>
      <c r="O36">
        <v>0</v>
      </c>
      <c r="P36">
        <v>1</v>
      </c>
      <c r="Q36">
        <v>0</v>
      </c>
      <c r="R36">
        <v>0</v>
      </c>
      <c r="S36">
        <v>1</v>
      </c>
      <c r="T36" s="1">
        <v>160</v>
      </c>
      <c r="U36">
        <v>34</v>
      </c>
      <c r="V36">
        <v>0</v>
      </c>
      <c r="W36">
        <v>0</v>
      </c>
      <c r="X36">
        <v>1</v>
      </c>
      <c r="Y36">
        <v>0</v>
      </c>
      <c r="Z36">
        <v>0</v>
      </c>
      <c r="AA36" s="1">
        <v>100</v>
      </c>
      <c r="AB36">
        <v>34</v>
      </c>
      <c r="AC36">
        <v>0</v>
      </c>
      <c r="AD36">
        <v>0</v>
      </c>
      <c r="AE36">
        <v>0</v>
      </c>
      <c r="AF36">
        <v>0</v>
      </c>
      <c r="AG36">
        <v>0</v>
      </c>
      <c r="AH36" s="1">
        <v>0</v>
      </c>
      <c r="AI36">
        <v>34</v>
      </c>
      <c r="AJ36">
        <v>0</v>
      </c>
      <c r="AK36">
        <v>0</v>
      </c>
      <c r="AL36">
        <v>0</v>
      </c>
      <c r="AM36">
        <v>0</v>
      </c>
      <c r="AN36">
        <v>0</v>
      </c>
      <c r="AO36" s="1">
        <v>0</v>
      </c>
    </row>
    <row r="37" spans="1:41" x14ac:dyDescent="0.35">
      <c r="A37">
        <v>0.52898550724637683</v>
      </c>
      <c r="B37">
        <v>0.78985507246376807</v>
      </c>
      <c r="C37">
        <v>1</v>
      </c>
      <c r="G37">
        <v>35</v>
      </c>
      <c r="H37">
        <v>1</v>
      </c>
      <c r="I37">
        <v>0</v>
      </c>
      <c r="J37">
        <v>1</v>
      </c>
      <c r="K37">
        <v>2</v>
      </c>
      <c r="L37">
        <v>0</v>
      </c>
      <c r="M37" s="1">
        <v>240</v>
      </c>
      <c r="N37">
        <v>35</v>
      </c>
      <c r="O37">
        <v>0</v>
      </c>
      <c r="P37">
        <v>0</v>
      </c>
      <c r="Q37">
        <v>0</v>
      </c>
      <c r="R37">
        <v>0</v>
      </c>
      <c r="S37">
        <v>0</v>
      </c>
      <c r="T37" s="1">
        <v>0</v>
      </c>
      <c r="U37">
        <v>35</v>
      </c>
      <c r="V37">
        <v>0</v>
      </c>
      <c r="W37">
        <v>1</v>
      </c>
      <c r="X37">
        <v>1</v>
      </c>
      <c r="Y37">
        <v>0</v>
      </c>
      <c r="Z37">
        <v>0</v>
      </c>
      <c r="AA37" s="1">
        <v>200</v>
      </c>
      <c r="AB37">
        <v>35</v>
      </c>
      <c r="AC37">
        <v>0</v>
      </c>
      <c r="AD37">
        <v>0</v>
      </c>
      <c r="AE37">
        <v>0</v>
      </c>
      <c r="AF37">
        <v>0</v>
      </c>
      <c r="AG37">
        <v>0</v>
      </c>
      <c r="AH37" s="1">
        <v>0</v>
      </c>
      <c r="AI37">
        <v>35</v>
      </c>
      <c r="AJ37">
        <v>0</v>
      </c>
      <c r="AK37">
        <v>0</v>
      </c>
      <c r="AL37">
        <v>1</v>
      </c>
      <c r="AM37">
        <v>0</v>
      </c>
      <c r="AN37">
        <v>0</v>
      </c>
      <c r="AO37" s="1">
        <v>150</v>
      </c>
    </row>
    <row r="38" spans="1:41" x14ac:dyDescent="0.35">
      <c r="A38">
        <v>0.78985507246376807</v>
      </c>
      <c r="B38">
        <v>0.96376811594202894</v>
      </c>
      <c r="C38">
        <v>2</v>
      </c>
      <c r="G38">
        <v>36</v>
      </c>
      <c r="H38">
        <v>0</v>
      </c>
      <c r="I38">
        <v>0</v>
      </c>
      <c r="J38">
        <v>1</v>
      </c>
      <c r="K38">
        <v>0</v>
      </c>
      <c r="L38">
        <v>4</v>
      </c>
      <c r="M38" s="1">
        <v>300</v>
      </c>
      <c r="N38">
        <v>36</v>
      </c>
      <c r="O38">
        <v>0</v>
      </c>
      <c r="P38">
        <v>0</v>
      </c>
      <c r="Q38">
        <v>0</v>
      </c>
      <c r="R38">
        <v>1</v>
      </c>
      <c r="S38">
        <v>0</v>
      </c>
      <c r="T38" s="1">
        <v>80</v>
      </c>
      <c r="U38">
        <v>36</v>
      </c>
      <c r="V38">
        <v>0</v>
      </c>
      <c r="W38">
        <v>0</v>
      </c>
      <c r="X38">
        <v>0</v>
      </c>
      <c r="Y38">
        <v>0</v>
      </c>
      <c r="Z38">
        <v>0</v>
      </c>
      <c r="AA38" s="1">
        <v>0</v>
      </c>
      <c r="AB38">
        <v>36</v>
      </c>
      <c r="AC38">
        <v>0</v>
      </c>
      <c r="AD38">
        <v>0</v>
      </c>
      <c r="AE38">
        <v>0</v>
      </c>
      <c r="AF38">
        <v>0</v>
      </c>
      <c r="AG38">
        <v>3</v>
      </c>
      <c r="AH38" s="1">
        <v>360</v>
      </c>
      <c r="AI38">
        <v>36</v>
      </c>
      <c r="AJ38">
        <v>0</v>
      </c>
      <c r="AK38">
        <v>0</v>
      </c>
      <c r="AL38">
        <v>0</v>
      </c>
      <c r="AM38">
        <v>0</v>
      </c>
      <c r="AN38">
        <v>0</v>
      </c>
      <c r="AO38" s="1">
        <v>0</v>
      </c>
    </row>
    <row r="39" spans="1:41" x14ac:dyDescent="0.35">
      <c r="A39">
        <v>0.96376811594202894</v>
      </c>
      <c r="B39">
        <v>0.97826086956521729</v>
      </c>
      <c r="C39">
        <v>3</v>
      </c>
      <c r="G39">
        <v>37</v>
      </c>
      <c r="H39">
        <v>0</v>
      </c>
      <c r="I39">
        <v>0</v>
      </c>
      <c r="J39">
        <v>0</v>
      </c>
      <c r="K39">
        <v>0</v>
      </c>
      <c r="L39">
        <v>0</v>
      </c>
      <c r="M39" s="1">
        <v>0</v>
      </c>
      <c r="N39">
        <v>37</v>
      </c>
      <c r="O39">
        <v>1</v>
      </c>
      <c r="P39">
        <v>0</v>
      </c>
      <c r="Q39">
        <v>1</v>
      </c>
      <c r="R39">
        <v>0</v>
      </c>
      <c r="S39">
        <v>0</v>
      </c>
      <c r="T39" s="1">
        <v>160</v>
      </c>
      <c r="U39">
        <v>37</v>
      </c>
      <c r="V39">
        <v>0</v>
      </c>
      <c r="W39">
        <v>0</v>
      </c>
      <c r="X39">
        <v>0</v>
      </c>
      <c r="Y39">
        <v>0</v>
      </c>
      <c r="Z39">
        <v>1</v>
      </c>
      <c r="AA39" s="1">
        <v>100</v>
      </c>
      <c r="AB39">
        <v>37</v>
      </c>
      <c r="AC39">
        <v>0</v>
      </c>
      <c r="AD39">
        <v>0</v>
      </c>
      <c r="AE39">
        <v>0</v>
      </c>
      <c r="AF39">
        <v>0</v>
      </c>
      <c r="AG39">
        <v>0</v>
      </c>
      <c r="AH39" s="1">
        <v>0</v>
      </c>
      <c r="AI39">
        <v>37</v>
      </c>
      <c r="AJ39">
        <v>0</v>
      </c>
      <c r="AK39">
        <v>0</v>
      </c>
      <c r="AL39">
        <v>1</v>
      </c>
      <c r="AM39">
        <v>0</v>
      </c>
      <c r="AN39">
        <v>0</v>
      </c>
      <c r="AO39" s="1">
        <v>150</v>
      </c>
    </row>
    <row r="40" spans="1:41" x14ac:dyDescent="0.35">
      <c r="A40">
        <v>0.97826086956521729</v>
      </c>
      <c r="B40">
        <v>0.99999999999999989</v>
      </c>
      <c r="C40">
        <v>4</v>
      </c>
      <c r="G40">
        <v>38</v>
      </c>
      <c r="H40">
        <v>0</v>
      </c>
      <c r="I40">
        <v>1</v>
      </c>
      <c r="J40">
        <v>3</v>
      </c>
      <c r="K40">
        <v>4</v>
      </c>
      <c r="L40">
        <v>4</v>
      </c>
      <c r="M40" s="1">
        <v>720</v>
      </c>
      <c r="N40">
        <v>38</v>
      </c>
      <c r="O40">
        <v>0</v>
      </c>
      <c r="P40">
        <v>1</v>
      </c>
      <c r="Q40">
        <v>2</v>
      </c>
      <c r="R40">
        <v>0</v>
      </c>
      <c r="S40">
        <v>2</v>
      </c>
      <c r="T40" s="1">
        <v>400</v>
      </c>
      <c r="U40">
        <v>38</v>
      </c>
      <c r="V40">
        <v>0</v>
      </c>
      <c r="W40">
        <v>1</v>
      </c>
      <c r="X40">
        <v>0</v>
      </c>
      <c r="Y40">
        <v>0</v>
      </c>
      <c r="Z40">
        <v>0</v>
      </c>
      <c r="AA40" s="1">
        <v>100</v>
      </c>
      <c r="AB40">
        <v>38</v>
      </c>
      <c r="AC40">
        <v>0</v>
      </c>
      <c r="AD40">
        <v>0</v>
      </c>
      <c r="AE40">
        <v>0</v>
      </c>
      <c r="AF40">
        <v>0</v>
      </c>
      <c r="AG40">
        <v>0</v>
      </c>
      <c r="AH40" s="1">
        <v>0</v>
      </c>
      <c r="AI40">
        <v>38</v>
      </c>
      <c r="AJ40">
        <v>0</v>
      </c>
      <c r="AK40">
        <v>0</v>
      </c>
      <c r="AL40">
        <v>0</v>
      </c>
      <c r="AM40">
        <v>0</v>
      </c>
      <c r="AN40">
        <v>0</v>
      </c>
      <c r="AO40" s="1">
        <v>0</v>
      </c>
    </row>
    <row r="41" spans="1:41" x14ac:dyDescent="0.35">
      <c r="A41" s="30" t="s">
        <v>167</v>
      </c>
      <c r="B41" s="30"/>
      <c r="C41" s="30"/>
      <c r="G41">
        <v>39</v>
      </c>
      <c r="H41">
        <v>0</v>
      </c>
      <c r="I41">
        <v>0</v>
      </c>
      <c r="J41">
        <v>0</v>
      </c>
      <c r="K41">
        <v>4</v>
      </c>
      <c r="L41">
        <v>0</v>
      </c>
      <c r="M41" s="1">
        <v>240</v>
      </c>
      <c r="N41">
        <v>39</v>
      </c>
      <c r="O41">
        <v>2</v>
      </c>
      <c r="P41">
        <v>2</v>
      </c>
      <c r="Q41">
        <v>0</v>
      </c>
      <c r="R41">
        <v>0</v>
      </c>
      <c r="S41">
        <v>0</v>
      </c>
      <c r="T41" s="1">
        <v>320</v>
      </c>
      <c r="U41">
        <v>39</v>
      </c>
      <c r="V41">
        <v>0</v>
      </c>
      <c r="W41">
        <v>0</v>
      </c>
      <c r="X41">
        <v>0</v>
      </c>
      <c r="Y41">
        <v>0</v>
      </c>
      <c r="Z41">
        <v>0</v>
      </c>
      <c r="AA41" s="1">
        <v>0</v>
      </c>
      <c r="AB41">
        <v>39</v>
      </c>
      <c r="AC41">
        <v>0</v>
      </c>
      <c r="AD41">
        <v>0</v>
      </c>
      <c r="AE41">
        <v>0</v>
      </c>
      <c r="AF41">
        <v>0</v>
      </c>
      <c r="AG41">
        <v>0</v>
      </c>
      <c r="AH41" s="1">
        <v>0</v>
      </c>
      <c r="AI41">
        <v>39</v>
      </c>
      <c r="AJ41">
        <v>0</v>
      </c>
      <c r="AK41">
        <v>0</v>
      </c>
      <c r="AL41">
        <v>0</v>
      </c>
      <c r="AM41">
        <v>0</v>
      </c>
      <c r="AN41">
        <v>0</v>
      </c>
      <c r="AO41" s="1">
        <v>0</v>
      </c>
    </row>
    <row r="42" spans="1:41" x14ac:dyDescent="0.35">
      <c r="A42" t="s">
        <v>156</v>
      </c>
      <c r="B42" t="s">
        <v>157</v>
      </c>
      <c r="C42" t="s">
        <v>140</v>
      </c>
      <c r="G42">
        <v>40</v>
      </c>
      <c r="H42">
        <v>0</v>
      </c>
      <c r="I42">
        <v>0</v>
      </c>
      <c r="J42">
        <v>2</v>
      </c>
      <c r="K42">
        <v>0</v>
      </c>
      <c r="L42">
        <v>0</v>
      </c>
      <c r="M42" s="1">
        <v>120</v>
      </c>
      <c r="N42">
        <v>40</v>
      </c>
      <c r="O42">
        <v>1</v>
      </c>
      <c r="P42">
        <v>0</v>
      </c>
      <c r="Q42">
        <v>0</v>
      </c>
      <c r="R42">
        <v>1</v>
      </c>
      <c r="S42">
        <v>0</v>
      </c>
      <c r="T42" s="1">
        <v>160</v>
      </c>
      <c r="U42">
        <v>40</v>
      </c>
      <c r="V42">
        <v>0</v>
      </c>
      <c r="W42">
        <v>3</v>
      </c>
      <c r="X42">
        <v>0</v>
      </c>
      <c r="Y42">
        <v>1</v>
      </c>
      <c r="Z42">
        <v>0</v>
      </c>
      <c r="AA42" s="1">
        <v>400</v>
      </c>
      <c r="AB42">
        <v>40</v>
      </c>
      <c r="AC42">
        <v>0</v>
      </c>
      <c r="AD42">
        <v>1</v>
      </c>
      <c r="AE42">
        <v>0</v>
      </c>
      <c r="AF42">
        <v>0</v>
      </c>
      <c r="AG42">
        <v>0</v>
      </c>
      <c r="AH42" s="1">
        <v>120</v>
      </c>
      <c r="AI42">
        <v>40</v>
      </c>
      <c r="AJ42">
        <v>0</v>
      </c>
      <c r="AK42">
        <v>0</v>
      </c>
      <c r="AL42">
        <v>0</v>
      </c>
      <c r="AM42">
        <v>0</v>
      </c>
      <c r="AN42">
        <v>0</v>
      </c>
      <c r="AO42" s="1">
        <v>0</v>
      </c>
    </row>
    <row r="43" spans="1:41" x14ac:dyDescent="0.35">
      <c r="A43">
        <v>0</v>
      </c>
      <c r="B43">
        <v>0.7567567567567568</v>
      </c>
      <c r="C43">
        <v>0</v>
      </c>
      <c r="G43">
        <v>41</v>
      </c>
      <c r="H43">
        <v>1</v>
      </c>
      <c r="I43">
        <v>3</v>
      </c>
      <c r="J43">
        <v>0</v>
      </c>
      <c r="K43">
        <v>1</v>
      </c>
      <c r="L43">
        <v>2</v>
      </c>
      <c r="M43" s="1">
        <v>420</v>
      </c>
      <c r="N43">
        <v>41</v>
      </c>
      <c r="O43">
        <v>0</v>
      </c>
      <c r="P43">
        <v>2</v>
      </c>
      <c r="Q43">
        <v>1</v>
      </c>
      <c r="R43">
        <v>0</v>
      </c>
      <c r="S43">
        <v>0</v>
      </c>
      <c r="T43" s="1">
        <v>240</v>
      </c>
      <c r="U43">
        <v>41</v>
      </c>
      <c r="V43">
        <v>0</v>
      </c>
      <c r="W43">
        <v>0</v>
      </c>
      <c r="X43">
        <v>0</v>
      </c>
      <c r="Y43">
        <v>1</v>
      </c>
      <c r="Z43">
        <v>0</v>
      </c>
      <c r="AA43" s="1">
        <v>100</v>
      </c>
      <c r="AB43">
        <v>41</v>
      </c>
      <c r="AC43">
        <v>0</v>
      </c>
      <c r="AD43">
        <v>0</v>
      </c>
      <c r="AE43">
        <v>0</v>
      </c>
      <c r="AF43">
        <v>0</v>
      </c>
      <c r="AG43">
        <v>0</v>
      </c>
      <c r="AH43" s="1">
        <v>0</v>
      </c>
      <c r="AI43">
        <v>41</v>
      </c>
      <c r="AJ43">
        <v>0</v>
      </c>
      <c r="AK43">
        <v>0</v>
      </c>
      <c r="AL43">
        <v>0</v>
      </c>
      <c r="AM43">
        <v>0</v>
      </c>
      <c r="AN43">
        <v>0</v>
      </c>
      <c r="AO43" s="1">
        <v>0</v>
      </c>
    </row>
    <row r="44" spans="1:41" x14ac:dyDescent="0.35">
      <c r="A44">
        <v>0.7567567567567568</v>
      </c>
      <c r="B44">
        <v>0.91216216216216217</v>
      </c>
      <c r="C44">
        <v>1</v>
      </c>
      <c r="G44">
        <v>42</v>
      </c>
      <c r="H44">
        <v>0</v>
      </c>
      <c r="I44">
        <v>0</v>
      </c>
      <c r="J44">
        <v>2</v>
      </c>
      <c r="K44">
        <v>0</v>
      </c>
      <c r="L44">
        <v>0</v>
      </c>
      <c r="M44" s="1">
        <v>120</v>
      </c>
      <c r="N44">
        <v>42</v>
      </c>
      <c r="O44">
        <v>0</v>
      </c>
      <c r="P44">
        <v>1</v>
      </c>
      <c r="Q44">
        <v>0</v>
      </c>
      <c r="R44">
        <v>0</v>
      </c>
      <c r="S44">
        <v>0</v>
      </c>
      <c r="T44" s="1">
        <v>80</v>
      </c>
      <c r="U44">
        <v>42</v>
      </c>
      <c r="V44">
        <v>0</v>
      </c>
      <c r="W44">
        <v>0</v>
      </c>
      <c r="X44">
        <v>0</v>
      </c>
      <c r="Y44">
        <v>0</v>
      </c>
      <c r="Z44">
        <v>1</v>
      </c>
      <c r="AA44" s="1">
        <v>100</v>
      </c>
      <c r="AB44">
        <v>42</v>
      </c>
      <c r="AC44">
        <v>0</v>
      </c>
      <c r="AD44">
        <v>0</v>
      </c>
      <c r="AE44">
        <v>0</v>
      </c>
      <c r="AF44">
        <v>0</v>
      </c>
      <c r="AG44">
        <v>0</v>
      </c>
      <c r="AH44" s="1">
        <v>0</v>
      </c>
      <c r="AI44">
        <v>42</v>
      </c>
      <c r="AJ44">
        <v>0</v>
      </c>
      <c r="AK44">
        <v>0</v>
      </c>
      <c r="AL44">
        <v>2</v>
      </c>
      <c r="AM44">
        <v>0</v>
      </c>
      <c r="AN44">
        <v>0</v>
      </c>
      <c r="AO44" s="1">
        <v>300</v>
      </c>
    </row>
    <row r="45" spans="1:41" x14ac:dyDescent="0.35">
      <c r="A45">
        <v>0.91216216216216217</v>
      </c>
      <c r="B45">
        <v>0.98648648648648651</v>
      </c>
      <c r="C45">
        <v>2</v>
      </c>
      <c r="G45">
        <v>43</v>
      </c>
      <c r="H45">
        <v>0</v>
      </c>
      <c r="I45">
        <v>1</v>
      </c>
      <c r="J45">
        <v>1</v>
      </c>
      <c r="K45">
        <v>2</v>
      </c>
      <c r="L45">
        <v>0</v>
      </c>
      <c r="M45" s="1">
        <v>240</v>
      </c>
      <c r="N45">
        <v>43</v>
      </c>
      <c r="O45">
        <v>2</v>
      </c>
      <c r="P45">
        <v>1</v>
      </c>
      <c r="Q45">
        <v>3</v>
      </c>
      <c r="R45">
        <v>0</v>
      </c>
      <c r="S45">
        <v>0</v>
      </c>
      <c r="T45" s="1">
        <v>480</v>
      </c>
      <c r="U45">
        <v>43</v>
      </c>
      <c r="V45">
        <v>0</v>
      </c>
      <c r="W45">
        <v>0</v>
      </c>
      <c r="X45">
        <v>0</v>
      </c>
      <c r="Y45">
        <v>0</v>
      </c>
      <c r="Z45">
        <v>0</v>
      </c>
      <c r="AA45" s="1">
        <v>0</v>
      </c>
      <c r="AB45">
        <v>43</v>
      </c>
      <c r="AC45">
        <v>0</v>
      </c>
      <c r="AD45">
        <v>0</v>
      </c>
      <c r="AE45">
        <v>0</v>
      </c>
      <c r="AF45">
        <v>0</v>
      </c>
      <c r="AG45">
        <v>0</v>
      </c>
      <c r="AH45" s="1">
        <v>0</v>
      </c>
      <c r="AI45">
        <v>43</v>
      </c>
      <c r="AJ45">
        <v>0</v>
      </c>
      <c r="AK45">
        <v>0</v>
      </c>
      <c r="AL45">
        <v>1</v>
      </c>
      <c r="AM45">
        <v>0</v>
      </c>
      <c r="AN45">
        <v>0</v>
      </c>
      <c r="AO45" s="1">
        <v>150</v>
      </c>
    </row>
    <row r="46" spans="1:41" x14ac:dyDescent="0.35">
      <c r="A46">
        <v>0.98648648648648651</v>
      </c>
      <c r="B46">
        <v>1</v>
      </c>
      <c r="C46">
        <v>3</v>
      </c>
      <c r="G46">
        <v>44</v>
      </c>
      <c r="H46">
        <v>0</v>
      </c>
      <c r="I46">
        <v>0</v>
      </c>
      <c r="J46">
        <v>3</v>
      </c>
      <c r="K46">
        <v>0</v>
      </c>
      <c r="L46">
        <v>1</v>
      </c>
      <c r="M46" s="1">
        <v>240</v>
      </c>
      <c r="N46">
        <v>44</v>
      </c>
      <c r="O46">
        <v>0</v>
      </c>
      <c r="P46">
        <v>0</v>
      </c>
      <c r="Q46">
        <v>0</v>
      </c>
      <c r="R46">
        <v>1</v>
      </c>
      <c r="S46">
        <v>0</v>
      </c>
      <c r="T46" s="1">
        <v>80</v>
      </c>
      <c r="U46">
        <v>44</v>
      </c>
      <c r="V46">
        <v>0</v>
      </c>
      <c r="W46">
        <v>1</v>
      </c>
      <c r="X46">
        <v>0</v>
      </c>
      <c r="Y46">
        <v>0</v>
      </c>
      <c r="Z46">
        <v>0</v>
      </c>
      <c r="AA46" s="1">
        <v>100</v>
      </c>
      <c r="AB46">
        <v>44</v>
      </c>
      <c r="AC46">
        <v>0</v>
      </c>
      <c r="AD46">
        <v>0</v>
      </c>
      <c r="AE46">
        <v>0</v>
      </c>
      <c r="AF46">
        <v>0</v>
      </c>
      <c r="AG46">
        <v>0</v>
      </c>
      <c r="AH46" s="1">
        <v>0</v>
      </c>
      <c r="AI46">
        <v>44</v>
      </c>
      <c r="AJ46">
        <v>0</v>
      </c>
      <c r="AK46">
        <v>0</v>
      </c>
      <c r="AL46">
        <v>1</v>
      </c>
      <c r="AM46">
        <v>0</v>
      </c>
      <c r="AN46">
        <v>0</v>
      </c>
      <c r="AO46" s="1">
        <v>150</v>
      </c>
    </row>
    <row r="47" spans="1:41" x14ac:dyDescent="0.35">
      <c r="A47" t="s">
        <v>156</v>
      </c>
      <c r="B47" t="s">
        <v>157</v>
      </c>
      <c r="C47" t="s">
        <v>141</v>
      </c>
      <c r="G47">
        <v>45</v>
      </c>
      <c r="H47">
        <v>1</v>
      </c>
      <c r="I47">
        <v>1</v>
      </c>
      <c r="J47">
        <v>1</v>
      </c>
      <c r="K47">
        <v>3</v>
      </c>
      <c r="L47">
        <v>1</v>
      </c>
      <c r="M47" s="1">
        <v>420</v>
      </c>
      <c r="N47">
        <v>45</v>
      </c>
      <c r="O47">
        <v>0</v>
      </c>
      <c r="P47">
        <v>0</v>
      </c>
      <c r="Q47">
        <v>1</v>
      </c>
      <c r="R47">
        <v>0</v>
      </c>
      <c r="S47">
        <v>0</v>
      </c>
      <c r="T47" s="1">
        <v>80</v>
      </c>
      <c r="U47">
        <v>45</v>
      </c>
      <c r="V47">
        <v>0</v>
      </c>
      <c r="W47">
        <v>0</v>
      </c>
      <c r="X47">
        <v>0</v>
      </c>
      <c r="Y47">
        <v>0</v>
      </c>
      <c r="Z47">
        <v>0</v>
      </c>
      <c r="AA47" s="1">
        <v>0</v>
      </c>
      <c r="AB47">
        <v>45</v>
      </c>
      <c r="AC47">
        <v>0</v>
      </c>
      <c r="AD47">
        <v>0</v>
      </c>
      <c r="AE47">
        <v>0</v>
      </c>
      <c r="AF47">
        <v>0</v>
      </c>
      <c r="AG47">
        <v>0</v>
      </c>
      <c r="AH47" s="1">
        <v>0</v>
      </c>
      <c r="AI47">
        <v>45</v>
      </c>
      <c r="AJ47">
        <v>0</v>
      </c>
      <c r="AK47">
        <v>0</v>
      </c>
      <c r="AL47">
        <v>0</v>
      </c>
      <c r="AM47">
        <v>0</v>
      </c>
      <c r="AN47">
        <v>0</v>
      </c>
      <c r="AO47" s="1">
        <v>0</v>
      </c>
    </row>
    <row r="48" spans="1:41" x14ac:dyDescent="0.35">
      <c r="A48">
        <v>0</v>
      </c>
      <c r="B48">
        <v>0.64117647058823535</v>
      </c>
      <c r="C48">
        <v>0</v>
      </c>
      <c r="G48">
        <v>46</v>
      </c>
      <c r="H48">
        <v>2</v>
      </c>
      <c r="I48">
        <v>0</v>
      </c>
      <c r="J48">
        <v>0</v>
      </c>
      <c r="K48">
        <v>2</v>
      </c>
      <c r="L48">
        <v>1</v>
      </c>
      <c r="M48" s="1">
        <v>300</v>
      </c>
      <c r="N48">
        <v>46</v>
      </c>
      <c r="O48">
        <v>2</v>
      </c>
      <c r="P48">
        <v>0</v>
      </c>
      <c r="Q48">
        <v>0</v>
      </c>
      <c r="R48">
        <v>0</v>
      </c>
      <c r="S48">
        <v>1</v>
      </c>
      <c r="T48" s="1">
        <v>240</v>
      </c>
      <c r="U48">
        <v>46</v>
      </c>
      <c r="V48">
        <v>0</v>
      </c>
      <c r="W48">
        <v>0</v>
      </c>
      <c r="X48">
        <v>0</v>
      </c>
      <c r="Y48">
        <v>0</v>
      </c>
      <c r="Z48">
        <v>0</v>
      </c>
      <c r="AA48" s="1">
        <v>0</v>
      </c>
      <c r="AB48">
        <v>46</v>
      </c>
      <c r="AC48">
        <v>0</v>
      </c>
      <c r="AD48">
        <v>0</v>
      </c>
      <c r="AE48">
        <v>0</v>
      </c>
      <c r="AF48">
        <v>0</v>
      </c>
      <c r="AG48">
        <v>0</v>
      </c>
      <c r="AH48" s="1">
        <v>0</v>
      </c>
      <c r="AI48">
        <v>46</v>
      </c>
      <c r="AJ48">
        <v>0</v>
      </c>
      <c r="AK48">
        <v>0</v>
      </c>
      <c r="AL48">
        <v>0</v>
      </c>
      <c r="AM48">
        <v>0</v>
      </c>
      <c r="AN48">
        <v>0</v>
      </c>
      <c r="AO48" s="1">
        <v>0</v>
      </c>
    </row>
    <row r="49" spans="1:41" x14ac:dyDescent="0.35">
      <c r="A49">
        <v>0.64117647058823535</v>
      </c>
      <c r="B49">
        <v>0.90588235294117658</v>
      </c>
      <c r="C49">
        <v>1</v>
      </c>
      <c r="G49">
        <v>47</v>
      </c>
      <c r="H49">
        <v>0</v>
      </c>
      <c r="I49">
        <v>0</v>
      </c>
      <c r="J49">
        <v>1</v>
      </c>
      <c r="K49">
        <v>0</v>
      </c>
      <c r="L49">
        <v>0</v>
      </c>
      <c r="M49" s="1">
        <v>60</v>
      </c>
      <c r="N49">
        <v>47</v>
      </c>
      <c r="O49">
        <v>0</v>
      </c>
      <c r="P49">
        <v>0</v>
      </c>
      <c r="Q49">
        <v>2</v>
      </c>
      <c r="R49">
        <v>0</v>
      </c>
      <c r="S49">
        <v>0</v>
      </c>
      <c r="T49" s="1">
        <v>160</v>
      </c>
      <c r="U49">
        <v>47</v>
      </c>
      <c r="V49">
        <v>0</v>
      </c>
      <c r="W49">
        <v>0</v>
      </c>
      <c r="X49">
        <v>0</v>
      </c>
      <c r="Y49">
        <v>0</v>
      </c>
      <c r="Z49">
        <v>0</v>
      </c>
      <c r="AA49" s="1">
        <v>0</v>
      </c>
      <c r="AB49">
        <v>47</v>
      </c>
      <c r="AC49">
        <v>0</v>
      </c>
      <c r="AD49">
        <v>0</v>
      </c>
      <c r="AE49">
        <v>0</v>
      </c>
      <c r="AF49">
        <v>0</v>
      </c>
      <c r="AG49">
        <v>0</v>
      </c>
      <c r="AH49" s="1">
        <v>0</v>
      </c>
      <c r="AI49">
        <v>47</v>
      </c>
      <c r="AJ49">
        <v>0</v>
      </c>
      <c r="AK49">
        <v>0</v>
      </c>
      <c r="AL49">
        <v>0</v>
      </c>
      <c r="AM49">
        <v>0</v>
      </c>
      <c r="AN49">
        <v>0</v>
      </c>
      <c r="AO49" s="1">
        <v>0</v>
      </c>
    </row>
    <row r="50" spans="1:41" x14ac:dyDescent="0.35">
      <c r="A50">
        <v>0.90588235294117658</v>
      </c>
      <c r="B50">
        <v>1</v>
      </c>
      <c r="C50">
        <v>2</v>
      </c>
      <c r="G50">
        <v>48</v>
      </c>
      <c r="H50">
        <v>0</v>
      </c>
      <c r="I50">
        <v>0</v>
      </c>
      <c r="J50">
        <v>0</v>
      </c>
      <c r="K50">
        <v>0</v>
      </c>
      <c r="L50">
        <v>0</v>
      </c>
      <c r="M50" s="1">
        <v>0</v>
      </c>
      <c r="N50">
        <v>48</v>
      </c>
      <c r="O50">
        <v>1</v>
      </c>
      <c r="P50">
        <v>0</v>
      </c>
      <c r="Q50">
        <v>0</v>
      </c>
      <c r="R50">
        <v>0</v>
      </c>
      <c r="S50">
        <v>1</v>
      </c>
      <c r="T50" s="1">
        <v>160</v>
      </c>
      <c r="U50">
        <v>48</v>
      </c>
      <c r="V50">
        <v>0</v>
      </c>
      <c r="W50">
        <v>0</v>
      </c>
      <c r="X50">
        <v>0</v>
      </c>
      <c r="Y50">
        <v>0</v>
      </c>
      <c r="Z50">
        <v>1</v>
      </c>
      <c r="AA50" s="1">
        <v>100</v>
      </c>
      <c r="AB50">
        <v>48</v>
      </c>
      <c r="AC50">
        <v>0</v>
      </c>
      <c r="AD50">
        <v>0</v>
      </c>
      <c r="AE50">
        <v>0</v>
      </c>
      <c r="AF50">
        <v>0</v>
      </c>
      <c r="AG50">
        <v>0</v>
      </c>
      <c r="AH50" s="1">
        <v>0</v>
      </c>
      <c r="AI50">
        <v>48</v>
      </c>
      <c r="AJ50">
        <v>0</v>
      </c>
      <c r="AK50">
        <v>0</v>
      </c>
      <c r="AL50">
        <v>0</v>
      </c>
      <c r="AM50">
        <v>0</v>
      </c>
      <c r="AN50">
        <v>0</v>
      </c>
      <c r="AO50" s="1">
        <v>0</v>
      </c>
    </row>
    <row r="51" spans="1:41" x14ac:dyDescent="0.35">
      <c r="A51" t="s">
        <v>156</v>
      </c>
      <c r="B51" t="s">
        <v>157</v>
      </c>
      <c r="C51" t="s">
        <v>142</v>
      </c>
      <c r="G51">
        <v>49</v>
      </c>
      <c r="H51">
        <v>0</v>
      </c>
      <c r="I51">
        <v>0</v>
      </c>
      <c r="J51">
        <v>0</v>
      </c>
      <c r="K51">
        <v>1</v>
      </c>
      <c r="L51">
        <v>0</v>
      </c>
      <c r="M51" s="1">
        <v>60</v>
      </c>
      <c r="N51">
        <v>49</v>
      </c>
      <c r="O51">
        <v>1</v>
      </c>
      <c r="P51">
        <v>0</v>
      </c>
      <c r="Q51">
        <v>0</v>
      </c>
      <c r="R51">
        <v>0</v>
      </c>
      <c r="S51">
        <v>1</v>
      </c>
      <c r="T51" s="1">
        <v>160</v>
      </c>
      <c r="U51">
        <v>49</v>
      </c>
      <c r="V51">
        <v>0</v>
      </c>
      <c r="W51">
        <v>3</v>
      </c>
      <c r="X51">
        <v>1</v>
      </c>
      <c r="Y51">
        <v>0</v>
      </c>
      <c r="Z51">
        <v>0</v>
      </c>
      <c r="AA51" s="1">
        <v>400</v>
      </c>
      <c r="AB51">
        <v>49</v>
      </c>
      <c r="AC51">
        <v>0</v>
      </c>
      <c r="AD51">
        <v>1</v>
      </c>
      <c r="AE51">
        <v>0</v>
      </c>
      <c r="AF51">
        <v>0</v>
      </c>
      <c r="AG51">
        <v>0</v>
      </c>
      <c r="AH51" s="1">
        <v>120</v>
      </c>
      <c r="AI51">
        <v>49</v>
      </c>
      <c r="AJ51">
        <v>0</v>
      </c>
      <c r="AK51">
        <v>0</v>
      </c>
      <c r="AL51">
        <v>0</v>
      </c>
      <c r="AM51">
        <v>0</v>
      </c>
      <c r="AN51">
        <v>0</v>
      </c>
      <c r="AO51" s="1">
        <v>0</v>
      </c>
    </row>
    <row r="52" spans="1:41" x14ac:dyDescent="0.35">
      <c r="A52">
        <v>0</v>
      </c>
      <c r="B52">
        <v>0.58791208791208793</v>
      </c>
      <c r="C52">
        <v>0</v>
      </c>
      <c r="G52">
        <v>50</v>
      </c>
      <c r="H52">
        <v>1</v>
      </c>
      <c r="I52">
        <v>1</v>
      </c>
      <c r="J52">
        <v>1</v>
      </c>
      <c r="K52">
        <v>1</v>
      </c>
      <c r="L52">
        <v>0</v>
      </c>
      <c r="M52" s="1">
        <v>240</v>
      </c>
      <c r="N52">
        <v>50</v>
      </c>
      <c r="O52">
        <v>0</v>
      </c>
      <c r="P52">
        <v>0</v>
      </c>
      <c r="Q52">
        <v>2</v>
      </c>
      <c r="R52">
        <v>0</v>
      </c>
      <c r="S52">
        <v>0</v>
      </c>
      <c r="T52" s="1">
        <v>160</v>
      </c>
      <c r="U52">
        <v>50</v>
      </c>
      <c r="V52">
        <v>0</v>
      </c>
      <c r="W52">
        <v>1</v>
      </c>
      <c r="X52">
        <v>1</v>
      </c>
      <c r="Y52">
        <v>0</v>
      </c>
      <c r="Z52">
        <v>0</v>
      </c>
      <c r="AA52" s="1">
        <v>200</v>
      </c>
      <c r="AB52">
        <v>50</v>
      </c>
      <c r="AC52">
        <v>0</v>
      </c>
      <c r="AD52">
        <v>0</v>
      </c>
      <c r="AE52">
        <v>0</v>
      </c>
      <c r="AF52">
        <v>0</v>
      </c>
      <c r="AG52">
        <v>0</v>
      </c>
      <c r="AH52" s="1">
        <v>0</v>
      </c>
      <c r="AI52">
        <v>50</v>
      </c>
      <c r="AJ52">
        <v>0</v>
      </c>
      <c r="AK52">
        <v>0</v>
      </c>
      <c r="AL52">
        <v>2</v>
      </c>
      <c r="AM52">
        <v>0</v>
      </c>
      <c r="AN52">
        <v>0</v>
      </c>
      <c r="AO52" s="1">
        <v>300</v>
      </c>
    </row>
    <row r="53" spans="1:41" x14ac:dyDescent="0.35">
      <c r="A53">
        <v>0.58791208791208793</v>
      </c>
      <c r="B53">
        <v>0.79670329670329676</v>
      </c>
      <c r="C53">
        <v>1</v>
      </c>
      <c r="G53">
        <v>51</v>
      </c>
      <c r="H53">
        <v>0</v>
      </c>
      <c r="I53">
        <v>0</v>
      </c>
      <c r="J53">
        <v>2</v>
      </c>
      <c r="K53">
        <v>0</v>
      </c>
      <c r="L53">
        <v>0</v>
      </c>
      <c r="M53" s="1">
        <v>120</v>
      </c>
      <c r="N53">
        <v>51</v>
      </c>
      <c r="O53">
        <v>3</v>
      </c>
      <c r="P53">
        <v>0</v>
      </c>
      <c r="Q53">
        <v>1</v>
      </c>
      <c r="R53">
        <v>0</v>
      </c>
      <c r="S53">
        <v>1</v>
      </c>
      <c r="T53" s="1">
        <v>400</v>
      </c>
      <c r="U53">
        <v>51</v>
      </c>
      <c r="V53">
        <v>0</v>
      </c>
      <c r="W53">
        <v>1</v>
      </c>
      <c r="X53">
        <v>0</v>
      </c>
      <c r="Y53">
        <v>0</v>
      </c>
      <c r="Z53">
        <v>0</v>
      </c>
      <c r="AA53" s="1">
        <v>100</v>
      </c>
      <c r="AB53">
        <v>51</v>
      </c>
      <c r="AC53">
        <v>0</v>
      </c>
      <c r="AD53">
        <v>0</v>
      </c>
      <c r="AE53">
        <v>0</v>
      </c>
      <c r="AF53">
        <v>0</v>
      </c>
      <c r="AG53">
        <v>0</v>
      </c>
      <c r="AH53" s="1">
        <v>0</v>
      </c>
      <c r="AI53">
        <v>51</v>
      </c>
      <c r="AJ53">
        <v>0</v>
      </c>
      <c r="AK53">
        <v>0</v>
      </c>
      <c r="AL53">
        <v>1</v>
      </c>
      <c r="AM53">
        <v>0</v>
      </c>
      <c r="AN53">
        <v>0</v>
      </c>
      <c r="AO53" s="1">
        <v>150</v>
      </c>
    </row>
    <row r="54" spans="1:41" x14ac:dyDescent="0.35">
      <c r="A54">
        <v>0.79670329670329676</v>
      </c>
      <c r="B54">
        <v>0.92307692307692313</v>
      </c>
      <c r="C54">
        <v>2</v>
      </c>
      <c r="G54">
        <v>52</v>
      </c>
      <c r="H54">
        <v>0</v>
      </c>
      <c r="I54">
        <v>2</v>
      </c>
      <c r="J54">
        <v>2</v>
      </c>
      <c r="K54">
        <v>2</v>
      </c>
      <c r="L54">
        <v>1</v>
      </c>
      <c r="M54" s="1">
        <v>420</v>
      </c>
      <c r="N54">
        <v>52</v>
      </c>
      <c r="O54">
        <v>0</v>
      </c>
      <c r="P54">
        <v>0</v>
      </c>
      <c r="Q54">
        <v>2</v>
      </c>
      <c r="R54">
        <v>0</v>
      </c>
      <c r="S54">
        <v>0</v>
      </c>
      <c r="T54" s="1">
        <v>160</v>
      </c>
      <c r="U54">
        <v>52</v>
      </c>
      <c r="V54">
        <v>0</v>
      </c>
      <c r="W54">
        <v>0</v>
      </c>
      <c r="X54">
        <v>0</v>
      </c>
      <c r="Y54">
        <v>1</v>
      </c>
      <c r="Z54">
        <v>0</v>
      </c>
      <c r="AA54" s="1">
        <v>100</v>
      </c>
      <c r="AB54">
        <v>52</v>
      </c>
      <c r="AC54">
        <v>0</v>
      </c>
      <c r="AD54">
        <v>0</v>
      </c>
      <c r="AE54">
        <v>0</v>
      </c>
      <c r="AF54">
        <v>0</v>
      </c>
      <c r="AG54">
        <v>0</v>
      </c>
      <c r="AH54" s="1">
        <v>0</v>
      </c>
      <c r="AI54">
        <v>52</v>
      </c>
      <c r="AJ54">
        <v>0</v>
      </c>
      <c r="AK54">
        <v>0</v>
      </c>
      <c r="AL54">
        <v>1</v>
      </c>
      <c r="AM54">
        <v>0</v>
      </c>
      <c r="AN54">
        <v>0</v>
      </c>
      <c r="AO54" s="1">
        <v>150</v>
      </c>
    </row>
    <row r="55" spans="1:41" x14ac:dyDescent="0.35">
      <c r="A55">
        <v>0.92307692307692313</v>
      </c>
      <c r="B55">
        <v>1</v>
      </c>
      <c r="C55">
        <v>3</v>
      </c>
      <c r="G55">
        <v>53</v>
      </c>
      <c r="H55">
        <v>2</v>
      </c>
      <c r="I55">
        <v>1</v>
      </c>
      <c r="J55">
        <v>3</v>
      </c>
      <c r="K55">
        <v>0</v>
      </c>
      <c r="L55">
        <v>0</v>
      </c>
      <c r="M55" s="1">
        <v>360</v>
      </c>
      <c r="N55">
        <v>53</v>
      </c>
      <c r="O55">
        <v>1</v>
      </c>
      <c r="P55">
        <v>1</v>
      </c>
      <c r="Q55">
        <v>0</v>
      </c>
      <c r="R55">
        <v>0</v>
      </c>
      <c r="S55">
        <v>1</v>
      </c>
      <c r="T55" s="1">
        <v>240</v>
      </c>
      <c r="U55">
        <v>53</v>
      </c>
      <c r="V55">
        <v>1</v>
      </c>
      <c r="W55">
        <v>1</v>
      </c>
      <c r="X55">
        <v>0</v>
      </c>
      <c r="Y55">
        <v>0</v>
      </c>
      <c r="Z55">
        <v>0</v>
      </c>
      <c r="AA55" s="1">
        <v>200</v>
      </c>
      <c r="AB55">
        <v>53</v>
      </c>
      <c r="AC55">
        <v>0</v>
      </c>
      <c r="AD55">
        <v>0</v>
      </c>
      <c r="AE55">
        <v>0</v>
      </c>
      <c r="AF55">
        <v>0</v>
      </c>
      <c r="AG55">
        <v>0</v>
      </c>
      <c r="AH55" s="1">
        <v>0</v>
      </c>
      <c r="AI55">
        <v>53</v>
      </c>
      <c r="AJ55">
        <v>0</v>
      </c>
      <c r="AK55">
        <v>0</v>
      </c>
      <c r="AL55">
        <v>1</v>
      </c>
      <c r="AM55">
        <v>0</v>
      </c>
      <c r="AN55">
        <v>0</v>
      </c>
      <c r="AO55" s="1">
        <v>150</v>
      </c>
    </row>
    <row r="56" spans="1:41" x14ac:dyDescent="0.35">
      <c r="A56" t="s">
        <v>156</v>
      </c>
      <c r="B56" t="s">
        <v>157</v>
      </c>
      <c r="C56" t="s">
        <v>143</v>
      </c>
      <c r="G56">
        <v>54</v>
      </c>
      <c r="H56">
        <v>0</v>
      </c>
      <c r="I56">
        <v>0</v>
      </c>
      <c r="J56">
        <v>2</v>
      </c>
      <c r="K56">
        <v>2</v>
      </c>
      <c r="L56">
        <v>0</v>
      </c>
      <c r="M56" s="1">
        <v>240</v>
      </c>
      <c r="N56">
        <v>54</v>
      </c>
      <c r="O56">
        <v>0</v>
      </c>
      <c r="P56">
        <v>1</v>
      </c>
      <c r="Q56">
        <v>1</v>
      </c>
      <c r="R56">
        <v>0</v>
      </c>
      <c r="S56">
        <v>1</v>
      </c>
      <c r="T56" s="1">
        <v>240</v>
      </c>
      <c r="U56">
        <v>54</v>
      </c>
      <c r="V56">
        <v>0</v>
      </c>
      <c r="W56">
        <v>0</v>
      </c>
      <c r="X56">
        <v>0</v>
      </c>
      <c r="Y56">
        <v>1</v>
      </c>
      <c r="Z56">
        <v>0</v>
      </c>
      <c r="AA56" s="1">
        <v>100</v>
      </c>
      <c r="AB56">
        <v>54</v>
      </c>
      <c r="AC56">
        <v>0</v>
      </c>
      <c r="AD56">
        <v>0</v>
      </c>
      <c r="AE56">
        <v>0</v>
      </c>
      <c r="AF56">
        <v>0</v>
      </c>
      <c r="AG56">
        <v>0</v>
      </c>
      <c r="AH56" s="1">
        <v>0</v>
      </c>
      <c r="AI56">
        <v>54</v>
      </c>
      <c r="AJ56">
        <v>0</v>
      </c>
      <c r="AK56">
        <v>0</v>
      </c>
      <c r="AL56">
        <v>0</v>
      </c>
      <c r="AM56">
        <v>0</v>
      </c>
      <c r="AN56">
        <v>0</v>
      </c>
      <c r="AO56" s="1">
        <v>0</v>
      </c>
    </row>
    <row r="57" spans="1:41" x14ac:dyDescent="0.35">
      <c r="A57">
        <v>0</v>
      </c>
      <c r="B57">
        <v>0.78985507246376807</v>
      </c>
      <c r="C57">
        <v>0</v>
      </c>
      <c r="G57">
        <v>55</v>
      </c>
      <c r="H57">
        <v>0</v>
      </c>
      <c r="I57">
        <v>0</v>
      </c>
      <c r="J57">
        <v>1</v>
      </c>
      <c r="K57">
        <v>0</v>
      </c>
      <c r="L57">
        <v>0</v>
      </c>
      <c r="M57" s="1">
        <v>60</v>
      </c>
      <c r="N57">
        <v>55</v>
      </c>
      <c r="O57">
        <v>0</v>
      </c>
      <c r="P57">
        <v>0</v>
      </c>
      <c r="Q57">
        <v>0</v>
      </c>
      <c r="R57">
        <v>1</v>
      </c>
      <c r="S57">
        <v>0</v>
      </c>
      <c r="T57" s="1">
        <v>80</v>
      </c>
      <c r="U57">
        <v>55</v>
      </c>
      <c r="V57">
        <v>0</v>
      </c>
      <c r="W57">
        <v>1</v>
      </c>
      <c r="X57">
        <v>1</v>
      </c>
      <c r="Y57">
        <v>0</v>
      </c>
      <c r="Z57">
        <v>0</v>
      </c>
      <c r="AA57" s="1">
        <v>200</v>
      </c>
      <c r="AB57">
        <v>55</v>
      </c>
      <c r="AC57">
        <v>0</v>
      </c>
      <c r="AD57">
        <v>0</v>
      </c>
      <c r="AE57">
        <v>0</v>
      </c>
      <c r="AF57">
        <v>0</v>
      </c>
      <c r="AG57">
        <v>0</v>
      </c>
      <c r="AH57" s="1">
        <v>0</v>
      </c>
      <c r="AI57">
        <v>55</v>
      </c>
      <c r="AJ57">
        <v>0</v>
      </c>
      <c r="AK57">
        <v>0</v>
      </c>
      <c r="AL57">
        <v>3</v>
      </c>
      <c r="AM57">
        <v>0</v>
      </c>
      <c r="AN57">
        <v>0</v>
      </c>
      <c r="AO57" s="1">
        <v>450</v>
      </c>
    </row>
    <row r="58" spans="1:41" x14ac:dyDescent="0.35">
      <c r="A58">
        <v>0.78985507246376807</v>
      </c>
      <c r="B58">
        <v>0.9565217391304347</v>
      </c>
      <c r="C58">
        <v>1</v>
      </c>
      <c r="G58">
        <v>56</v>
      </c>
      <c r="H58">
        <v>2</v>
      </c>
      <c r="I58">
        <v>2</v>
      </c>
      <c r="J58">
        <v>2</v>
      </c>
      <c r="K58">
        <v>3</v>
      </c>
      <c r="L58">
        <v>0</v>
      </c>
      <c r="M58" s="1">
        <v>540</v>
      </c>
      <c r="N58">
        <v>56</v>
      </c>
      <c r="O58">
        <v>0</v>
      </c>
      <c r="P58">
        <v>2</v>
      </c>
      <c r="Q58">
        <v>0</v>
      </c>
      <c r="R58">
        <v>1</v>
      </c>
      <c r="S58">
        <v>0</v>
      </c>
      <c r="T58" s="1">
        <v>240</v>
      </c>
      <c r="U58">
        <v>56</v>
      </c>
      <c r="V58">
        <v>0</v>
      </c>
      <c r="W58">
        <v>1</v>
      </c>
      <c r="X58">
        <v>0</v>
      </c>
      <c r="Y58">
        <v>0</v>
      </c>
      <c r="Z58">
        <v>0</v>
      </c>
      <c r="AA58" s="1">
        <v>100</v>
      </c>
      <c r="AB58">
        <v>56</v>
      </c>
      <c r="AC58">
        <v>1</v>
      </c>
      <c r="AD58">
        <v>0</v>
      </c>
      <c r="AE58">
        <v>0</v>
      </c>
      <c r="AF58">
        <v>0</v>
      </c>
      <c r="AG58">
        <v>0</v>
      </c>
      <c r="AH58" s="1">
        <v>120</v>
      </c>
      <c r="AI58">
        <v>56</v>
      </c>
      <c r="AJ58">
        <v>0</v>
      </c>
      <c r="AK58">
        <v>0</v>
      </c>
      <c r="AL58">
        <v>1</v>
      </c>
      <c r="AM58">
        <v>0</v>
      </c>
      <c r="AN58">
        <v>0</v>
      </c>
      <c r="AO58" s="1">
        <v>150</v>
      </c>
    </row>
    <row r="59" spans="1:41" x14ac:dyDescent="0.35">
      <c r="A59">
        <v>0.9565217391304347</v>
      </c>
      <c r="B59">
        <v>0.98550724637681153</v>
      </c>
      <c r="C59">
        <v>2</v>
      </c>
      <c r="G59">
        <v>57</v>
      </c>
      <c r="H59">
        <v>0</v>
      </c>
      <c r="I59">
        <v>1</v>
      </c>
      <c r="J59">
        <v>0</v>
      </c>
      <c r="K59">
        <v>3</v>
      </c>
      <c r="L59">
        <v>1</v>
      </c>
      <c r="M59" s="1">
        <v>300</v>
      </c>
      <c r="N59">
        <v>57</v>
      </c>
      <c r="O59">
        <v>0</v>
      </c>
      <c r="P59">
        <v>0</v>
      </c>
      <c r="Q59">
        <v>1</v>
      </c>
      <c r="R59">
        <v>0</v>
      </c>
      <c r="S59">
        <v>0</v>
      </c>
      <c r="T59" s="1">
        <v>80</v>
      </c>
      <c r="U59">
        <v>57</v>
      </c>
      <c r="V59">
        <v>0</v>
      </c>
      <c r="W59">
        <v>0</v>
      </c>
      <c r="X59">
        <v>0</v>
      </c>
      <c r="Y59">
        <v>0</v>
      </c>
      <c r="Z59">
        <v>0</v>
      </c>
      <c r="AA59" s="1">
        <v>0</v>
      </c>
      <c r="AB59">
        <v>57</v>
      </c>
      <c r="AC59">
        <v>0</v>
      </c>
      <c r="AD59">
        <v>0</v>
      </c>
      <c r="AE59">
        <v>0</v>
      </c>
      <c r="AF59">
        <v>0</v>
      </c>
      <c r="AG59">
        <v>0</v>
      </c>
      <c r="AH59" s="1">
        <v>0</v>
      </c>
      <c r="AI59">
        <v>57</v>
      </c>
      <c r="AJ59">
        <v>0</v>
      </c>
      <c r="AK59">
        <v>0</v>
      </c>
      <c r="AL59">
        <v>0</v>
      </c>
      <c r="AM59">
        <v>0</v>
      </c>
      <c r="AN59">
        <v>0</v>
      </c>
      <c r="AO59" s="1">
        <v>0</v>
      </c>
    </row>
    <row r="60" spans="1:41" x14ac:dyDescent="0.35">
      <c r="A60">
        <v>0.98550724637681153</v>
      </c>
      <c r="B60">
        <v>0.99999999999999989</v>
      </c>
      <c r="C60">
        <v>3</v>
      </c>
      <c r="G60">
        <v>58</v>
      </c>
      <c r="H60">
        <v>0</v>
      </c>
      <c r="I60">
        <v>2</v>
      </c>
      <c r="J60">
        <v>0</v>
      </c>
      <c r="K60">
        <v>3</v>
      </c>
      <c r="L60">
        <v>0</v>
      </c>
      <c r="M60" s="1">
        <v>300</v>
      </c>
      <c r="N60">
        <v>58</v>
      </c>
      <c r="O60">
        <v>0</v>
      </c>
      <c r="P60">
        <v>1</v>
      </c>
      <c r="Q60">
        <v>3</v>
      </c>
      <c r="R60">
        <v>0</v>
      </c>
      <c r="S60">
        <v>0</v>
      </c>
      <c r="T60" s="1">
        <v>320</v>
      </c>
      <c r="U60">
        <v>58</v>
      </c>
      <c r="V60">
        <v>0</v>
      </c>
      <c r="W60">
        <v>0</v>
      </c>
      <c r="X60">
        <v>0</v>
      </c>
      <c r="Y60">
        <v>0</v>
      </c>
      <c r="Z60">
        <v>0</v>
      </c>
      <c r="AA60" s="1">
        <v>0</v>
      </c>
      <c r="AB60">
        <v>58</v>
      </c>
      <c r="AC60">
        <v>1</v>
      </c>
      <c r="AD60">
        <v>0</v>
      </c>
      <c r="AE60">
        <v>0</v>
      </c>
      <c r="AF60">
        <v>0</v>
      </c>
      <c r="AG60">
        <v>0</v>
      </c>
      <c r="AH60" s="1">
        <v>120</v>
      </c>
      <c r="AI60">
        <v>58</v>
      </c>
      <c r="AJ60">
        <v>0</v>
      </c>
      <c r="AK60">
        <v>0</v>
      </c>
      <c r="AL60">
        <v>0</v>
      </c>
      <c r="AM60">
        <v>0</v>
      </c>
      <c r="AN60">
        <v>0</v>
      </c>
      <c r="AO60" s="1">
        <v>0</v>
      </c>
    </row>
    <row r="61" spans="1:41" x14ac:dyDescent="0.35">
      <c r="A61" t="s">
        <v>156</v>
      </c>
      <c r="B61" t="s">
        <v>157</v>
      </c>
      <c r="C61" t="s">
        <v>144</v>
      </c>
      <c r="G61">
        <v>59</v>
      </c>
      <c r="H61">
        <v>1</v>
      </c>
      <c r="I61">
        <v>3</v>
      </c>
      <c r="J61">
        <v>1</v>
      </c>
      <c r="K61">
        <v>0</v>
      </c>
      <c r="L61">
        <v>0</v>
      </c>
      <c r="M61" s="1">
        <v>300</v>
      </c>
      <c r="N61">
        <v>59</v>
      </c>
      <c r="O61">
        <v>0</v>
      </c>
      <c r="P61">
        <v>0</v>
      </c>
      <c r="Q61">
        <v>0</v>
      </c>
      <c r="R61">
        <v>0</v>
      </c>
      <c r="S61">
        <v>0</v>
      </c>
      <c r="T61" s="1">
        <v>0</v>
      </c>
      <c r="U61">
        <v>59</v>
      </c>
      <c r="V61">
        <v>0</v>
      </c>
      <c r="W61">
        <v>0</v>
      </c>
      <c r="X61">
        <v>1</v>
      </c>
      <c r="Y61">
        <v>0</v>
      </c>
      <c r="Z61">
        <v>0</v>
      </c>
      <c r="AA61" s="1">
        <v>100</v>
      </c>
      <c r="AB61">
        <v>59</v>
      </c>
      <c r="AC61">
        <v>0</v>
      </c>
      <c r="AD61">
        <v>0</v>
      </c>
      <c r="AE61">
        <v>0</v>
      </c>
      <c r="AF61">
        <v>0</v>
      </c>
      <c r="AG61">
        <v>0</v>
      </c>
      <c r="AH61" s="1">
        <v>0</v>
      </c>
      <c r="AI61">
        <v>59</v>
      </c>
      <c r="AJ61">
        <v>0</v>
      </c>
      <c r="AK61">
        <v>0</v>
      </c>
      <c r="AL61">
        <v>0</v>
      </c>
      <c r="AM61">
        <v>0</v>
      </c>
      <c r="AN61">
        <v>0</v>
      </c>
      <c r="AO61" s="1">
        <v>0</v>
      </c>
    </row>
    <row r="62" spans="1:41" x14ac:dyDescent="0.35">
      <c r="A62">
        <v>0</v>
      </c>
      <c r="B62">
        <v>0.76811594202898548</v>
      </c>
      <c r="C62">
        <v>0</v>
      </c>
      <c r="G62">
        <v>60</v>
      </c>
      <c r="H62">
        <v>0</v>
      </c>
      <c r="I62">
        <v>0</v>
      </c>
      <c r="J62">
        <v>1</v>
      </c>
      <c r="K62">
        <v>2</v>
      </c>
      <c r="L62">
        <v>1</v>
      </c>
      <c r="M62" s="1">
        <v>240</v>
      </c>
      <c r="N62">
        <v>60</v>
      </c>
      <c r="O62">
        <v>0</v>
      </c>
      <c r="P62">
        <v>1</v>
      </c>
      <c r="Q62">
        <v>1</v>
      </c>
      <c r="R62">
        <v>0</v>
      </c>
      <c r="S62">
        <v>0</v>
      </c>
      <c r="T62" s="1">
        <v>160</v>
      </c>
      <c r="U62">
        <v>60</v>
      </c>
      <c r="V62">
        <v>0</v>
      </c>
      <c r="W62">
        <v>0</v>
      </c>
      <c r="X62">
        <v>0</v>
      </c>
      <c r="Y62">
        <v>0</v>
      </c>
      <c r="Z62">
        <v>0</v>
      </c>
      <c r="AA62" s="1">
        <v>0</v>
      </c>
      <c r="AB62">
        <v>60</v>
      </c>
      <c r="AC62">
        <v>0</v>
      </c>
      <c r="AD62">
        <v>0</v>
      </c>
      <c r="AE62">
        <v>0</v>
      </c>
      <c r="AF62">
        <v>0</v>
      </c>
      <c r="AG62">
        <v>0</v>
      </c>
      <c r="AH62" s="1">
        <v>0</v>
      </c>
      <c r="AI62">
        <v>60</v>
      </c>
      <c r="AJ62">
        <v>0</v>
      </c>
      <c r="AK62">
        <v>0</v>
      </c>
      <c r="AL62">
        <v>0</v>
      </c>
      <c r="AM62">
        <v>0</v>
      </c>
      <c r="AN62">
        <v>0</v>
      </c>
      <c r="AO62" s="1">
        <v>0</v>
      </c>
    </row>
    <row r="63" spans="1:41" x14ac:dyDescent="0.35">
      <c r="A63">
        <v>0.76811594202898548</v>
      </c>
      <c r="B63">
        <v>0.98550724637681153</v>
      </c>
      <c r="C63">
        <v>1</v>
      </c>
      <c r="G63">
        <v>61</v>
      </c>
      <c r="H63">
        <v>0</v>
      </c>
      <c r="I63">
        <v>1</v>
      </c>
      <c r="J63">
        <v>0</v>
      </c>
      <c r="K63">
        <v>1</v>
      </c>
      <c r="L63">
        <v>2</v>
      </c>
      <c r="M63" s="1">
        <v>240</v>
      </c>
      <c r="N63">
        <v>61</v>
      </c>
      <c r="O63">
        <v>0</v>
      </c>
      <c r="P63">
        <v>2</v>
      </c>
      <c r="Q63">
        <v>1</v>
      </c>
      <c r="R63">
        <v>0</v>
      </c>
      <c r="S63">
        <v>0</v>
      </c>
      <c r="T63" s="1">
        <v>240</v>
      </c>
      <c r="U63">
        <v>61</v>
      </c>
      <c r="V63">
        <v>0</v>
      </c>
      <c r="W63">
        <v>0</v>
      </c>
      <c r="X63">
        <v>0</v>
      </c>
      <c r="Y63">
        <v>0</v>
      </c>
      <c r="Z63">
        <v>0</v>
      </c>
      <c r="AA63" s="1">
        <v>0</v>
      </c>
      <c r="AB63">
        <v>61</v>
      </c>
      <c r="AC63">
        <v>0</v>
      </c>
      <c r="AD63">
        <v>0</v>
      </c>
      <c r="AE63">
        <v>0</v>
      </c>
      <c r="AF63">
        <v>0</v>
      </c>
      <c r="AG63">
        <v>0</v>
      </c>
      <c r="AH63" s="1">
        <v>0</v>
      </c>
      <c r="AI63">
        <v>61</v>
      </c>
      <c r="AJ63">
        <v>0</v>
      </c>
      <c r="AK63">
        <v>0</v>
      </c>
      <c r="AL63">
        <v>2</v>
      </c>
      <c r="AM63">
        <v>0</v>
      </c>
      <c r="AN63">
        <v>0</v>
      </c>
      <c r="AO63" s="1">
        <v>300</v>
      </c>
    </row>
    <row r="64" spans="1:41" x14ac:dyDescent="0.35">
      <c r="A64">
        <v>0.98550724637681153</v>
      </c>
      <c r="B64">
        <v>1</v>
      </c>
      <c r="C64">
        <v>2</v>
      </c>
      <c r="G64">
        <v>62</v>
      </c>
      <c r="H64">
        <v>1</v>
      </c>
      <c r="I64">
        <v>0</v>
      </c>
      <c r="J64">
        <v>0</v>
      </c>
      <c r="K64">
        <v>0</v>
      </c>
      <c r="L64">
        <v>1</v>
      </c>
      <c r="M64" s="1">
        <v>120</v>
      </c>
      <c r="N64">
        <v>62</v>
      </c>
      <c r="O64">
        <v>1</v>
      </c>
      <c r="P64">
        <v>2</v>
      </c>
      <c r="Q64">
        <v>0</v>
      </c>
      <c r="R64">
        <v>0</v>
      </c>
      <c r="S64">
        <v>0</v>
      </c>
      <c r="T64" s="1">
        <v>240</v>
      </c>
      <c r="U64">
        <v>62</v>
      </c>
      <c r="V64">
        <v>0</v>
      </c>
      <c r="W64">
        <v>3</v>
      </c>
      <c r="X64">
        <v>0</v>
      </c>
      <c r="Y64">
        <v>0</v>
      </c>
      <c r="Z64">
        <v>0</v>
      </c>
      <c r="AA64" s="1">
        <v>300</v>
      </c>
      <c r="AB64">
        <v>62</v>
      </c>
      <c r="AC64">
        <v>0</v>
      </c>
      <c r="AD64">
        <v>0</v>
      </c>
      <c r="AE64">
        <v>0</v>
      </c>
      <c r="AF64">
        <v>0</v>
      </c>
      <c r="AG64">
        <v>0</v>
      </c>
      <c r="AH64" s="1">
        <v>0</v>
      </c>
      <c r="AI64">
        <v>62</v>
      </c>
      <c r="AJ64">
        <v>0</v>
      </c>
      <c r="AK64">
        <v>0</v>
      </c>
      <c r="AL64">
        <v>0</v>
      </c>
      <c r="AM64">
        <v>0</v>
      </c>
      <c r="AN64">
        <v>0</v>
      </c>
      <c r="AO64" s="1">
        <v>0</v>
      </c>
    </row>
    <row r="65" spans="1:41" x14ac:dyDescent="0.35">
      <c r="A65" s="30" t="s">
        <v>179</v>
      </c>
      <c r="B65" s="30"/>
      <c r="C65" s="30"/>
      <c r="G65">
        <v>63</v>
      </c>
      <c r="H65">
        <v>1</v>
      </c>
      <c r="I65">
        <v>0</v>
      </c>
      <c r="J65">
        <v>2</v>
      </c>
      <c r="K65">
        <v>2</v>
      </c>
      <c r="L65">
        <v>1</v>
      </c>
      <c r="M65" s="1">
        <v>360</v>
      </c>
      <c r="N65">
        <v>63</v>
      </c>
      <c r="O65">
        <v>0</v>
      </c>
      <c r="P65">
        <v>0</v>
      </c>
      <c r="Q65">
        <v>0</v>
      </c>
      <c r="R65">
        <v>0</v>
      </c>
      <c r="S65">
        <v>0</v>
      </c>
      <c r="T65" s="1">
        <v>0</v>
      </c>
      <c r="U65">
        <v>63</v>
      </c>
      <c r="V65">
        <v>0</v>
      </c>
      <c r="W65">
        <v>0</v>
      </c>
      <c r="X65">
        <v>0</v>
      </c>
      <c r="Y65">
        <v>0</v>
      </c>
      <c r="Z65">
        <v>0</v>
      </c>
      <c r="AA65" s="1">
        <v>0</v>
      </c>
      <c r="AB65">
        <v>63</v>
      </c>
      <c r="AC65">
        <v>0</v>
      </c>
      <c r="AD65">
        <v>0</v>
      </c>
      <c r="AE65">
        <v>0</v>
      </c>
      <c r="AF65">
        <v>0</v>
      </c>
      <c r="AG65">
        <v>0</v>
      </c>
      <c r="AH65" s="1">
        <v>0</v>
      </c>
      <c r="AI65">
        <v>63</v>
      </c>
      <c r="AJ65">
        <v>0</v>
      </c>
      <c r="AK65">
        <v>0</v>
      </c>
      <c r="AL65">
        <v>1</v>
      </c>
      <c r="AM65">
        <v>0</v>
      </c>
      <c r="AN65">
        <v>0</v>
      </c>
      <c r="AO65" s="1">
        <v>150</v>
      </c>
    </row>
    <row r="66" spans="1:41" x14ac:dyDescent="0.35">
      <c r="A66" t="s">
        <v>156</v>
      </c>
      <c r="B66" t="s">
        <v>157</v>
      </c>
      <c r="C66" t="s">
        <v>140</v>
      </c>
      <c r="G66">
        <v>64</v>
      </c>
      <c r="H66">
        <v>0</v>
      </c>
      <c r="I66">
        <v>1</v>
      </c>
      <c r="J66">
        <v>0</v>
      </c>
      <c r="K66">
        <v>2</v>
      </c>
      <c r="L66">
        <v>2</v>
      </c>
      <c r="M66" s="1">
        <v>300</v>
      </c>
      <c r="N66">
        <v>64</v>
      </c>
      <c r="O66">
        <v>1</v>
      </c>
      <c r="P66">
        <v>0</v>
      </c>
      <c r="Q66">
        <v>0</v>
      </c>
      <c r="R66">
        <v>0</v>
      </c>
      <c r="S66">
        <v>0</v>
      </c>
      <c r="T66" s="1">
        <v>80</v>
      </c>
      <c r="U66">
        <v>64</v>
      </c>
      <c r="V66">
        <v>0</v>
      </c>
      <c r="W66">
        <v>0</v>
      </c>
      <c r="X66">
        <v>0</v>
      </c>
      <c r="Y66">
        <v>0</v>
      </c>
      <c r="Z66">
        <v>0</v>
      </c>
      <c r="AA66" s="1">
        <v>0</v>
      </c>
      <c r="AB66">
        <v>64</v>
      </c>
      <c r="AC66">
        <v>0</v>
      </c>
      <c r="AD66">
        <v>1</v>
      </c>
      <c r="AE66">
        <v>0</v>
      </c>
      <c r="AF66">
        <v>0</v>
      </c>
      <c r="AG66">
        <v>0</v>
      </c>
      <c r="AH66" s="1">
        <v>120</v>
      </c>
      <c r="AI66">
        <v>64</v>
      </c>
      <c r="AJ66">
        <v>0</v>
      </c>
      <c r="AK66">
        <v>0</v>
      </c>
      <c r="AL66">
        <v>1</v>
      </c>
      <c r="AM66">
        <v>0</v>
      </c>
      <c r="AN66">
        <v>0</v>
      </c>
      <c r="AO66" s="1">
        <v>150</v>
      </c>
    </row>
    <row r="67" spans="1:41" x14ac:dyDescent="0.35">
      <c r="A67">
        <v>0</v>
      </c>
      <c r="B67">
        <v>0.93478260869565222</v>
      </c>
      <c r="C67">
        <v>0</v>
      </c>
      <c r="G67">
        <v>65</v>
      </c>
      <c r="H67">
        <v>1</v>
      </c>
      <c r="I67">
        <v>2</v>
      </c>
      <c r="J67">
        <v>1</v>
      </c>
      <c r="K67">
        <v>4</v>
      </c>
      <c r="L67">
        <v>1</v>
      </c>
      <c r="M67" s="1">
        <v>540</v>
      </c>
      <c r="N67">
        <v>65</v>
      </c>
      <c r="O67">
        <v>0</v>
      </c>
      <c r="P67">
        <v>1</v>
      </c>
      <c r="Q67">
        <v>0</v>
      </c>
      <c r="R67">
        <v>0</v>
      </c>
      <c r="S67">
        <v>1</v>
      </c>
      <c r="T67" s="1">
        <v>160</v>
      </c>
      <c r="U67">
        <v>65</v>
      </c>
      <c r="V67">
        <v>0</v>
      </c>
      <c r="W67">
        <v>2</v>
      </c>
      <c r="X67">
        <v>0</v>
      </c>
      <c r="Y67">
        <v>1</v>
      </c>
      <c r="Z67">
        <v>0</v>
      </c>
      <c r="AA67" s="1">
        <v>300</v>
      </c>
      <c r="AB67">
        <v>65</v>
      </c>
      <c r="AC67">
        <v>0</v>
      </c>
      <c r="AD67">
        <v>0</v>
      </c>
      <c r="AE67">
        <v>0</v>
      </c>
      <c r="AF67">
        <v>1</v>
      </c>
      <c r="AG67">
        <v>0</v>
      </c>
      <c r="AH67" s="1">
        <v>120</v>
      </c>
      <c r="AI67">
        <v>65</v>
      </c>
      <c r="AJ67">
        <v>0</v>
      </c>
      <c r="AK67">
        <v>0</v>
      </c>
      <c r="AL67">
        <v>1</v>
      </c>
      <c r="AM67">
        <v>0</v>
      </c>
      <c r="AN67">
        <v>0</v>
      </c>
      <c r="AO67" s="1">
        <v>150</v>
      </c>
    </row>
    <row r="68" spans="1:41" x14ac:dyDescent="0.35">
      <c r="A68">
        <v>0.93478260869565222</v>
      </c>
      <c r="B68">
        <v>1</v>
      </c>
      <c r="C68">
        <v>1</v>
      </c>
      <c r="G68">
        <v>66</v>
      </c>
      <c r="H68">
        <v>0</v>
      </c>
      <c r="I68">
        <v>1</v>
      </c>
      <c r="J68">
        <v>2</v>
      </c>
      <c r="K68">
        <v>3</v>
      </c>
      <c r="L68">
        <v>1</v>
      </c>
      <c r="M68" s="1">
        <v>420</v>
      </c>
      <c r="N68">
        <v>66</v>
      </c>
      <c r="O68">
        <v>0</v>
      </c>
      <c r="P68">
        <v>2</v>
      </c>
      <c r="Q68">
        <v>3</v>
      </c>
      <c r="R68">
        <v>0</v>
      </c>
      <c r="S68">
        <v>0</v>
      </c>
      <c r="T68" s="1">
        <v>400</v>
      </c>
      <c r="U68">
        <v>66</v>
      </c>
      <c r="V68">
        <v>1</v>
      </c>
      <c r="W68">
        <v>1</v>
      </c>
      <c r="X68">
        <v>0</v>
      </c>
      <c r="Y68">
        <v>0</v>
      </c>
      <c r="Z68">
        <v>0</v>
      </c>
      <c r="AA68" s="1">
        <v>200</v>
      </c>
      <c r="AB68">
        <v>66</v>
      </c>
      <c r="AC68">
        <v>0</v>
      </c>
      <c r="AD68">
        <v>0</v>
      </c>
      <c r="AE68">
        <v>1</v>
      </c>
      <c r="AF68">
        <v>0</v>
      </c>
      <c r="AG68">
        <v>0</v>
      </c>
      <c r="AH68" s="1">
        <v>120</v>
      </c>
      <c r="AI68">
        <v>66</v>
      </c>
      <c r="AJ68">
        <v>0</v>
      </c>
      <c r="AK68">
        <v>0</v>
      </c>
      <c r="AL68">
        <v>1</v>
      </c>
      <c r="AM68">
        <v>0</v>
      </c>
      <c r="AN68">
        <v>0</v>
      </c>
      <c r="AO68" s="1">
        <v>150</v>
      </c>
    </row>
    <row r="69" spans="1:41" x14ac:dyDescent="0.35">
      <c r="A69" t="s">
        <v>156</v>
      </c>
      <c r="B69" t="s">
        <v>157</v>
      </c>
      <c r="C69" t="s">
        <v>141</v>
      </c>
      <c r="G69">
        <v>67</v>
      </c>
      <c r="H69">
        <v>3</v>
      </c>
      <c r="I69">
        <v>0</v>
      </c>
      <c r="J69">
        <v>1</v>
      </c>
      <c r="K69">
        <v>0</v>
      </c>
      <c r="L69">
        <v>1</v>
      </c>
      <c r="M69" s="1">
        <v>300</v>
      </c>
      <c r="N69">
        <v>67</v>
      </c>
      <c r="O69">
        <v>0</v>
      </c>
      <c r="P69">
        <v>0</v>
      </c>
      <c r="Q69">
        <v>3</v>
      </c>
      <c r="R69">
        <v>0</v>
      </c>
      <c r="S69">
        <v>0</v>
      </c>
      <c r="T69" s="1">
        <v>240</v>
      </c>
      <c r="U69">
        <v>67</v>
      </c>
      <c r="V69">
        <v>0</v>
      </c>
      <c r="W69">
        <v>1</v>
      </c>
      <c r="X69">
        <v>0</v>
      </c>
      <c r="Y69">
        <v>0</v>
      </c>
      <c r="Z69">
        <v>0</v>
      </c>
      <c r="AA69" s="1">
        <v>100</v>
      </c>
      <c r="AB69">
        <v>67</v>
      </c>
      <c r="AC69">
        <v>1</v>
      </c>
      <c r="AD69">
        <v>0</v>
      </c>
      <c r="AE69">
        <v>0</v>
      </c>
      <c r="AF69">
        <v>0</v>
      </c>
      <c r="AG69">
        <v>0</v>
      </c>
      <c r="AH69" s="1">
        <v>120</v>
      </c>
      <c r="AI69">
        <v>67</v>
      </c>
      <c r="AJ69">
        <v>0</v>
      </c>
      <c r="AK69">
        <v>0</v>
      </c>
      <c r="AL69">
        <v>0</v>
      </c>
      <c r="AM69">
        <v>0</v>
      </c>
      <c r="AN69">
        <v>2</v>
      </c>
      <c r="AO69" s="1">
        <v>300</v>
      </c>
    </row>
    <row r="70" spans="1:41" x14ac:dyDescent="0.35">
      <c r="A70">
        <v>0</v>
      </c>
      <c r="B70">
        <v>0.65079365079365081</v>
      </c>
      <c r="C70">
        <v>0</v>
      </c>
      <c r="G70">
        <v>68</v>
      </c>
      <c r="H70">
        <v>0</v>
      </c>
      <c r="I70">
        <v>1</v>
      </c>
      <c r="J70">
        <v>1</v>
      </c>
      <c r="K70">
        <v>0</v>
      </c>
      <c r="L70">
        <v>1</v>
      </c>
      <c r="M70" s="1">
        <v>180</v>
      </c>
      <c r="N70">
        <v>68</v>
      </c>
      <c r="O70">
        <v>0</v>
      </c>
      <c r="P70">
        <v>0</v>
      </c>
      <c r="Q70">
        <v>0</v>
      </c>
      <c r="R70">
        <v>0</v>
      </c>
      <c r="S70">
        <v>0</v>
      </c>
      <c r="T70" s="1">
        <v>0</v>
      </c>
      <c r="U70">
        <v>68</v>
      </c>
      <c r="V70">
        <v>0</v>
      </c>
      <c r="W70">
        <v>0</v>
      </c>
      <c r="X70">
        <v>0</v>
      </c>
      <c r="Y70">
        <v>0</v>
      </c>
      <c r="Z70">
        <v>1</v>
      </c>
      <c r="AA70" s="1">
        <v>100</v>
      </c>
      <c r="AB70">
        <v>68</v>
      </c>
      <c r="AC70">
        <v>2</v>
      </c>
      <c r="AD70">
        <v>0</v>
      </c>
      <c r="AE70">
        <v>0</v>
      </c>
      <c r="AF70">
        <v>0</v>
      </c>
      <c r="AG70">
        <v>0</v>
      </c>
      <c r="AH70" s="1">
        <v>240</v>
      </c>
      <c r="AI70">
        <v>68</v>
      </c>
      <c r="AJ70">
        <v>0</v>
      </c>
      <c r="AK70">
        <v>0</v>
      </c>
      <c r="AL70">
        <v>0</v>
      </c>
      <c r="AM70">
        <v>0</v>
      </c>
      <c r="AN70">
        <v>0</v>
      </c>
      <c r="AO70" s="1">
        <v>0</v>
      </c>
    </row>
    <row r="71" spans="1:41" x14ac:dyDescent="0.35">
      <c r="A71">
        <v>0.65079365079365081</v>
      </c>
      <c r="B71">
        <v>0.87301587301587302</v>
      </c>
      <c r="C71">
        <v>1</v>
      </c>
      <c r="G71">
        <v>69</v>
      </c>
      <c r="H71">
        <v>1</v>
      </c>
      <c r="I71">
        <v>1</v>
      </c>
      <c r="J71">
        <v>0</v>
      </c>
      <c r="K71">
        <v>4</v>
      </c>
      <c r="L71">
        <v>2</v>
      </c>
      <c r="M71" s="1">
        <v>480</v>
      </c>
      <c r="N71">
        <v>69</v>
      </c>
      <c r="O71">
        <v>0</v>
      </c>
      <c r="P71">
        <v>0</v>
      </c>
      <c r="Q71">
        <v>1</v>
      </c>
      <c r="R71">
        <v>0</v>
      </c>
      <c r="S71">
        <v>0</v>
      </c>
      <c r="T71" s="1">
        <v>80</v>
      </c>
      <c r="U71">
        <v>69</v>
      </c>
      <c r="V71">
        <v>0</v>
      </c>
      <c r="W71">
        <v>0</v>
      </c>
      <c r="X71">
        <v>0</v>
      </c>
      <c r="Y71">
        <v>0</v>
      </c>
      <c r="Z71">
        <v>0</v>
      </c>
      <c r="AA71" s="1">
        <v>0</v>
      </c>
      <c r="AB71">
        <v>69</v>
      </c>
      <c r="AC71">
        <v>0</v>
      </c>
      <c r="AD71">
        <v>0</v>
      </c>
      <c r="AE71">
        <v>0</v>
      </c>
      <c r="AF71">
        <v>0</v>
      </c>
      <c r="AG71">
        <v>0</v>
      </c>
      <c r="AH71" s="1">
        <v>0</v>
      </c>
      <c r="AI71">
        <v>69</v>
      </c>
      <c r="AJ71">
        <v>0</v>
      </c>
      <c r="AK71">
        <v>0</v>
      </c>
      <c r="AL71">
        <v>1</v>
      </c>
      <c r="AM71">
        <v>0</v>
      </c>
      <c r="AN71">
        <v>0</v>
      </c>
      <c r="AO71" s="1">
        <v>150</v>
      </c>
    </row>
    <row r="72" spans="1:41" x14ac:dyDescent="0.35">
      <c r="A72">
        <v>0.87301587301587302</v>
      </c>
      <c r="B72">
        <v>0.95238095238095233</v>
      </c>
      <c r="C72">
        <v>2</v>
      </c>
      <c r="G72">
        <v>70</v>
      </c>
      <c r="H72">
        <v>1</v>
      </c>
      <c r="I72">
        <v>1</v>
      </c>
      <c r="J72">
        <v>0</v>
      </c>
      <c r="K72">
        <v>0</v>
      </c>
      <c r="L72">
        <v>2</v>
      </c>
      <c r="M72" s="1">
        <v>240</v>
      </c>
      <c r="N72">
        <v>70</v>
      </c>
      <c r="O72">
        <v>1</v>
      </c>
      <c r="P72">
        <v>0</v>
      </c>
      <c r="Q72">
        <v>3</v>
      </c>
      <c r="R72">
        <v>0</v>
      </c>
      <c r="S72">
        <v>0</v>
      </c>
      <c r="T72" s="1">
        <v>320</v>
      </c>
      <c r="U72">
        <v>70</v>
      </c>
      <c r="V72">
        <v>0</v>
      </c>
      <c r="W72">
        <v>0</v>
      </c>
      <c r="X72">
        <v>0</v>
      </c>
      <c r="Y72">
        <v>0</v>
      </c>
      <c r="Z72">
        <v>0</v>
      </c>
      <c r="AA72" s="1">
        <v>0</v>
      </c>
      <c r="AB72">
        <v>70</v>
      </c>
      <c r="AC72">
        <v>0</v>
      </c>
      <c r="AD72">
        <v>0</v>
      </c>
      <c r="AE72">
        <v>0</v>
      </c>
      <c r="AF72">
        <v>0</v>
      </c>
      <c r="AG72">
        <v>0</v>
      </c>
      <c r="AH72" s="1">
        <v>0</v>
      </c>
      <c r="AI72">
        <v>70</v>
      </c>
      <c r="AJ72">
        <v>0</v>
      </c>
      <c r="AK72">
        <v>0</v>
      </c>
      <c r="AL72">
        <v>2</v>
      </c>
      <c r="AM72">
        <v>0</v>
      </c>
      <c r="AN72">
        <v>2</v>
      </c>
      <c r="AO72" s="1">
        <v>600</v>
      </c>
    </row>
    <row r="73" spans="1:41" x14ac:dyDescent="0.35">
      <c r="A73">
        <v>0.95238095238095233</v>
      </c>
      <c r="B73">
        <v>1</v>
      </c>
      <c r="C73">
        <v>3</v>
      </c>
      <c r="G73">
        <v>71</v>
      </c>
      <c r="H73">
        <v>0</v>
      </c>
      <c r="I73">
        <v>1</v>
      </c>
      <c r="J73">
        <v>0</v>
      </c>
      <c r="K73">
        <v>3</v>
      </c>
      <c r="L73">
        <v>0</v>
      </c>
      <c r="M73" s="1">
        <v>240</v>
      </c>
      <c r="N73">
        <v>71</v>
      </c>
      <c r="O73">
        <v>0</v>
      </c>
      <c r="P73">
        <v>0</v>
      </c>
      <c r="Q73">
        <v>0</v>
      </c>
      <c r="R73">
        <v>0</v>
      </c>
      <c r="S73">
        <v>0</v>
      </c>
      <c r="T73" s="1">
        <v>0</v>
      </c>
      <c r="U73">
        <v>71</v>
      </c>
      <c r="V73">
        <v>0</v>
      </c>
      <c r="W73">
        <v>1</v>
      </c>
      <c r="X73">
        <v>0</v>
      </c>
      <c r="Y73">
        <v>0</v>
      </c>
      <c r="Z73">
        <v>0</v>
      </c>
      <c r="AA73" s="1">
        <v>100</v>
      </c>
      <c r="AB73">
        <v>71</v>
      </c>
      <c r="AC73">
        <v>0</v>
      </c>
      <c r="AD73">
        <v>0</v>
      </c>
      <c r="AE73">
        <v>0</v>
      </c>
      <c r="AF73">
        <v>0</v>
      </c>
      <c r="AG73">
        <v>1</v>
      </c>
      <c r="AH73" s="1">
        <v>120</v>
      </c>
      <c r="AI73">
        <v>71</v>
      </c>
      <c r="AJ73">
        <v>0</v>
      </c>
      <c r="AK73">
        <v>0</v>
      </c>
      <c r="AL73">
        <v>3</v>
      </c>
      <c r="AM73">
        <v>0</v>
      </c>
      <c r="AN73">
        <v>0</v>
      </c>
      <c r="AO73" s="1">
        <v>450</v>
      </c>
    </row>
    <row r="74" spans="1:41" x14ac:dyDescent="0.35">
      <c r="A74" t="s">
        <v>156</v>
      </c>
      <c r="B74" t="s">
        <v>157</v>
      </c>
      <c r="C74" t="s">
        <v>142</v>
      </c>
      <c r="G74">
        <v>72</v>
      </c>
      <c r="H74">
        <v>1</v>
      </c>
      <c r="I74">
        <v>4</v>
      </c>
      <c r="J74">
        <v>0</v>
      </c>
      <c r="K74">
        <v>0</v>
      </c>
      <c r="L74">
        <v>1</v>
      </c>
      <c r="M74" s="1">
        <v>360</v>
      </c>
      <c r="N74">
        <v>72</v>
      </c>
      <c r="O74">
        <v>0</v>
      </c>
      <c r="P74">
        <v>0</v>
      </c>
      <c r="Q74">
        <v>1</v>
      </c>
      <c r="R74">
        <v>0</v>
      </c>
      <c r="S74">
        <v>1</v>
      </c>
      <c r="T74" s="1">
        <v>160</v>
      </c>
      <c r="U74">
        <v>72</v>
      </c>
      <c r="V74">
        <v>0</v>
      </c>
      <c r="W74">
        <v>0</v>
      </c>
      <c r="X74">
        <v>0</v>
      </c>
      <c r="Y74">
        <v>0</v>
      </c>
      <c r="Z74">
        <v>0</v>
      </c>
      <c r="AA74" s="1">
        <v>0</v>
      </c>
      <c r="AB74">
        <v>72</v>
      </c>
      <c r="AC74">
        <v>0</v>
      </c>
      <c r="AD74">
        <v>0</v>
      </c>
      <c r="AE74">
        <v>0</v>
      </c>
      <c r="AF74">
        <v>0</v>
      </c>
      <c r="AG74">
        <v>0</v>
      </c>
      <c r="AH74" s="1">
        <v>0</v>
      </c>
      <c r="AI74">
        <v>72</v>
      </c>
      <c r="AJ74">
        <v>0</v>
      </c>
      <c r="AK74">
        <v>0</v>
      </c>
      <c r="AL74">
        <v>2</v>
      </c>
      <c r="AM74">
        <v>0</v>
      </c>
      <c r="AN74">
        <v>0</v>
      </c>
      <c r="AO74" s="1">
        <v>300</v>
      </c>
    </row>
    <row r="75" spans="1:41" x14ac:dyDescent="0.35">
      <c r="A75">
        <v>0</v>
      </c>
      <c r="B75">
        <v>0.89130434782608692</v>
      </c>
      <c r="C75">
        <v>0</v>
      </c>
      <c r="G75">
        <v>73</v>
      </c>
      <c r="H75">
        <v>0</v>
      </c>
      <c r="I75">
        <v>0</v>
      </c>
      <c r="J75">
        <v>0</v>
      </c>
      <c r="K75">
        <v>3</v>
      </c>
      <c r="L75">
        <v>0</v>
      </c>
      <c r="M75" s="1">
        <v>180</v>
      </c>
      <c r="N75">
        <v>73</v>
      </c>
      <c r="O75">
        <v>0</v>
      </c>
      <c r="P75">
        <v>0</v>
      </c>
      <c r="Q75">
        <v>0</v>
      </c>
      <c r="R75">
        <v>0</v>
      </c>
      <c r="S75">
        <v>0</v>
      </c>
      <c r="T75" s="1">
        <v>0</v>
      </c>
      <c r="U75">
        <v>73</v>
      </c>
      <c r="V75">
        <v>0</v>
      </c>
      <c r="W75">
        <v>0</v>
      </c>
      <c r="X75">
        <v>0</v>
      </c>
      <c r="Y75">
        <v>0</v>
      </c>
      <c r="Z75">
        <v>0</v>
      </c>
      <c r="AA75" s="1">
        <v>0</v>
      </c>
      <c r="AB75">
        <v>73</v>
      </c>
      <c r="AC75">
        <v>0</v>
      </c>
      <c r="AD75">
        <v>0</v>
      </c>
      <c r="AE75">
        <v>0</v>
      </c>
      <c r="AF75">
        <v>0</v>
      </c>
      <c r="AG75">
        <v>1</v>
      </c>
      <c r="AH75" s="1">
        <v>120</v>
      </c>
      <c r="AI75">
        <v>73</v>
      </c>
      <c r="AJ75">
        <v>0</v>
      </c>
      <c r="AK75">
        <v>0</v>
      </c>
      <c r="AL75">
        <v>0</v>
      </c>
      <c r="AM75">
        <v>0</v>
      </c>
      <c r="AN75">
        <v>0</v>
      </c>
      <c r="AO75" s="1">
        <v>0</v>
      </c>
    </row>
    <row r="76" spans="1:41" x14ac:dyDescent="0.35">
      <c r="A76">
        <v>0.89130434782608692</v>
      </c>
      <c r="B76">
        <v>1</v>
      </c>
      <c r="C76">
        <v>1</v>
      </c>
      <c r="G76">
        <v>74</v>
      </c>
      <c r="H76">
        <v>1</v>
      </c>
      <c r="I76">
        <v>2</v>
      </c>
      <c r="J76">
        <v>2</v>
      </c>
      <c r="K76">
        <v>2</v>
      </c>
      <c r="L76">
        <v>1</v>
      </c>
      <c r="M76" s="1">
        <v>480</v>
      </c>
      <c r="N76">
        <v>74</v>
      </c>
      <c r="O76">
        <v>2</v>
      </c>
      <c r="P76">
        <v>0</v>
      </c>
      <c r="Q76">
        <v>1</v>
      </c>
      <c r="R76">
        <v>0</v>
      </c>
      <c r="S76">
        <v>1</v>
      </c>
      <c r="T76" s="1">
        <v>320</v>
      </c>
      <c r="U76">
        <v>74</v>
      </c>
      <c r="V76">
        <v>0</v>
      </c>
      <c r="W76">
        <v>0</v>
      </c>
      <c r="X76">
        <v>0</v>
      </c>
      <c r="Y76">
        <v>1</v>
      </c>
      <c r="Z76">
        <v>0</v>
      </c>
      <c r="AA76" s="1">
        <v>100</v>
      </c>
      <c r="AB76">
        <v>74</v>
      </c>
      <c r="AC76">
        <v>0</v>
      </c>
      <c r="AD76">
        <v>0</v>
      </c>
      <c r="AE76">
        <v>0</v>
      </c>
      <c r="AF76">
        <v>0</v>
      </c>
      <c r="AG76">
        <v>0</v>
      </c>
      <c r="AH76" s="1">
        <v>0</v>
      </c>
      <c r="AI76">
        <v>74</v>
      </c>
      <c r="AJ76">
        <v>0</v>
      </c>
      <c r="AK76">
        <v>0</v>
      </c>
      <c r="AL76">
        <v>0</v>
      </c>
      <c r="AM76">
        <v>0</v>
      </c>
      <c r="AN76">
        <v>0</v>
      </c>
      <c r="AO76" s="1">
        <v>0</v>
      </c>
    </row>
    <row r="77" spans="1:41" x14ac:dyDescent="0.35">
      <c r="A77" t="s">
        <v>156</v>
      </c>
      <c r="B77" t="s">
        <v>157</v>
      </c>
      <c r="C77" t="s">
        <v>143</v>
      </c>
      <c r="G77">
        <v>75</v>
      </c>
      <c r="H77">
        <v>1</v>
      </c>
      <c r="I77">
        <v>0</v>
      </c>
      <c r="J77">
        <v>0</v>
      </c>
      <c r="K77">
        <v>2</v>
      </c>
      <c r="L77">
        <v>0</v>
      </c>
      <c r="M77" s="1">
        <v>180</v>
      </c>
      <c r="N77">
        <v>75</v>
      </c>
      <c r="O77">
        <v>0</v>
      </c>
      <c r="P77">
        <v>1</v>
      </c>
      <c r="Q77">
        <v>0</v>
      </c>
      <c r="R77">
        <v>1</v>
      </c>
      <c r="S77">
        <v>0</v>
      </c>
      <c r="T77" s="1">
        <v>160</v>
      </c>
      <c r="U77">
        <v>75</v>
      </c>
      <c r="V77">
        <v>0</v>
      </c>
      <c r="W77">
        <v>3</v>
      </c>
      <c r="X77">
        <v>0</v>
      </c>
      <c r="Y77">
        <v>0</v>
      </c>
      <c r="Z77">
        <v>0</v>
      </c>
      <c r="AA77" s="1">
        <v>300</v>
      </c>
      <c r="AB77">
        <v>75</v>
      </c>
      <c r="AC77">
        <v>0</v>
      </c>
      <c r="AD77">
        <v>0</v>
      </c>
      <c r="AE77">
        <v>0</v>
      </c>
      <c r="AF77">
        <v>1</v>
      </c>
      <c r="AG77">
        <v>0</v>
      </c>
      <c r="AH77" s="1">
        <v>120</v>
      </c>
      <c r="AI77">
        <v>75</v>
      </c>
      <c r="AJ77">
        <v>0</v>
      </c>
      <c r="AK77">
        <v>0</v>
      </c>
      <c r="AL77">
        <v>0</v>
      </c>
      <c r="AM77">
        <v>0</v>
      </c>
      <c r="AN77">
        <v>0</v>
      </c>
      <c r="AO77" s="1">
        <v>0</v>
      </c>
    </row>
    <row r="78" spans="1:41" x14ac:dyDescent="0.35">
      <c r="A78">
        <v>0</v>
      </c>
      <c r="B78">
        <v>0.91304347826086951</v>
      </c>
      <c r="C78">
        <v>0</v>
      </c>
      <c r="G78">
        <v>76</v>
      </c>
      <c r="H78">
        <v>1</v>
      </c>
      <c r="I78">
        <v>0</v>
      </c>
      <c r="J78">
        <v>1</v>
      </c>
      <c r="K78">
        <v>0</v>
      </c>
      <c r="L78">
        <v>0</v>
      </c>
      <c r="M78" s="1">
        <v>120</v>
      </c>
      <c r="N78">
        <v>76</v>
      </c>
      <c r="O78">
        <v>2</v>
      </c>
      <c r="P78">
        <v>0</v>
      </c>
      <c r="Q78">
        <v>2</v>
      </c>
      <c r="R78">
        <v>0</v>
      </c>
      <c r="S78">
        <v>1</v>
      </c>
      <c r="T78" s="1">
        <v>400</v>
      </c>
      <c r="U78">
        <v>76</v>
      </c>
      <c r="V78">
        <v>0</v>
      </c>
      <c r="W78">
        <v>0</v>
      </c>
      <c r="X78">
        <v>0</v>
      </c>
      <c r="Y78">
        <v>0</v>
      </c>
      <c r="Z78">
        <v>1</v>
      </c>
      <c r="AA78" s="1">
        <v>100</v>
      </c>
      <c r="AB78">
        <v>76</v>
      </c>
      <c r="AC78">
        <v>0</v>
      </c>
      <c r="AD78">
        <v>0</v>
      </c>
      <c r="AE78">
        <v>0</v>
      </c>
      <c r="AF78">
        <v>0</v>
      </c>
      <c r="AG78">
        <v>0</v>
      </c>
      <c r="AH78" s="1">
        <v>0</v>
      </c>
      <c r="AI78">
        <v>76</v>
      </c>
      <c r="AJ78">
        <v>0</v>
      </c>
      <c r="AK78">
        <v>0</v>
      </c>
      <c r="AL78">
        <v>0</v>
      </c>
      <c r="AM78">
        <v>0</v>
      </c>
      <c r="AN78">
        <v>0</v>
      </c>
      <c r="AO78" s="1">
        <v>0</v>
      </c>
    </row>
    <row r="79" spans="1:41" x14ac:dyDescent="0.35">
      <c r="A79">
        <v>0.91304347826086951</v>
      </c>
      <c r="B79">
        <v>0.99275362318840576</v>
      </c>
      <c r="C79">
        <v>1</v>
      </c>
      <c r="G79">
        <v>77</v>
      </c>
      <c r="H79">
        <v>0</v>
      </c>
      <c r="I79">
        <v>0</v>
      </c>
      <c r="J79">
        <v>1</v>
      </c>
      <c r="K79">
        <v>0</v>
      </c>
      <c r="L79">
        <v>0</v>
      </c>
      <c r="M79" s="1">
        <v>60</v>
      </c>
      <c r="N79">
        <v>77</v>
      </c>
      <c r="O79">
        <v>0</v>
      </c>
      <c r="P79">
        <v>0</v>
      </c>
      <c r="Q79">
        <v>1</v>
      </c>
      <c r="R79">
        <v>0</v>
      </c>
      <c r="S79">
        <v>0</v>
      </c>
      <c r="T79" s="1">
        <v>80</v>
      </c>
      <c r="U79">
        <v>77</v>
      </c>
      <c r="V79">
        <v>0</v>
      </c>
      <c r="W79">
        <v>1</v>
      </c>
      <c r="X79">
        <v>1</v>
      </c>
      <c r="Y79">
        <v>0</v>
      </c>
      <c r="Z79">
        <v>1</v>
      </c>
      <c r="AA79" s="1">
        <v>300</v>
      </c>
      <c r="AB79">
        <v>77</v>
      </c>
      <c r="AC79">
        <v>0</v>
      </c>
      <c r="AD79">
        <v>0</v>
      </c>
      <c r="AE79">
        <v>0</v>
      </c>
      <c r="AF79">
        <v>0</v>
      </c>
      <c r="AG79">
        <v>0</v>
      </c>
      <c r="AH79" s="1">
        <v>0</v>
      </c>
      <c r="AI79">
        <v>77</v>
      </c>
      <c r="AJ79">
        <v>0</v>
      </c>
      <c r="AK79">
        <v>0</v>
      </c>
      <c r="AL79">
        <v>1</v>
      </c>
      <c r="AM79">
        <v>0</v>
      </c>
      <c r="AN79">
        <v>0</v>
      </c>
      <c r="AO79" s="1">
        <v>150</v>
      </c>
    </row>
    <row r="80" spans="1:41" x14ac:dyDescent="0.35">
      <c r="A80">
        <v>0.99275362318840576</v>
      </c>
      <c r="B80">
        <v>1</v>
      </c>
      <c r="C80">
        <v>2</v>
      </c>
      <c r="G80">
        <v>78</v>
      </c>
      <c r="H80">
        <v>1</v>
      </c>
      <c r="I80">
        <v>0</v>
      </c>
      <c r="J80">
        <v>1</v>
      </c>
      <c r="K80">
        <v>0</v>
      </c>
      <c r="L80">
        <v>2</v>
      </c>
      <c r="M80" s="1">
        <v>240</v>
      </c>
      <c r="N80">
        <v>78</v>
      </c>
      <c r="O80">
        <v>3</v>
      </c>
      <c r="P80">
        <v>0</v>
      </c>
      <c r="Q80">
        <v>1</v>
      </c>
      <c r="R80">
        <v>0</v>
      </c>
      <c r="S80">
        <v>0</v>
      </c>
      <c r="T80" s="1">
        <v>320</v>
      </c>
      <c r="U80">
        <v>78</v>
      </c>
      <c r="V80">
        <v>0</v>
      </c>
      <c r="W80">
        <v>1</v>
      </c>
      <c r="X80">
        <v>0</v>
      </c>
      <c r="Y80">
        <v>0</v>
      </c>
      <c r="Z80">
        <v>0</v>
      </c>
      <c r="AA80" s="1">
        <v>100</v>
      </c>
      <c r="AB80">
        <v>78</v>
      </c>
      <c r="AC80">
        <v>0</v>
      </c>
      <c r="AD80">
        <v>0</v>
      </c>
      <c r="AE80">
        <v>0</v>
      </c>
      <c r="AF80">
        <v>0</v>
      </c>
      <c r="AG80">
        <v>0</v>
      </c>
      <c r="AH80" s="1">
        <v>0</v>
      </c>
      <c r="AI80">
        <v>78</v>
      </c>
      <c r="AJ80">
        <v>0</v>
      </c>
      <c r="AK80">
        <v>0</v>
      </c>
      <c r="AL80">
        <v>0</v>
      </c>
      <c r="AM80">
        <v>0</v>
      </c>
      <c r="AN80">
        <v>0</v>
      </c>
      <c r="AO80" s="1">
        <v>0</v>
      </c>
    </row>
    <row r="81" spans="1:41" x14ac:dyDescent="0.35">
      <c r="A81" t="s">
        <v>156</v>
      </c>
      <c r="B81" t="s">
        <v>157</v>
      </c>
      <c r="C81" t="s">
        <v>144</v>
      </c>
      <c r="G81">
        <v>79</v>
      </c>
      <c r="H81">
        <v>0</v>
      </c>
      <c r="I81">
        <v>0</v>
      </c>
      <c r="J81">
        <v>1</v>
      </c>
      <c r="K81">
        <v>2</v>
      </c>
      <c r="L81">
        <v>1</v>
      </c>
      <c r="M81" s="1">
        <v>240</v>
      </c>
      <c r="N81">
        <v>79</v>
      </c>
      <c r="O81">
        <v>1</v>
      </c>
      <c r="P81">
        <v>0</v>
      </c>
      <c r="Q81">
        <v>0</v>
      </c>
      <c r="R81">
        <v>0</v>
      </c>
      <c r="S81">
        <v>0</v>
      </c>
      <c r="T81" s="1">
        <v>80</v>
      </c>
      <c r="U81">
        <v>79</v>
      </c>
      <c r="V81">
        <v>0</v>
      </c>
      <c r="W81">
        <v>0</v>
      </c>
      <c r="X81">
        <v>0</v>
      </c>
      <c r="Y81">
        <v>0</v>
      </c>
      <c r="Z81">
        <v>0</v>
      </c>
      <c r="AA81" s="1">
        <v>0</v>
      </c>
      <c r="AB81">
        <v>79</v>
      </c>
      <c r="AC81">
        <v>0</v>
      </c>
      <c r="AD81">
        <v>0</v>
      </c>
      <c r="AE81">
        <v>0</v>
      </c>
      <c r="AF81">
        <v>1</v>
      </c>
      <c r="AG81">
        <v>0</v>
      </c>
      <c r="AH81" s="1">
        <v>120</v>
      </c>
      <c r="AI81">
        <v>79</v>
      </c>
      <c r="AJ81">
        <v>0</v>
      </c>
      <c r="AK81">
        <v>1</v>
      </c>
      <c r="AL81">
        <v>0</v>
      </c>
      <c r="AM81">
        <v>0</v>
      </c>
      <c r="AN81">
        <v>0</v>
      </c>
      <c r="AO81" s="1">
        <v>150</v>
      </c>
    </row>
    <row r="82" spans="1:41" x14ac:dyDescent="0.35">
      <c r="A82">
        <v>0</v>
      </c>
      <c r="B82">
        <v>0.88405797101449279</v>
      </c>
      <c r="C82">
        <v>0</v>
      </c>
      <c r="G82">
        <v>80</v>
      </c>
      <c r="H82">
        <v>0</v>
      </c>
      <c r="I82">
        <v>0</v>
      </c>
      <c r="J82">
        <v>3</v>
      </c>
      <c r="K82">
        <v>2</v>
      </c>
      <c r="L82">
        <v>1</v>
      </c>
      <c r="M82" s="1">
        <v>360</v>
      </c>
      <c r="N82">
        <v>80</v>
      </c>
      <c r="O82">
        <v>0</v>
      </c>
      <c r="P82">
        <v>0</v>
      </c>
      <c r="Q82">
        <v>0</v>
      </c>
      <c r="R82">
        <v>0</v>
      </c>
      <c r="S82">
        <v>0</v>
      </c>
      <c r="T82" s="1">
        <v>0</v>
      </c>
      <c r="U82">
        <v>80</v>
      </c>
      <c r="V82">
        <v>0</v>
      </c>
      <c r="W82">
        <v>0</v>
      </c>
      <c r="X82">
        <v>0</v>
      </c>
      <c r="Y82">
        <v>0</v>
      </c>
      <c r="Z82">
        <v>1</v>
      </c>
      <c r="AA82" s="1">
        <v>100</v>
      </c>
      <c r="AB82">
        <v>80</v>
      </c>
      <c r="AC82">
        <v>0</v>
      </c>
      <c r="AD82">
        <v>0</v>
      </c>
      <c r="AE82">
        <v>0</v>
      </c>
      <c r="AF82">
        <v>0</v>
      </c>
      <c r="AG82">
        <v>0</v>
      </c>
      <c r="AH82" s="1">
        <v>0</v>
      </c>
      <c r="AI82">
        <v>80</v>
      </c>
      <c r="AJ82">
        <v>0</v>
      </c>
      <c r="AK82">
        <v>0</v>
      </c>
      <c r="AL82">
        <v>0</v>
      </c>
      <c r="AM82">
        <v>0</v>
      </c>
      <c r="AN82">
        <v>0</v>
      </c>
      <c r="AO82" s="1">
        <v>0</v>
      </c>
    </row>
    <row r="83" spans="1:41" x14ac:dyDescent="0.35">
      <c r="A83">
        <v>0.88405797101449279</v>
      </c>
      <c r="B83">
        <v>1</v>
      </c>
      <c r="C83">
        <v>1</v>
      </c>
      <c r="G83">
        <v>81</v>
      </c>
      <c r="H83">
        <v>1</v>
      </c>
      <c r="I83">
        <v>0</v>
      </c>
      <c r="J83">
        <v>1</v>
      </c>
      <c r="K83">
        <v>0</v>
      </c>
      <c r="L83">
        <v>1</v>
      </c>
      <c r="M83" s="1">
        <v>180</v>
      </c>
      <c r="N83">
        <v>81</v>
      </c>
      <c r="O83">
        <v>1</v>
      </c>
      <c r="P83">
        <v>2</v>
      </c>
      <c r="Q83">
        <v>0</v>
      </c>
      <c r="R83">
        <v>0</v>
      </c>
      <c r="S83">
        <v>1</v>
      </c>
      <c r="T83" s="1">
        <v>320</v>
      </c>
      <c r="U83">
        <v>81</v>
      </c>
      <c r="V83">
        <v>0</v>
      </c>
      <c r="W83">
        <v>1</v>
      </c>
      <c r="X83">
        <v>0</v>
      </c>
      <c r="Y83">
        <v>0</v>
      </c>
      <c r="Z83">
        <v>0</v>
      </c>
      <c r="AA83" s="1">
        <v>100</v>
      </c>
      <c r="AB83">
        <v>81</v>
      </c>
      <c r="AC83">
        <v>0</v>
      </c>
      <c r="AD83">
        <v>0</v>
      </c>
      <c r="AE83">
        <v>0</v>
      </c>
      <c r="AF83">
        <v>0</v>
      </c>
      <c r="AG83">
        <v>0</v>
      </c>
      <c r="AH83" s="1">
        <v>0</v>
      </c>
      <c r="AI83">
        <v>81</v>
      </c>
      <c r="AJ83">
        <v>0</v>
      </c>
      <c r="AK83">
        <v>0</v>
      </c>
      <c r="AL83">
        <v>1</v>
      </c>
      <c r="AM83">
        <v>0</v>
      </c>
      <c r="AN83">
        <v>0</v>
      </c>
      <c r="AO83" s="1">
        <v>150</v>
      </c>
    </row>
    <row r="84" spans="1:41" x14ac:dyDescent="0.35">
      <c r="A84" s="31" t="s">
        <v>186</v>
      </c>
      <c r="B84" s="30"/>
      <c r="C84" s="30"/>
      <c r="G84">
        <v>82</v>
      </c>
      <c r="H84">
        <v>0</v>
      </c>
      <c r="I84">
        <v>0</v>
      </c>
      <c r="J84">
        <v>2</v>
      </c>
      <c r="K84">
        <v>1</v>
      </c>
      <c r="L84">
        <v>2</v>
      </c>
      <c r="M84" s="1">
        <v>300</v>
      </c>
      <c r="N84">
        <v>82</v>
      </c>
      <c r="O84">
        <v>0</v>
      </c>
      <c r="P84">
        <v>0</v>
      </c>
      <c r="Q84">
        <v>2</v>
      </c>
      <c r="R84">
        <v>0</v>
      </c>
      <c r="S84">
        <v>0</v>
      </c>
      <c r="T84" s="1">
        <v>160</v>
      </c>
      <c r="U84">
        <v>82</v>
      </c>
      <c r="V84">
        <v>0</v>
      </c>
      <c r="W84">
        <v>1</v>
      </c>
      <c r="X84">
        <v>0</v>
      </c>
      <c r="Y84">
        <v>0</v>
      </c>
      <c r="Z84">
        <v>0</v>
      </c>
      <c r="AA84" s="1">
        <v>100</v>
      </c>
      <c r="AB84">
        <v>82</v>
      </c>
      <c r="AC84">
        <v>0</v>
      </c>
      <c r="AD84">
        <v>0</v>
      </c>
      <c r="AE84">
        <v>0</v>
      </c>
      <c r="AF84">
        <v>0</v>
      </c>
      <c r="AG84">
        <v>1</v>
      </c>
      <c r="AH84" s="1">
        <v>120</v>
      </c>
      <c r="AI84">
        <v>82</v>
      </c>
      <c r="AJ84">
        <v>0</v>
      </c>
      <c r="AK84">
        <v>0</v>
      </c>
      <c r="AL84">
        <v>0</v>
      </c>
      <c r="AM84">
        <v>0</v>
      </c>
      <c r="AN84">
        <v>0</v>
      </c>
      <c r="AO84" s="1">
        <v>0</v>
      </c>
    </row>
    <row r="85" spans="1:41" x14ac:dyDescent="0.35">
      <c r="A85" t="s">
        <v>156</v>
      </c>
      <c r="B85" t="s">
        <v>157</v>
      </c>
      <c r="C85" t="s">
        <v>140</v>
      </c>
      <c r="G85">
        <v>83</v>
      </c>
      <c r="H85">
        <v>2</v>
      </c>
      <c r="I85">
        <v>1</v>
      </c>
      <c r="J85">
        <v>0</v>
      </c>
      <c r="K85">
        <v>2</v>
      </c>
      <c r="L85">
        <v>2</v>
      </c>
      <c r="M85" s="1">
        <v>420</v>
      </c>
      <c r="N85">
        <v>83</v>
      </c>
      <c r="O85">
        <v>0</v>
      </c>
      <c r="P85">
        <v>0</v>
      </c>
      <c r="Q85">
        <v>3</v>
      </c>
      <c r="R85">
        <v>0</v>
      </c>
      <c r="S85">
        <v>0</v>
      </c>
      <c r="T85" s="1">
        <v>240</v>
      </c>
      <c r="U85">
        <v>83</v>
      </c>
      <c r="V85">
        <v>0</v>
      </c>
      <c r="W85">
        <v>0</v>
      </c>
      <c r="X85">
        <v>0</v>
      </c>
      <c r="Y85">
        <v>0</v>
      </c>
      <c r="Z85">
        <v>0</v>
      </c>
      <c r="AA85" s="1">
        <v>0</v>
      </c>
      <c r="AB85">
        <v>83</v>
      </c>
      <c r="AC85">
        <v>0</v>
      </c>
      <c r="AD85">
        <v>0</v>
      </c>
      <c r="AE85">
        <v>0</v>
      </c>
      <c r="AF85">
        <v>0</v>
      </c>
      <c r="AG85">
        <v>0</v>
      </c>
      <c r="AH85" s="1">
        <v>0</v>
      </c>
      <c r="AI85">
        <v>83</v>
      </c>
      <c r="AJ85">
        <v>0</v>
      </c>
      <c r="AK85">
        <v>0</v>
      </c>
      <c r="AL85">
        <v>0</v>
      </c>
      <c r="AM85">
        <v>0</v>
      </c>
      <c r="AN85">
        <v>0</v>
      </c>
      <c r="AO85" s="1">
        <v>0</v>
      </c>
    </row>
    <row r="86" spans="1:41" x14ac:dyDescent="0.35">
      <c r="A86">
        <v>0</v>
      </c>
      <c r="B86">
        <v>0.94202898550724634</v>
      </c>
      <c r="C86">
        <v>0</v>
      </c>
      <c r="G86">
        <v>84</v>
      </c>
      <c r="H86">
        <v>1</v>
      </c>
      <c r="I86">
        <v>0</v>
      </c>
      <c r="J86">
        <v>0</v>
      </c>
      <c r="K86">
        <v>2</v>
      </c>
      <c r="L86">
        <v>0</v>
      </c>
      <c r="M86" s="1">
        <v>180</v>
      </c>
      <c r="N86">
        <v>84</v>
      </c>
      <c r="O86">
        <v>0</v>
      </c>
      <c r="P86">
        <v>2</v>
      </c>
      <c r="Q86">
        <v>0</v>
      </c>
      <c r="R86">
        <v>0</v>
      </c>
      <c r="S86">
        <v>0</v>
      </c>
      <c r="T86" s="1">
        <v>160</v>
      </c>
      <c r="U86">
        <v>84</v>
      </c>
      <c r="V86">
        <v>0</v>
      </c>
      <c r="W86">
        <v>0</v>
      </c>
      <c r="X86">
        <v>1</v>
      </c>
      <c r="Y86">
        <v>0</v>
      </c>
      <c r="Z86">
        <v>0</v>
      </c>
      <c r="AA86" s="1">
        <v>100</v>
      </c>
      <c r="AB86">
        <v>84</v>
      </c>
      <c r="AC86">
        <v>0</v>
      </c>
      <c r="AD86">
        <v>0</v>
      </c>
      <c r="AE86">
        <v>0</v>
      </c>
      <c r="AF86">
        <v>0</v>
      </c>
      <c r="AG86">
        <v>0</v>
      </c>
      <c r="AH86" s="1">
        <v>0</v>
      </c>
      <c r="AI86">
        <v>84</v>
      </c>
      <c r="AJ86">
        <v>0</v>
      </c>
      <c r="AK86">
        <v>0</v>
      </c>
      <c r="AL86">
        <v>0</v>
      </c>
      <c r="AM86">
        <v>0</v>
      </c>
      <c r="AN86">
        <v>0</v>
      </c>
      <c r="AO86" s="1">
        <v>0</v>
      </c>
    </row>
    <row r="87" spans="1:41" x14ac:dyDescent="0.35">
      <c r="A87">
        <v>0.94202898550724634</v>
      </c>
      <c r="B87">
        <v>0.99275362318840576</v>
      </c>
      <c r="C87">
        <v>1</v>
      </c>
      <c r="G87">
        <v>85</v>
      </c>
      <c r="H87">
        <v>0</v>
      </c>
      <c r="I87">
        <v>1</v>
      </c>
      <c r="J87">
        <v>2</v>
      </c>
      <c r="K87">
        <v>0</v>
      </c>
      <c r="L87">
        <v>1</v>
      </c>
      <c r="M87" s="1">
        <v>240</v>
      </c>
      <c r="N87">
        <v>85</v>
      </c>
      <c r="O87">
        <v>3</v>
      </c>
      <c r="P87">
        <v>0</v>
      </c>
      <c r="Q87">
        <v>0</v>
      </c>
      <c r="R87">
        <v>1</v>
      </c>
      <c r="S87">
        <v>0</v>
      </c>
      <c r="T87" s="1">
        <v>320</v>
      </c>
      <c r="U87">
        <v>85</v>
      </c>
      <c r="V87">
        <v>0</v>
      </c>
      <c r="W87">
        <v>2</v>
      </c>
      <c r="X87">
        <v>0</v>
      </c>
      <c r="Y87">
        <v>0</v>
      </c>
      <c r="Z87">
        <v>0</v>
      </c>
      <c r="AA87" s="1">
        <v>200</v>
      </c>
      <c r="AB87">
        <v>85</v>
      </c>
      <c r="AC87">
        <v>0</v>
      </c>
      <c r="AD87">
        <v>0</v>
      </c>
      <c r="AE87">
        <v>0</v>
      </c>
      <c r="AF87">
        <v>0</v>
      </c>
      <c r="AG87">
        <v>0</v>
      </c>
      <c r="AH87" s="1">
        <v>0</v>
      </c>
      <c r="AI87">
        <v>85</v>
      </c>
      <c r="AJ87">
        <v>0</v>
      </c>
      <c r="AK87">
        <v>0</v>
      </c>
      <c r="AL87">
        <v>0</v>
      </c>
      <c r="AM87">
        <v>0</v>
      </c>
      <c r="AN87">
        <v>0</v>
      </c>
      <c r="AO87" s="1">
        <v>0</v>
      </c>
    </row>
    <row r="88" spans="1:41" x14ac:dyDescent="0.35">
      <c r="A88">
        <v>0.99275362318840576</v>
      </c>
      <c r="B88">
        <v>1</v>
      </c>
      <c r="C88">
        <v>2</v>
      </c>
      <c r="G88">
        <v>86</v>
      </c>
      <c r="H88">
        <v>1</v>
      </c>
      <c r="I88">
        <v>0</v>
      </c>
      <c r="J88">
        <v>1</v>
      </c>
      <c r="K88">
        <v>0</v>
      </c>
      <c r="L88">
        <v>0</v>
      </c>
      <c r="M88" s="1">
        <v>120</v>
      </c>
      <c r="N88">
        <v>86</v>
      </c>
      <c r="O88">
        <v>1</v>
      </c>
      <c r="P88">
        <v>0</v>
      </c>
      <c r="Q88">
        <v>0</v>
      </c>
      <c r="R88">
        <v>0</v>
      </c>
      <c r="S88">
        <v>0</v>
      </c>
      <c r="T88" s="1">
        <v>80</v>
      </c>
      <c r="U88">
        <v>86</v>
      </c>
      <c r="V88">
        <v>0</v>
      </c>
      <c r="W88">
        <v>0</v>
      </c>
      <c r="X88">
        <v>0</v>
      </c>
      <c r="Y88">
        <v>0</v>
      </c>
      <c r="Z88">
        <v>0</v>
      </c>
      <c r="AA88" s="1">
        <v>0</v>
      </c>
      <c r="AB88">
        <v>86</v>
      </c>
      <c r="AC88">
        <v>0</v>
      </c>
      <c r="AD88">
        <v>0</v>
      </c>
      <c r="AE88">
        <v>0</v>
      </c>
      <c r="AF88">
        <v>0</v>
      </c>
      <c r="AG88">
        <v>0</v>
      </c>
      <c r="AH88" s="1">
        <v>0</v>
      </c>
      <c r="AI88">
        <v>86</v>
      </c>
      <c r="AJ88">
        <v>0</v>
      </c>
      <c r="AK88">
        <v>0</v>
      </c>
      <c r="AL88">
        <v>2</v>
      </c>
      <c r="AM88">
        <v>0</v>
      </c>
      <c r="AN88">
        <v>0</v>
      </c>
      <c r="AO88" s="1">
        <v>300</v>
      </c>
    </row>
    <row r="89" spans="1:41" x14ac:dyDescent="0.35">
      <c r="A89" t="s">
        <v>156</v>
      </c>
      <c r="B89" t="s">
        <v>157</v>
      </c>
      <c r="C89" t="s">
        <v>141</v>
      </c>
      <c r="G89">
        <v>87</v>
      </c>
      <c r="H89">
        <v>0</v>
      </c>
      <c r="I89">
        <v>1</v>
      </c>
      <c r="J89">
        <v>1</v>
      </c>
      <c r="K89">
        <v>2</v>
      </c>
      <c r="L89">
        <v>0</v>
      </c>
      <c r="M89" s="1">
        <v>240</v>
      </c>
      <c r="N89">
        <v>87</v>
      </c>
      <c r="O89">
        <v>0</v>
      </c>
      <c r="P89">
        <v>0</v>
      </c>
      <c r="Q89">
        <v>0</v>
      </c>
      <c r="R89">
        <v>0</v>
      </c>
      <c r="S89">
        <v>0</v>
      </c>
      <c r="T89" s="1">
        <v>0</v>
      </c>
      <c r="U89">
        <v>87</v>
      </c>
      <c r="V89">
        <v>0</v>
      </c>
      <c r="W89">
        <v>0</v>
      </c>
      <c r="X89">
        <v>0</v>
      </c>
      <c r="Y89">
        <v>1</v>
      </c>
      <c r="Z89">
        <v>0</v>
      </c>
      <c r="AA89" s="1">
        <v>100</v>
      </c>
      <c r="AB89">
        <v>87</v>
      </c>
      <c r="AC89">
        <v>0</v>
      </c>
      <c r="AD89">
        <v>0</v>
      </c>
      <c r="AE89">
        <v>0</v>
      </c>
      <c r="AF89">
        <v>0</v>
      </c>
      <c r="AG89">
        <v>0</v>
      </c>
      <c r="AH89" s="1">
        <v>0</v>
      </c>
      <c r="AI89">
        <v>87</v>
      </c>
      <c r="AJ89">
        <v>0</v>
      </c>
      <c r="AK89">
        <v>0</v>
      </c>
      <c r="AL89">
        <v>0</v>
      </c>
      <c r="AM89">
        <v>0</v>
      </c>
      <c r="AN89">
        <v>0</v>
      </c>
      <c r="AO89" s="1">
        <v>0</v>
      </c>
    </row>
    <row r="90" spans="1:41" x14ac:dyDescent="0.35">
      <c r="A90">
        <v>0</v>
      </c>
      <c r="B90">
        <v>0.93478260869565222</v>
      </c>
      <c r="C90">
        <v>0</v>
      </c>
      <c r="G90">
        <v>88</v>
      </c>
      <c r="H90">
        <v>0</v>
      </c>
      <c r="I90">
        <v>2</v>
      </c>
      <c r="J90">
        <v>2</v>
      </c>
      <c r="K90">
        <v>1</v>
      </c>
      <c r="L90">
        <v>1</v>
      </c>
      <c r="M90" s="1">
        <v>360</v>
      </c>
      <c r="N90">
        <v>88</v>
      </c>
      <c r="O90">
        <v>0</v>
      </c>
      <c r="P90">
        <v>0</v>
      </c>
      <c r="Q90">
        <v>0</v>
      </c>
      <c r="R90">
        <v>1</v>
      </c>
      <c r="S90">
        <v>1</v>
      </c>
      <c r="T90" s="1">
        <v>160</v>
      </c>
      <c r="U90">
        <v>88</v>
      </c>
      <c r="V90">
        <v>0</v>
      </c>
      <c r="W90">
        <v>0</v>
      </c>
      <c r="X90">
        <v>0</v>
      </c>
      <c r="Y90">
        <v>0</v>
      </c>
      <c r="Z90">
        <v>0</v>
      </c>
      <c r="AA90" s="1">
        <v>0</v>
      </c>
      <c r="AB90">
        <v>88</v>
      </c>
      <c r="AC90">
        <v>0</v>
      </c>
      <c r="AD90">
        <v>0</v>
      </c>
      <c r="AE90">
        <v>0</v>
      </c>
      <c r="AF90">
        <v>0</v>
      </c>
      <c r="AG90">
        <v>0</v>
      </c>
      <c r="AH90" s="1">
        <v>0</v>
      </c>
      <c r="AI90">
        <v>88</v>
      </c>
      <c r="AJ90">
        <v>0</v>
      </c>
      <c r="AK90">
        <v>0</v>
      </c>
      <c r="AL90">
        <v>0</v>
      </c>
      <c r="AM90">
        <v>0</v>
      </c>
      <c r="AN90">
        <v>0</v>
      </c>
      <c r="AO90" s="1">
        <v>0</v>
      </c>
    </row>
    <row r="91" spans="1:41" x14ac:dyDescent="0.35">
      <c r="A91">
        <v>0.93478260869565222</v>
      </c>
      <c r="B91">
        <v>1</v>
      </c>
      <c r="C91">
        <v>1</v>
      </c>
      <c r="G91">
        <v>89</v>
      </c>
      <c r="H91">
        <v>0</v>
      </c>
      <c r="I91">
        <v>1</v>
      </c>
      <c r="J91">
        <v>3</v>
      </c>
      <c r="K91">
        <v>2</v>
      </c>
      <c r="L91">
        <v>1</v>
      </c>
      <c r="M91" s="1">
        <v>420</v>
      </c>
      <c r="N91">
        <v>89</v>
      </c>
      <c r="O91">
        <v>0</v>
      </c>
      <c r="P91">
        <v>1</v>
      </c>
      <c r="Q91">
        <v>0</v>
      </c>
      <c r="R91">
        <v>0</v>
      </c>
      <c r="S91">
        <v>0</v>
      </c>
      <c r="T91" s="1">
        <v>80</v>
      </c>
      <c r="U91">
        <v>89</v>
      </c>
      <c r="V91">
        <v>0</v>
      </c>
      <c r="W91">
        <v>0</v>
      </c>
      <c r="X91">
        <v>0</v>
      </c>
      <c r="Y91">
        <v>0</v>
      </c>
      <c r="Z91">
        <v>0</v>
      </c>
      <c r="AA91" s="1">
        <v>0</v>
      </c>
      <c r="AB91">
        <v>89</v>
      </c>
      <c r="AC91">
        <v>1</v>
      </c>
      <c r="AD91">
        <v>0</v>
      </c>
      <c r="AE91">
        <v>0</v>
      </c>
      <c r="AF91">
        <v>0</v>
      </c>
      <c r="AG91">
        <v>0</v>
      </c>
      <c r="AH91" s="1">
        <v>120</v>
      </c>
      <c r="AI91">
        <v>89</v>
      </c>
      <c r="AJ91">
        <v>0</v>
      </c>
      <c r="AK91">
        <v>0</v>
      </c>
      <c r="AL91">
        <v>1</v>
      </c>
      <c r="AM91">
        <v>0</v>
      </c>
      <c r="AN91">
        <v>0</v>
      </c>
      <c r="AO91" s="1">
        <v>150</v>
      </c>
    </row>
    <row r="92" spans="1:41" x14ac:dyDescent="0.35">
      <c r="A92" t="s">
        <v>156</v>
      </c>
      <c r="B92" t="s">
        <v>157</v>
      </c>
      <c r="C92" t="s">
        <v>142</v>
      </c>
      <c r="G92">
        <v>90</v>
      </c>
      <c r="H92">
        <v>1</v>
      </c>
      <c r="I92">
        <v>1</v>
      </c>
      <c r="J92">
        <v>3</v>
      </c>
      <c r="K92">
        <v>3</v>
      </c>
      <c r="L92">
        <v>0</v>
      </c>
      <c r="M92" s="1">
        <v>480</v>
      </c>
      <c r="N92">
        <v>90</v>
      </c>
      <c r="O92">
        <v>1</v>
      </c>
      <c r="P92">
        <v>1</v>
      </c>
      <c r="Q92">
        <v>0</v>
      </c>
      <c r="R92">
        <v>0</v>
      </c>
      <c r="S92">
        <v>0</v>
      </c>
      <c r="T92" s="1">
        <v>160</v>
      </c>
      <c r="U92">
        <v>90</v>
      </c>
      <c r="V92">
        <v>0</v>
      </c>
      <c r="W92">
        <v>1</v>
      </c>
      <c r="X92">
        <v>0</v>
      </c>
      <c r="Y92">
        <v>0</v>
      </c>
      <c r="Z92">
        <v>0</v>
      </c>
      <c r="AA92" s="1">
        <v>100</v>
      </c>
      <c r="AB92">
        <v>90</v>
      </c>
      <c r="AC92">
        <v>0</v>
      </c>
      <c r="AD92">
        <v>0</v>
      </c>
      <c r="AE92">
        <v>0</v>
      </c>
      <c r="AF92">
        <v>0</v>
      </c>
      <c r="AG92">
        <v>0</v>
      </c>
      <c r="AH92" s="1">
        <v>0</v>
      </c>
      <c r="AI92">
        <v>90</v>
      </c>
      <c r="AJ92">
        <v>0</v>
      </c>
      <c r="AK92">
        <v>0</v>
      </c>
      <c r="AL92">
        <v>0</v>
      </c>
      <c r="AM92">
        <v>0</v>
      </c>
      <c r="AN92">
        <v>0</v>
      </c>
      <c r="AO92" s="1">
        <v>0</v>
      </c>
    </row>
    <row r="93" spans="1:41" x14ac:dyDescent="0.35">
      <c r="A93">
        <v>0</v>
      </c>
      <c r="B93">
        <v>0.97101449275362317</v>
      </c>
      <c r="C93">
        <v>0</v>
      </c>
      <c r="G93">
        <v>91</v>
      </c>
      <c r="H93">
        <v>0</v>
      </c>
      <c r="I93">
        <v>1</v>
      </c>
      <c r="J93">
        <v>1</v>
      </c>
      <c r="K93">
        <v>1</v>
      </c>
      <c r="L93">
        <v>0</v>
      </c>
      <c r="M93" s="1">
        <v>180</v>
      </c>
      <c r="N93">
        <v>91</v>
      </c>
      <c r="O93">
        <v>0</v>
      </c>
      <c r="P93">
        <v>0</v>
      </c>
      <c r="Q93">
        <v>0</v>
      </c>
      <c r="R93">
        <v>1</v>
      </c>
      <c r="S93">
        <v>0</v>
      </c>
      <c r="T93" s="1">
        <v>80</v>
      </c>
      <c r="U93">
        <v>91</v>
      </c>
      <c r="V93">
        <v>0</v>
      </c>
      <c r="W93">
        <v>0</v>
      </c>
      <c r="X93">
        <v>0</v>
      </c>
      <c r="Y93">
        <v>1</v>
      </c>
      <c r="Z93">
        <v>1</v>
      </c>
      <c r="AA93" s="1">
        <v>200</v>
      </c>
      <c r="AB93">
        <v>91</v>
      </c>
      <c r="AC93">
        <v>0</v>
      </c>
      <c r="AD93">
        <v>0</v>
      </c>
      <c r="AE93">
        <v>0</v>
      </c>
      <c r="AF93">
        <v>0</v>
      </c>
      <c r="AG93">
        <v>0</v>
      </c>
      <c r="AH93" s="1">
        <v>0</v>
      </c>
      <c r="AI93">
        <v>91</v>
      </c>
      <c r="AJ93">
        <v>0</v>
      </c>
      <c r="AK93">
        <v>0</v>
      </c>
      <c r="AL93">
        <v>0</v>
      </c>
      <c r="AM93">
        <v>0</v>
      </c>
      <c r="AN93">
        <v>0</v>
      </c>
      <c r="AO93" s="1">
        <v>0</v>
      </c>
    </row>
    <row r="94" spans="1:41" x14ac:dyDescent="0.35">
      <c r="A94">
        <v>0.97101449275362317</v>
      </c>
      <c r="B94">
        <v>1</v>
      </c>
      <c r="C94">
        <v>1</v>
      </c>
      <c r="G94">
        <v>92</v>
      </c>
      <c r="H94">
        <v>0</v>
      </c>
      <c r="I94">
        <v>0</v>
      </c>
      <c r="J94">
        <v>0</v>
      </c>
      <c r="K94">
        <v>4</v>
      </c>
      <c r="L94">
        <v>2</v>
      </c>
      <c r="M94" s="1">
        <v>360</v>
      </c>
      <c r="N94">
        <v>92</v>
      </c>
      <c r="O94">
        <v>0</v>
      </c>
      <c r="P94">
        <v>0</v>
      </c>
      <c r="Q94">
        <v>0</v>
      </c>
      <c r="R94">
        <v>0</v>
      </c>
      <c r="S94">
        <v>0</v>
      </c>
      <c r="T94" s="1">
        <v>0</v>
      </c>
      <c r="U94">
        <v>92</v>
      </c>
      <c r="V94">
        <v>0</v>
      </c>
      <c r="W94">
        <v>0</v>
      </c>
      <c r="X94">
        <v>1</v>
      </c>
      <c r="Y94">
        <v>0</v>
      </c>
      <c r="Z94">
        <v>0</v>
      </c>
      <c r="AA94" s="1">
        <v>100</v>
      </c>
      <c r="AB94">
        <v>92</v>
      </c>
      <c r="AC94">
        <v>0</v>
      </c>
      <c r="AD94">
        <v>0</v>
      </c>
      <c r="AE94">
        <v>0</v>
      </c>
      <c r="AF94">
        <v>0</v>
      </c>
      <c r="AG94">
        <v>0</v>
      </c>
      <c r="AH94" s="1">
        <v>0</v>
      </c>
      <c r="AI94">
        <v>92</v>
      </c>
      <c r="AJ94">
        <v>0</v>
      </c>
      <c r="AK94">
        <v>0</v>
      </c>
      <c r="AL94">
        <v>0</v>
      </c>
      <c r="AM94">
        <v>0</v>
      </c>
      <c r="AN94">
        <v>0</v>
      </c>
      <c r="AO94" s="1">
        <v>0</v>
      </c>
    </row>
    <row r="95" spans="1:41" x14ac:dyDescent="0.35">
      <c r="A95" t="s">
        <v>156</v>
      </c>
      <c r="B95" t="s">
        <v>157</v>
      </c>
      <c r="C95" t="s">
        <v>143</v>
      </c>
      <c r="G95">
        <v>93</v>
      </c>
      <c r="H95">
        <v>1</v>
      </c>
      <c r="I95">
        <v>4</v>
      </c>
      <c r="J95">
        <v>3</v>
      </c>
      <c r="K95">
        <v>2</v>
      </c>
      <c r="L95">
        <v>2</v>
      </c>
      <c r="M95" s="1">
        <v>720</v>
      </c>
      <c r="N95">
        <v>93</v>
      </c>
      <c r="O95">
        <v>0</v>
      </c>
      <c r="P95">
        <v>0</v>
      </c>
      <c r="Q95">
        <v>0</v>
      </c>
      <c r="R95">
        <v>0</v>
      </c>
      <c r="S95">
        <v>0</v>
      </c>
      <c r="T95" s="1">
        <v>0</v>
      </c>
      <c r="U95">
        <v>93</v>
      </c>
      <c r="V95">
        <v>0</v>
      </c>
      <c r="W95">
        <v>0</v>
      </c>
      <c r="X95">
        <v>0</v>
      </c>
      <c r="Y95">
        <v>0</v>
      </c>
      <c r="Z95">
        <v>0</v>
      </c>
      <c r="AA95" s="1">
        <v>0</v>
      </c>
      <c r="AB95">
        <v>93</v>
      </c>
      <c r="AC95">
        <v>0</v>
      </c>
      <c r="AD95">
        <v>0</v>
      </c>
      <c r="AE95">
        <v>0</v>
      </c>
      <c r="AF95">
        <v>1</v>
      </c>
      <c r="AG95">
        <v>0</v>
      </c>
      <c r="AH95" s="1">
        <v>120</v>
      </c>
      <c r="AI95">
        <v>93</v>
      </c>
      <c r="AJ95">
        <v>0</v>
      </c>
      <c r="AK95">
        <v>0</v>
      </c>
      <c r="AL95">
        <v>3</v>
      </c>
      <c r="AM95">
        <v>0</v>
      </c>
      <c r="AN95">
        <v>0</v>
      </c>
      <c r="AO95" s="1">
        <v>450</v>
      </c>
    </row>
    <row r="96" spans="1:41" x14ac:dyDescent="0.35">
      <c r="A96">
        <v>0</v>
      </c>
      <c r="B96">
        <v>0.93478260869565222</v>
      </c>
      <c r="C96">
        <v>0</v>
      </c>
      <c r="G96">
        <v>94</v>
      </c>
      <c r="H96">
        <v>0</v>
      </c>
      <c r="I96">
        <v>1</v>
      </c>
      <c r="J96">
        <v>0</v>
      </c>
      <c r="K96">
        <v>0</v>
      </c>
      <c r="L96">
        <v>1</v>
      </c>
      <c r="M96" s="1">
        <v>120</v>
      </c>
      <c r="N96">
        <v>94</v>
      </c>
      <c r="O96">
        <v>1</v>
      </c>
      <c r="P96">
        <v>1</v>
      </c>
      <c r="Q96">
        <v>0</v>
      </c>
      <c r="R96">
        <v>0</v>
      </c>
      <c r="S96">
        <v>0</v>
      </c>
      <c r="T96" s="1">
        <v>160</v>
      </c>
      <c r="U96">
        <v>94</v>
      </c>
      <c r="V96">
        <v>0</v>
      </c>
      <c r="W96">
        <v>1</v>
      </c>
      <c r="X96">
        <v>0</v>
      </c>
      <c r="Y96">
        <v>0</v>
      </c>
      <c r="Z96">
        <v>0</v>
      </c>
      <c r="AA96" s="1">
        <v>100</v>
      </c>
      <c r="AB96">
        <v>94</v>
      </c>
      <c r="AC96">
        <v>0</v>
      </c>
      <c r="AD96">
        <v>0</v>
      </c>
      <c r="AE96">
        <v>0</v>
      </c>
      <c r="AF96">
        <v>0</v>
      </c>
      <c r="AG96">
        <v>0</v>
      </c>
      <c r="AH96" s="1">
        <v>0</v>
      </c>
      <c r="AI96">
        <v>94</v>
      </c>
      <c r="AJ96">
        <v>0</v>
      </c>
      <c r="AK96">
        <v>0</v>
      </c>
      <c r="AL96">
        <v>0</v>
      </c>
      <c r="AM96">
        <v>0</v>
      </c>
      <c r="AN96">
        <v>0</v>
      </c>
      <c r="AO96" s="1">
        <v>0</v>
      </c>
    </row>
    <row r="97" spans="1:41" x14ac:dyDescent="0.35">
      <c r="A97">
        <v>0.93478260869565222</v>
      </c>
      <c r="B97">
        <v>1</v>
      </c>
      <c r="C97">
        <v>1</v>
      </c>
      <c r="G97">
        <v>95</v>
      </c>
      <c r="H97">
        <v>2</v>
      </c>
      <c r="I97">
        <v>2</v>
      </c>
      <c r="J97">
        <v>3</v>
      </c>
      <c r="K97">
        <v>2</v>
      </c>
      <c r="L97">
        <v>2</v>
      </c>
      <c r="M97" s="1">
        <v>660</v>
      </c>
      <c r="N97">
        <v>95</v>
      </c>
      <c r="O97">
        <v>1</v>
      </c>
      <c r="P97">
        <v>0</v>
      </c>
      <c r="Q97">
        <v>3</v>
      </c>
      <c r="R97">
        <v>0</v>
      </c>
      <c r="S97">
        <v>1</v>
      </c>
      <c r="T97" s="1">
        <v>400</v>
      </c>
      <c r="U97">
        <v>95</v>
      </c>
      <c r="V97">
        <v>0</v>
      </c>
      <c r="W97">
        <v>0</v>
      </c>
      <c r="X97">
        <v>0</v>
      </c>
      <c r="Y97">
        <v>0</v>
      </c>
      <c r="Z97">
        <v>0</v>
      </c>
      <c r="AA97" s="1">
        <v>0</v>
      </c>
      <c r="AB97">
        <v>95</v>
      </c>
      <c r="AC97">
        <v>0</v>
      </c>
      <c r="AD97">
        <v>0</v>
      </c>
      <c r="AE97">
        <v>0</v>
      </c>
      <c r="AF97">
        <v>0</v>
      </c>
      <c r="AG97">
        <v>0</v>
      </c>
      <c r="AH97" s="1">
        <v>0</v>
      </c>
      <c r="AI97">
        <v>95</v>
      </c>
      <c r="AJ97">
        <v>0</v>
      </c>
      <c r="AK97">
        <v>0</v>
      </c>
      <c r="AL97">
        <v>0</v>
      </c>
      <c r="AM97">
        <v>0</v>
      </c>
      <c r="AN97">
        <v>0</v>
      </c>
      <c r="AO97" s="1">
        <v>0</v>
      </c>
    </row>
    <row r="98" spans="1:41" x14ac:dyDescent="0.35">
      <c r="A98" t="s">
        <v>156</v>
      </c>
      <c r="B98" t="s">
        <v>157</v>
      </c>
      <c r="C98" t="s">
        <v>144</v>
      </c>
      <c r="G98">
        <v>96</v>
      </c>
      <c r="H98">
        <v>0</v>
      </c>
      <c r="I98">
        <v>0</v>
      </c>
      <c r="J98">
        <v>3</v>
      </c>
      <c r="K98">
        <v>2</v>
      </c>
      <c r="L98">
        <v>0</v>
      </c>
      <c r="M98" s="1">
        <v>300</v>
      </c>
      <c r="N98">
        <v>96</v>
      </c>
      <c r="O98">
        <v>0</v>
      </c>
      <c r="P98">
        <v>0</v>
      </c>
      <c r="Q98">
        <v>0</v>
      </c>
      <c r="R98">
        <v>0</v>
      </c>
      <c r="S98">
        <v>0</v>
      </c>
      <c r="T98" s="1">
        <v>0</v>
      </c>
      <c r="U98">
        <v>96</v>
      </c>
      <c r="V98">
        <v>0</v>
      </c>
      <c r="W98">
        <v>0</v>
      </c>
      <c r="X98">
        <v>0</v>
      </c>
      <c r="Y98">
        <v>0</v>
      </c>
      <c r="Z98">
        <v>0</v>
      </c>
      <c r="AA98" s="1">
        <v>0</v>
      </c>
      <c r="AB98">
        <v>96</v>
      </c>
      <c r="AC98">
        <v>0</v>
      </c>
      <c r="AD98">
        <v>0</v>
      </c>
      <c r="AE98">
        <v>0</v>
      </c>
      <c r="AF98">
        <v>0</v>
      </c>
      <c r="AG98">
        <v>0</v>
      </c>
      <c r="AH98" s="1">
        <v>0</v>
      </c>
      <c r="AI98">
        <v>96</v>
      </c>
      <c r="AJ98">
        <v>0</v>
      </c>
      <c r="AK98">
        <v>0</v>
      </c>
      <c r="AL98">
        <v>0</v>
      </c>
      <c r="AM98">
        <v>0</v>
      </c>
      <c r="AN98">
        <v>0</v>
      </c>
      <c r="AO98" s="1">
        <v>0</v>
      </c>
    </row>
    <row r="99" spans="1:41" x14ac:dyDescent="0.35">
      <c r="A99">
        <v>0</v>
      </c>
      <c r="B99">
        <v>0.87681159420289856</v>
      </c>
      <c r="C99">
        <v>0</v>
      </c>
      <c r="G99">
        <v>97</v>
      </c>
      <c r="H99">
        <v>2</v>
      </c>
      <c r="I99">
        <v>2</v>
      </c>
      <c r="J99">
        <v>2</v>
      </c>
      <c r="K99">
        <v>4</v>
      </c>
      <c r="L99">
        <v>0</v>
      </c>
      <c r="M99" s="1">
        <v>600</v>
      </c>
      <c r="N99">
        <v>97</v>
      </c>
      <c r="O99">
        <v>0</v>
      </c>
      <c r="P99">
        <v>0</v>
      </c>
      <c r="Q99">
        <v>0</v>
      </c>
      <c r="R99">
        <v>0</v>
      </c>
      <c r="S99">
        <v>1</v>
      </c>
      <c r="T99" s="1">
        <v>80</v>
      </c>
      <c r="U99">
        <v>97</v>
      </c>
      <c r="V99">
        <v>0</v>
      </c>
      <c r="W99">
        <v>1</v>
      </c>
      <c r="X99">
        <v>0</v>
      </c>
      <c r="Y99">
        <v>0</v>
      </c>
      <c r="Z99">
        <v>1</v>
      </c>
      <c r="AA99" s="1">
        <v>200</v>
      </c>
      <c r="AB99">
        <v>97</v>
      </c>
      <c r="AC99">
        <v>0</v>
      </c>
      <c r="AD99">
        <v>0</v>
      </c>
      <c r="AE99">
        <v>0</v>
      </c>
      <c r="AF99">
        <v>0</v>
      </c>
      <c r="AG99">
        <v>1</v>
      </c>
      <c r="AH99" s="1">
        <v>120</v>
      </c>
      <c r="AI99">
        <v>97</v>
      </c>
      <c r="AJ99">
        <v>0</v>
      </c>
      <c r="AK99">
        <v>0</v>
      </c>
      <c r="AL99">
        <v>0</v>
      </c>
      <c r="AM99">
        <v>0</v>
      </c>
      <c r="AN99">
        <v>0</v>
      </c>
      <c r="AO99" s="1">
        <v>0</v>
      </c>
    </row>
    <row r="100" spans="1:41" x14ac:dyDescent="0.35">
      <c r="A100">
        <v>0.87681159420289856</v>
      </c>
      <c r="B100">
        <v>0.99275362318840576</v>
      </c>
      <c r="C100">
        <v>1</v>
      </c>
      <c r="G100">
        <v>98</v>
      </c>
      <c r="H100">
        <v>0</v>
      </c>
      <c r="I100">
        <v>0</v>
      </c>
      <c r="J100">
        <v>0</v>
      </c>
      <c r="K100">
        <v>0</v>
      </c>
      <c r="L100">
        <v>0</v>
      </c>
      <c r="M100" s="1">
        <v>0</v>
      </c>
      <c r="N100">
        <v>98</v>
      </c>
      <c r="O100">
        <v>0</v>
      </c>
      <c r="P100">
        <v>0</v>
      </c>
      <c r="Q100">
        <v>0</v>
      </c>
      <c r="R100">
        <v>1</v>
      </c>
      <c r="S100">
        <v>0</v>
      </c>
      <c r="T100" s="1">
        <v>80</v>
      </c>
      <c r="U100">
        <v>98</v>
      </c>
      <c r="V100">
        <v>1</v>
      </c>
      <c r="W100">
        <v>0</v>
      </c>
      <c r="X100">
        <v>0</v>
      </c>
      <c r="Y100">
        <v>1</v>
      </c>
      <c r="Z100">
        <v>0</v>
      </c>
      <c r="AA100" s="1">
        <v>200</v>
      </c>
      <c r="AB100">
        <v>98</v>
      </c>
      <c r="AC100">
        <v>0</v>
      </c>
      <c r="AD100">
        <v>0</v>
      </c>
      <c r="AE100">
        <v>0</v>
      </c>
      <c r="AF100">
        <v>0</v>
      </c>
      <c r="AG100">
        <v>0</v>
      </c>
      <c r="AH100" s="1">
        <v>0</v>
      </c>
      <c r="AI100">
        <v>98</v>
      </c>
      <c r="AJ100">
        <v>0</v>
      </c>
      <c r="AK100">
        <v>0</v>
      </c>
      <c r="AL100">
        <v>0</v>
      </c>
      <c r="AM100">
        <v>0</v>
      </c>
      <c r="AN100">
        <v>0</v>
      </c>
      <c r="AO100" s="1">
        <v>0</v>
      </c>
    </row>
    <row r="101" spans="1:41" x14ac:dyDescent="0.35">
      <c r="A101">
        <v>0.99275362318840576</v>
      </c>
      <c r="B101">
        <v>1</v>
      </c>
      <c r="C101">
        <v>3</v>
      </c>
      <c r="G101">
        <v>99</v>
      </c>
      <c r="H101">
        <v>1</v>
      </c>
      <c r="I101">
        <v>2</v>
      </c>
      <c r="J101">
        <v>0</v>
      </c>
      <c r="K101">
        <v>0</v>
      </c>
      <c r="L101">
        <v>0</v>
      </c>
      <c r="M101" s="1">
        <v>180</v>
      </c>
      <c r="N101">
        <v>99</v>
      </c>
      <c r="O101">
        <v>0</v>
      </c>
      <c r="P101">
        <v>2</v>
      </c>
      <c r="Q101">
        <v>3</v>
      </c>
      <c r="R101">
        <v>0</v>
      </c>
      <c r="S101">
        <v>1</v>
      </c>
      <c r="T101" s="1">
        <v>480</v>
      </c>
      <c r="U101">
        <v>99</v>
      </c>
      <c r="V101">
        <v>0</v>
      </c>
      <c r="W101">
        <v>0</v>
      </c>
      <c r="X101">
        <v>0</v>
      </c>
      <c r="Y101">
        <v>0</v>
      </c>
      <c r="Z101">
        <v>0</v>
      </c>
      <c r="AA101" s="1">
        <v>0</v>
      </c>
      <c r="AB101">
        <v>99</v>
      </c>
      <c r="AC101">
        <v>0</v>
      </c>
      <c r="AD101">
        <v>0</v>
      </c>
      <c r="AE101">
        <v>1</v>
      </c>
      <c r="AF101">
        <v>0</v>
      </c>
      <c r="AG101">
        <v>0</v>
      </c>
      <c r="AH101" s="1">
        <v>120</v>
      </c>
      <c r="AI101">
        <v>99</v>
      </c>
      <c r="AJ101">
        <v>0</v>
      </c>
      <c r="AK101">
        <v>0</v>
      </c>
      <c r="AL101">
        <v>0</v>
      </c>
      <c r="AM101">
        <v>0</v>
      </c>
      <c r="AN101">
        <v>0</v>
      </c>
      <c r="AO101" s="1">
        <v>0</v>
      </c>
    </row>
    <row r="102" spans="1:41" x14ac:dyDescent="0.35">
      <c r="A102" s="30" t="s">
        <v>198</v>
      </c>
      <c r="B102" s="30"/>
      <c r="C102" s="30"/>
      <c r="G102">
        <v>100</v>
      </c>
      <c r="H102">
        <v>1</v>
      </c>
      <c r="I102">
        <v>1</v>
      </c>
      <c r="J102">
        <v>5</v>
      </c>
      <c r="K102">
        <v>0</v>
      </c>
      <c r="L102">
        <v>2</v>
      </c>
      <c r="M102" s="1">
        <v>540</v>
      </c>
      <c r="N102">
        <v>100</v>
      </c>
      <c r="O102">
        <v>0</v>
      </c>
      <c r="P102">
        <v>1</v>
      </c>
      <c r="Q102">
        <v>0</v>
      </c>
      <c r="R102">
        <v>0</v>
      </c>
      <c r="S102">
        <v>0</v>
      </c>
      <c r="T102" s="1">
        <v>80</v>
      </c>
      <c r="U102">
        <v>100</v>
      </c>
      <c r="V102">
        <v>0</v>
      </c>
      <c r="W102">
        <v>0</v>
      </c>
      <c r="X102">
        <v>0</v>
      </c>
      <c r="Y102">
        <v>0</v>
      </c>
      <c r="Z102">
        <v>0</v>
      </c>
      <c r="AA102" s="1">
        <v>0</v>
      </c>
      <c r="AB102">
        <v>100</v>
      </c>
      <c r="AC102">
        <v>0</v>
      </c>
      <c r="AD102">
        <v>0</v>
      </c>
      <c r="AE102">
        <v>0</v>
      </c>
      <c r="AF102">
        <v>0</v>
      </c>
      <c r="AG102">
        <v>0</v>
      </c>
      <c r="AH102" s="1">
        <v>0</v>
      </c>
      <c r="AI102">
        <v>100</v>
      </c>
      <c r="AJ102">
        <v>0</v>
      </c>
      <c r="AK102">
        <v>0</v>
      </c>
      <c r="AL102">
        <v>0</v>
      </c>
      <c r="AM102">
        <v>0</v>
      </c>
      <c r="AN102">
        <v>0</v>
      </c>
      <c r="AO102" s="1">
        <v>0</v>
      </c>
    </row>
    <row r="103" spans="1:41" x14ac:dyDescent="0.35">
      <c r="A103" t="s">
        <v>156</v>
      </c>
      <c r="B103" t="s">
        <v>157</v>
      </c>
      <c r="C103" t="s">
        <v>140</v>
      </c>
      <c r="G103">
        <v>101</v>
      </c>
      <c r="H103">
        <v>1</v>
      </c>
      <c r="I103">
        <v>1</v>
      </c>
      <c r="J103">
        <v>0</v>
      </c>
      <c r="K103">
        <v>2</v>
      </c>
      <c r="L103">
        <v>0</v>
      </c>
      <c r="M103" s="1">
        <v>240</v>
      </c>
      <c r="N103">
        <v>101</v>
      </c>
      <c r="O103">
        <v>1</v>
      </c>
      <c r="P103">
        <v>0</v>
      </c>
      <c r="Q103">
        <v>0</v>
      </c>
      <c r="R103">
        <v>0</v>
      </c>
      <c r="S103">
        <v>0</v>
      </c>
      <c r="T103" s="1">
        <v>80</v>
      </c>
      <c r="U103">
        <v>101</v>
      </c>
      <c r="V103">
        <v>0</v>
      </c>
      <c r="W103">
        <v>1</v>
      </c>
      <c r="X103">
        <v>0</v>
      </c>
      <c r="Y103">
        <v>0</v>
      </c>
      <c r="Z103">
        <v>0</v>
      </c>
      <c r="AA103" s="1">
        <v>100</v>
      </c>
      <c r="AB103">
        <v>101</v>
      </c>
      <c r="AC103">
        <v>0</v>
      </c>
      <c r="AD103">
        <v>0</v>
      </c>
      <c r="AE103">
        <v>0</v>
      </c>
      <c r="AF103">
        <v>0</v>
      </c>
      <c r="AG103">
        <v>0</v>
      </c>
      <c r="AH103" s="1">
        <v>0</v>
      </c>
      <c r="AI103">
        <v>101</v>
      </c>
      <c r="AJ103">
        <v>0</v>
      </c>
      <c r="AK103">
        <v>0</v>
      </c>
      <c r="AL103">
        <v>1</v>
      </c>
      <c r="AM103">
        <v>0</v>
      </c>
      <c r="AN103">
        <v>0</v>
      </c>
      <c r="AO103" s="1">
        <v>150</v>
      </c>
    </row>
    <row r="104" spans="1:41" x14ac:dyDescent="0.35">
      <c r="A104">
        <v>0</v>
      </c>
      <c r="B104">
        <v>0.99275362318840576</v>
      </c>
      <c r="C104">
        <v>0</v>
      </c>
      <c r="G104">
        <v>102</v>
      </c>
      <c r="H104">
        <v>0</v>
      </c>
      <c r="I104">
        <v>0</v>
      </c>
      <c r="J104">
        <v>0</v>
      </c>
      <c r="K104">
        <v>3</v>
      </c>
      <c r="L104">
        <v>3</v>
      </c>
      <c r="M104" s="1">
        <v>360</v>
      </c>
      <c r="N104">
        <v>102</v>
      </c>
      <c r="O104">
        <v>0</v>
      </c>
      <c r="P104">
        <v>0</v>
      </c>
      <c r="Q104">
        <v>0</v>
      </c>
      <c r="R104">
        <v>1</v>
      </c>
      <c r="S104">
        <v>0</v>
      </c>
      <c r="T104" s="1">
        <v>80</v>
      </c>
      <c r="U104">
        <v>102</v>
      </c>
      <c r="V104">
        <v>0</v>
      </c>
      <c r="W104">
        <v>0</v>
      </c>
      <c r="X104">
        <v>0</v>
      </c>
      <c r="Y104">
        <v>1</v>
      </c>
      <c r="Z104">
        <v>0</v>
      </c>
      <c r="AA104" s="1">
        <v>100</v>
      </c>
      <c r="AB104">
        <v>102</v>
      </c>
      <c r="AC104">
        <v>0</v>
      </c>
      <c r="AD104">
        <v>0</v>
      </c>
      <c r="AE104">
        <v>0</v>
      </c>
      <c r="AF104">
        <v>0</v>
      </c>
      <c r="AG104">
        <v>0</v>
      </c>
      <c r="AH104" s="1">
        <v>0</v>
      </c>
      <c r="AI104">
        <v>102</v>
      </c>
      <c r="AJ104">
        <v>0</v>
      </c>
      <c r="AK104">
        <v>0</v>
      </c>
      <c r="AL104">
        <v>1</v>
      </c>
      <c r="AM104">
        <v>0</v>
      </c>
      <c r="AN104">
        <v>0</v>
      </c>
      <c r="AO104" s="1">
        <v>150</v>
      </c>
    </row>
    <row r="105" spans="1:41" x14ac:dyDescent="0.35">
      <c r="A105">
        <v>0.99275362318840576</v>
      </c>
      <c r="B105">
        <v>1</v>
      </c>
      <c r="C105">
        <v>2</v>
      </c>
      <c r="G105">
        <v>103</v>
      </c>
      <c r="H105">
        <v>0</v>
      </c>
      <c r="I105">
        <v>1</v>
      </c>
      <c r="J105">
        <v>0</v>
      </c>
      <c r="K105">
        <v>0</v>
      </c>
      <c r="L105">
        <v>0</v>
      </c>
      <c r="M105" s="1">
        <v>60</v>
      </c>
      <c r="N105">
        <v>103</v>
      </c>
      <c r="O105">
        <v>0</v>
      </c>
      <c r="P105">
        <v>1</v>
      </c>
      <c r="Q105">
        <v>1</v>
      </c>
      <c r="R105">
        <v>2</v>
      </c>
      <c r="S105">
        <v>0</v>
      </c>
      <c r="T105" s="1">
        <v>320</v>
      </c>
      <c r="U105">
        <v>103</v>
      </c>
      <c r="V105">
        <v>0</v>
      </c>
      <c r="W105">
        <v>0</v>
      </c>
      <c r="X105">
        <v>0</v>
      </c>
      <c r="Y105">
        <v>0</v>
      </c>
      <c r="Z105">
        <v>0</v>
      </c>
      <c r="AA105" s="1">
        <v>0</v>
      </c>
      <c r="AB105">
        <v>103</v>
      </c>
      <c r="AC105">
        <v>0</v>
      </c>
      <c r="AD105">
        <v>0</v>
      </c>
      <c r="AE105">
        <v>0</v>
      </c>
      <c r="AF105">
        <v>1</v>
      </c>
      <c r="AG105">
        <v>0</v>
      </c>
      <c r="AH105" s="1">
        <v>120</v>
      </c>
      <c r="AI105">
        <v>103</v>
      </c>
      <c r="AJ105">
        <v>0</v>
      </c>
      <c r="AK105">
        <v>0</v>
      </c>
      <c r="AL105">
        <v>1</v>
      </c>
      <c r="AM105">
        <v>0</v>
      </c>
      <c r="AN105">
        <v>0</v>
      </c>
      <c r="AO105" s="1">
        <v>150</v>
      </c>
    </row>
    <row r="106" spans="1:41" x14ac:dyDescent="0.35">
      <c r="A106" t="s">
        <v>156</v>
      </c>
      <c r="B106" t="s">
        <v>157</v>
      </c>
      <c r="C106" t="s">
        <v>141</v>
      </c>
      <c r="G106">
        <v>104</v>
      </c>
      <c r="H106">
        <v>1</v>
      </c>
      <c r="I106">
        <v>0</v>
      </c>
      <c r="J106">
        <v>0</v>
      </c>
      <c r="K106">
        <v>2</v>
      </c>
      <c r="L106">
        <v>3</v>
      </c>
      <c r="M106" s="1">
        <v>360</v>
      </c>
      <c r="N106">
        <v>104</v>
      </c>
      <c r="O106">
        <v>1</v>
      </c>
      <c r="P106">
        <v>0</v>
      </c>
      <c r="Q106">
        <v>0</v>
      </c>
      <c r="R106">
        <v>2</v>
      </c>
      <c r="S106">
        <v>0</v>
      </c>
      <c r="T106" s="1">
        <v>240</v>
      </c>
      <c r="U106">
        <v>104</v>
      </c>
      <c r="V106">
        <v>0</v>
      </c>
      <c r="W106">
        <v>2</v>
      </c>
      <c r="X106">
        <v>0</v>
      </c>
      <c r="Y106">
        <v>0</v>
      </c>
      <c r="Z106">
        <v>0</v>
      </c>
      <c r="AA106" s="1">
        <v>200</v>
      </c>
      <c r="AB106">
        <v>104</v>
      </c>
      <c r="AC106">
        <v>0</v>
      </c>
      <c r="AD106">
        <v>0</v>
      </c>
      <c r="AE106">
        <v>0</v>
      </c>
      <c r="AF106">
        <v>0</v>
      </c>
      <c r="AG106">
        <v>0</v>
      </c>
      <c r="AH106" s="1">
        <v>0</v>
      </c>
      <c r="AI106">
        <v>104</v>
      </c>
      <c r="AJ106">
        <v>0</v>
      </c>
      <c r="AK106">
        <v>0</v>
      </c>
      <c r="AL106">
        <v>1</v>
      </c>
      <c r="AM106">
        <v>0</v>
      </c>
      <c r="AN106">
        <v>0</v>
      </c>
      <c r="AO106" s="1">
        <v>150</v>
      </c>
    </row>
    <row r="107" spans="1:41" x14ac:dyDescent="0.35">
      <c r="A107">
        <v>0</v>
      </c>
      <c r="B107">
        <v>0.98550724637681164</v>
      </c>
      <c r="C107">
        <v>0</v>
      </c>
      <c r="G107">
        <v>105</v>
      </c>
      <c r="H107">
        <v>0</v>
      </c>
      <c r="I107">
        <v>0</v>
      </c>
      <c r="J107">
        <v>0</v>
      </c>
      <c r="K107">
        <v>4</v>
      </c>
      <c r="L107">
        <v>0</v>
      </c>
      <c r="M107" s="1">
        <v>240</v>
      </c>
      <c r="N107">
        <v>105</v>
      </c>
      <c r="O107">
        <v>0</v>
      </c>
      <c r="P107">
        <v>2</v>
      </c>
      <c r="Q107">
        <v>1</v>
      </c>
      <c r="R107">
        <v>0</v>
      </c>
      <c r="S107">
        <v>0</v>
      </c>
      <c r="T107" s="1">
        <v>240</v>
      </c>
      <c r="U107">
        <v>105</v>
      </c>
      <c r="V107">
        <v>0</v>
      </c>
      <c r="W107">
        <v>0</v>
      </c>
      <c r="X107">
        <v>0</v>
      </c>
      <c r="Y107">
        <v>0</v>
      </c>
      <c r="Z107">
        <v>0</v>
      </c>
      <c r="AA107" s="1">
        <v>0</v>
      </c>
      <c r="AB107">
        <v>105</v>
      </c>
      <c r="AC107">
        <v>1</v>
      </c>
      <c r="AD107">
        <v>0</v>
      </c>
      <c r="AE107">
        <v>0</v>
      </c>
      <c r="AF107">
        <v>0</v>
      </c>
      <c r="AG107">
        <v>0</v>
      </c>
      <c r="AH107" s="1">
        <v>120</v>
      </c>
      <c r="AI107">
        <v>105</v>
      </c>
      <c r="AJ107">
        <v>0</v>
      </c>
      <c r="AK107">
        <v>0</v>
      </c>
      <c r="AL107">
        <v>0</v>
      </c>
      <c r="AM107">
        <v>0</v>
      </c>
      <c r="AN107">
        <v>0</v>
      </c>
      <c r="AO107" s="1">
        <v>0</v>
      </c>
    </row>
    <row r="108" spans="1:41" x14ac:dyDescent="0.35">
      <c r="A108">
        <v>0.98550724637681164</v>
      </c>
      <c r="B108">
        <v>1</v>
      </c>
      <c r="C108">
        <v>1</v>
      </c>
      <c r="G108">
        <v>106</v>
      </c>
      <c r="H108">
        <v>0</v>
      </c>
      <c r="I108">
        <v>0</v>
      </c>
      <c r="J108">
        <v>1</v>
      </c>
      <c r="K108">
        <v>0</v>
      </c>
      <c r="L108">
        <v>1</v>
      </c>
      <c r="M108" s="1">
        <v>120</v>
      </c>
      <c r="N108">
        <v>106</v>
      </c>
      <c r="O108">
        <v>0</v>
      </c>
      <c r="P108">
        <v>0</v>
      </c>
      <c r="Q108">
        <v>0</v>
      </c>
      <c r="R108">
        <v>0</v>
      </c>
      <c r="S108">
        <v>1</v>
      </c>
      <c r="T108" s="1">
        <v>80</v>
      </c>
      <c r="U108">
        <v>106</v>
      </c>
      <c r="V108">
        <v>1</v>
      </c>
      <c r="W108">
        <v>0</v>
      </c>
      <c r="X108">
        <v>0</v>
      </c>
      <c r="Y108">
        <v>0</v>
      </c>
      <c r="Z108">
        <v>1</v>
      </c>
      <c r="AA108" s="1">
        <v>200</v>
      </c>
      <c r="AB108">
        <v>106</v>
      </c>
      <c r="AC108">
        <v>0</v>
      </c>
      <c r="AD108">
        <v>0</v>
      </c>
      <c r="AE108">
        <v>0</v>
      </c>
      <c r="AF108">
        <v>0</v>
      </c>
      <c r="AG108">
        <v>0</v>
      </c>
      <c r="AH108" s="1">
        <v>0</v>
      </c>
      <c r="AI108">
        <v>106</v>
      </c>
      <c r="AJ108">
        <v>0</v>
      </c>
      <c r="AK108">
        <v>0</v>
      </c>
      <c r="AL108">
        <v>2</v>
      </c>
      <c r="AM108">
        <v>0</v>
      </c>
      <c r="AN108">
        <v>0</v>
      </c>
      <c r="AO108" s="1">
        <v>300</v>
      </c>
    </row>
    <row r="109" spans="1:41" x14ac:dyDescent="0.35">
      <c r="A109" t="s">
        <v>156</v>
      </c>
      <c r="B109" t="s">
        <v>157</v>
      </c>
      <c r="C109" t="s">
        <v>142</v>
      </c>
      <c r="G109">
        <v>107</v>
      </c>
      <c r="H109">
        <v>0</v>
      </c>
      <c r="I109">
        <v>0</v>
      </c>
      <c r="J109">
        <v>3</v>
      </c>
      <c r="K109">
        <v>0</v>
      </c>
      <c r="L109">
        <v>2</v>
      </c>
      <c r="M109" s="1">
        <v>300</v>
      </c>
      <c r="N109">
        <v>107</v>
      </c>
      <c r="O109">
        <v>0</v>
      </c>
      <c r="P109">
        <v>0</v>
      </c>
      <c r="Q109">
        <v>0</v>
      </c>
      <c r="R109">
        <v>0</v>
      </c>
      <c r="S109">
        <v>0</v>
      </c>
      <c r="T109" s="1">
        <v>0</v>
      </c>
      <c r="U109">
        <v>107</v>
      </c>
      <c r="V109">
        <v>1</v>
      </c>
      <c r="W109">
        <v>0</v>
      </c>
      <c r="X109">
        <v>0</v>
      </c>
      <c r="Y109">
        <v>0</v>
      </c>
      <c r="Z109">
        <v>1</v>
      </c>
      <c r="AA109" s="1">
        <v>200</v>
      </c>
      <c r="AB109">
        <v>107</v>
      </c>
      <c r="AC109">
        <v>0</v>
      </c>
      <c r="AD109">
        <v>0</v>
      </c>
      <c r="AE109">
        <v>0</v>
      </c>
      <c r="AF109">
        <v>0</v>
      </c>
      <c r="AG109">
        <v>0</v>
      </c>
      <c r="AH109" s="1">
        <v>0</v>
      </c>
      <c r="AI109">
        <v>107</v>
      </c>
      <c r="AJ109">
        <v>0</v>
      </c>
      <c r="AK109">
        <v>0</v>
      </c>
      <c r="AL109">
        <v>0</v>
      </c>
      <c r="AM109">
        <v>0</v>
      </c>
      <c r="AN109">
        <v>0</v>
      </c>
      <c r="AO109" s="1">
        <v>0</v>
      </c>
    </row>
    <row r="110" spans="1:41" x14ac:dyDescent="0.35">
      <c r="A110">
        <v>0</v>
      </c>
      <c r="B110">
        <v>0.97826086956521741</v>
      </c>
      <c r="C110">
        <v>0</v>
      </c>
      <c r="G110">
        <v>108</v>
      </c>
      <c r="H110">
        <v>0</v>
      </c>
      <c r="I110">
        <v>1</v>
      </c>
      <c r="J110">
        <v>2</v>
      </c>
      <c r="K110">
        <v>0</v>
      </c>
      <c r="L110">
        <v>0</v>
      </c>
      <c r="M110" s="1">
        <v>180</v>
      </c>
      <c r="N110">
        <v>108</v>
      </c>
      <c r="O110">
        <v>0</v>
      </c>
      <c r="P110">
        <v>0</v>
      </c>
      <c r="Q110">
        <v>0</v>
      </c>
      <c r="R110">
        <v>1</v>
      </c>
      <c r="S110">
        <v>0</v>
      </c>
      <c r="T110" s="1">
        <v>80</v>
      </c>
      <c r="U110">
        <v>108</v>
      </c>
      <c r="V110">
        <v>0</v>
      </c>
      <c r="W110">
        <v>2</v>
      </c>
      <c r="X110">
        <v>0</v>
      </c>
      <c r="Y110">
        <v>0</v>
      </c>
      <c r="Z110">
        <v>1</v>
      </c>
      <c r="AA110" s="1">
        <v>300</v>
      </c>
      <c r="AB110">
        <v>108</v>
      </c>
      <c r="AC110">
        <v>0</v>
      </c>
      <c r="AD110">
        <v>0</v>
      </c>
      <c r="AE110">
        <v>0</v>
      </c>
      <c r="AF110">
        <v>0</v>
      </c>
      <c r="AG110">
        <v>0</v>
      </c>
      <c r="AH110" s="1">
        <v>0</v>
      </c>
      <c r="AI110">
        <v>108</v>
      </c>
      <c r="AJ110">
        <v>0</v>
      </c>
      <c r="AK110">
        <v>0</v>
      </c>
      <c r="AL110">
        <v>0</v>
      </c>
      <c r="AM110">
        <v>0</v>
      </c>
      <c r="AN110">
        <v>0</v>
      </c>
      <c r="AO110" s="1">
        <v>0</v>
      </c>
    </row>
    <row r="111" spans="1:41" x14ac:dyDescent="0.35">
      <c r="A111">
        <v>0.97826086956521741</v>
      </c>
      <c r="B111">
        <v>0.99275362318840576</v>
      </c>
      <c r="C111">
        <v>1</v>
      </c>
      <c r="G111">
        <v>109</v>
      </c>
      <c r="H111">
        <v>2</v>
      </c>
      <c r="I111">
        <v>1</v>
      </c>
      <c r="J111">
        <v>1</v>
      </c>
      <c r="K111">
        <v>3</v>
      </c>
      <c r="L111">
        <v>0</v>
      </c>
      <c r="M111" s="1">
        <v>420</v>
      </c>
      <c r="N111">
        <v>109</v>
      </c>
      <c r="O111">
        <v>1</v>
      </c>
      <c r="P111">
        <v>0</v>
      </c>
      <c r="Q111">
        <v>2</v>
      </c>
      <c r="R111">
        <v>0</v>
      </c>
      <c r="S111">
        <v>1</v>
      </c>
      <c r="T111" s="1">
        <v>320</v>
      </c>
      <c r="U111">
        <v>109</v>
      </c>
      <c r="V111">
        <v>0</v>
      </c>
      <c r="W111">
        <v>0</v>
      </c>
      <c r="X111">
        <v>0</v>
      </c>
      <c r="Y111">
        <v>0</v>
      </c>
      <c r="Z111">
        <v>1</v>
      </c>
      <c r="AA111" s="1">
        <v>100</v>
      </c>
      <c r="AB111">
        <v>109</v>
      </c>
      <c r="AC111">
        <v>0</v>
      </c>
      <c r="AD111">
        <v>0</v>
      </c>
      <c r="AE111">
        <v>0</v>
      </c>
      <c r="AF111">
        <v>0</v>
      </c>
      <c r="AG111">
        <v>0</v>
      </c>
      <c r="AH111" s="1">
        <v>0</v>
      </c>
      <c r="AI111">
        <v>109</v>
      </c>
      <c r="AJ111">
        <v>0</v>
      </c>
      <c r="AK111">
        <v>0</v>
      </c>
      <c r="AL111">
        <v>0</v>
      </c>
      <c r="AM111">
        <v>0</v>
      </c>
      <c r="AN111">
        <v>0</v>
      </c>
      <c r="AO111" s="1">
        <v>0</v>
      </c>
    </row>
    <row r="112" spans="1:41" x14ac:dyDescent="0.35">
      <c r="A112">
        <v>0.99275362318840576</v>
      </c>
      <c r="B112">
        <v>1</v>
      </c>
      <c r="C112">
        <v>2</v>
      </c>
      <c r="G112">
        <v>110</v>
      </c>
      <c r="H112">
        <v>2</v>
      </c>
      <c r="I112">
        <v>0</v>
      </c>
      <c r="J112">
        <v>1</v>
      </c>
      <c r="K112">
        <v>2</v>
      </c>
      <c r="L112">
        <v>0</v>
      </c>
      <c r="M112" s="1">
        <v>300</v>
      </c>
      <c r="N112">
        <v>110</v>
      </c>
      <c r="O112">
        <v>0</v>
      </c>
      <c r="P112">
        <v>1</v>
      </c>
      <c r="Q112">
        <v>1</v>
      </c>
      <c r="R112">
        <v>1</v>
      </c>
      <c r="S112">
        <v>0</v>
      </c>
      <c r="T112" s="1">
        <v>240</v>
      </c>
      <c r="U112">
        <v>110</v>
      </c>
      <c r="V112">
        <v>0</v>
      </c>
      <c r="W112">
        <v>1</v>
      </c>
      <c r="X112">
        <v>0</v>
      </c>
      <c r="Y112">
        <v>0</v>
      </c>
      <c r="Z112">
        <v>0</v>
      </c>
      <c r="AA112" s="1">
        <v>100</v>
      </c>
      <c r="AB112">
        <v>110</v>
      </c>
      <c r="AC112">
        <v>0</v>
      </c>
      <c r="AD112">
        <v>0</v>
      </c>
      <c r="AE112">
        <v>0</v>
      </c>
      <c r="AF112">
        <v>0</v>
      </c>
      <c r="AG112">
        <v>0</v>
      </c>
      <c r="AH112" s="1">
        <v>0</v>
      </c>
      <c r="AI112">
        <v>110</v>
      </c>
      <c r="AJ112">
        <v>0</v>
      </c>
      <c r="AK112">
        <v>0</v>
      </c>
      <c r="AL112">
        <v>0</v>
      </c>
      <c r="AM112">
        <v>0</v>
      </c>
      <c r="AN112">
        <v>0</v>
      </c>
      <c r="AO112" s="1">
        <v>0</v>
      </c>
    </row>
    <row r="113" spans="1:41" x14ac:dyDescent="0.35">
      <c r="A113" t="s">
        <v>156</v>
      </c>
      <c r="B113" t="s">
        <v>157</v>
      </c>
      <c r="C113" t="s">
        <v>143</v>
      </c>
      <c r="G113">
        <v>111</v>
      </c>
      <c r="H113">
        <v>1</v>
      </c>
      <c r="I113">
        <v>0</v>
      </c>
      <c r="J113">
        <v>2</v>
      </c>
      <c r="K113">
        <v>4</v>
      </c>
      <c r="L113">
        <v>1</v>
      </c>
      <c r="M113" s="1">
        <v>480</v>
      </c>
      <c r="N113">
        <v>111</v>
      </c>
      <c r="O113">
        <v>0</v>
      </c>
      <c r="P113">
        <v>0</v>
      </c>
      <c r="Q113">
        <v>0</v>
      </c>
      <c r="R113">
        <v>0</v>
      </c>
      <c r="S113">
        <v>0</v>
      </c>
      <c r="T113" s="1">
        <v>0</v>
      </c>
      <c r="U113">
        <v>111</v>
      </c>
      <c r="V113">
        <v>0</v>
      </c>
      <c r="W113">
        <v>1</v>
      </c>
      <c r="X113">
        <v>0</v>
      </c>
      <c r="Y113">
        <v>0</v>
      </c>
      <c r="Z113">
        <v>0</v>
      </c>
      <c r="AA113" s="1">
        <v>100</v>
      </c>
      <c r="AB113">
        <v>111</v>
      </c>
      <c r="AC113">
        <v>0</v>
      </c>
      <c r="AD113">
        <v>0</v>
      </c>
      <c r="AE113">
        <v>1</v>
      </c>
      <c r="AF113">
        <v>1</v>
      </c>
      <c r="AG113">
        <v>0</v>
      </c>
      <c r="AH113" s="1">
        <v>240</v>
      </c>
      <c r="AI113">
        <v>111</v>
      </c>
      <c r="AJ113">
        <v>0</v>
      </c>
      <c r="AK113">
        <v>0</v>
      </c>
      <c r="AL113">
        <v>1</v>
      </c>
      <c r="AM113">
        <v>0</v>
      </c>
      <c r="AN113">
        <v>0</v>
      </c>
      <c r="AO113" s="1">
        <v>150</v>
      </c>
    </row>
    <row r="114" spans="1:41" x14ac:dyDescent="0.35">
      <c r="A114">
        <v>0</v>
      </c>
      <c r="B114">
        <v>1</v>
      </c>
      <c r="C114">
        <v>0</v>
      </c>
      <c r="G114">
        <v>112</v>
      </c>
      <c r="H114">
        <v>1</v>
      </c>
      <c r="I114">
        <v>0</v>
      </c>
      <c r="J114">
        <v>2</v>
      </c>
      <c r="K114">
        <v>4</v>
      </c>
      <c r="L114">
        <v>0</v>
      </c>
      <c r="M114" s="1">
        <v>420</v>
      </c>
      <c r="N114">
        <v>112</v>
      </c>
      <c r="O114">
        <v>1</v>
      </c>
      <c r="P114">
        <v>1</v>
      </c>
      <c r="Q114">
        <v>0</v>
      </c>
      <c r="R114">
        <v>0</v>
      </c>
      <c r="S114">
        <v>0</v>
      </c>
      <c r="T114" s="1">
        <v>160</v>
      </c>
      <c r="U114">
        <v>112</v>
      </c>
      <c r="V114">
        <v>0</v>
      </c>
      <c r="W114">
        <v>2</v>
      </c>
      <c r="X114">
        <v>1</v>
      </c>
      <c r="Y114">
        <v>0</v>
      </c>
      <c r="Z114">
        <v>0</v>
      </c>
      <c r="AA114" s="1">
        <v>300</v>
      </c>
      <c r="AB114">
        <v>112</v>
      </c>
      <c r="AC114">
        <v>0</v>
      </c>
      <c r="AD114">
        <v>0</v>
      </c>
      <c r="AE114">
        <v>0</v>
      </c>
      <c r="AF114">
        <v>0</v>
      </c>
      <c r="AG114">
        <v>0</v>
      </c>
      <c r="AH114" s="1">
        <v>0</v>
      </c>
      <c r="AI114">
        <v>112</v>
      </c>
      <c r="AJ114">
        <v>0</v>
      </c>
      <c r="AK114">
        <v>0</v>
      </c>
      <c r="AL114">
        <v>0</v>
      </c>
      <c r="AM114">
        <v>0</v>
      </c>
      <c r="AN114">
        <v>0</v>
      </c>
      <c r="AO114" s="1">
        <v>0</v>
      </c>
    </row>
    <row r="115" spans="1:41" x14ac:dyDescent="0.35">
      <c r="A115" t="s">
        <v>156</v>
      </c>
      <c r="B115" t="s">
        <v>157</v>
      </c>
      <c r="C115" t="s">
        <v>144</v>
      </c>
      <c r="G115">
        <v>113</v>
      </c>
      <c r="H115">
        <v>1</v>
      </c>
      <c r="I115">
        <v>0</v>
      </c>
      <c r="J115">
        <v>0</v>
      </c>
      <c r="K115">
        <v>0</v>
      </c>
      <c r="L115">
        <v>2</v>
      </c>
      <c r="M115" s="1">
        <v>180</v>
      </c>
      <c r="N115">
        <v>113</v>
      </c>
      <c r="O115">
        <v>0</v>
      </c>
      <c r="P115">
        <v>0</v>
      </c>
      <c r="Q115">
        <v>1</v>
      </c>
      <c r="R115">
        <v>1</v>
      </c>
      <c r="S115">
        <v>0</v>
      </c>
      <c r="T115" s="1">
        <v>160</v>
      </c>
      <c r="U115">
        <v>113</v>
      </c>
      <c r="V115">
        <v>1</v>
      </c>
      <c r="W115">
        <v>2</v>
      </c>
      <c r="X115">
        <v>0</v>
      </c>
      <c r="Y115">
        <v>0</v>
      </c>
      <c r="Z115">
        <v>0</v>
      </c>
      <c r="AA115" s="1">
        <v>300</v>
      </c>
      <c r="AB115">
        <v>113</v>
      </c>
      <c r="AC115">
        <v>0</v>
      </c>
      <c r="AD115">
        <v>0</v>
      </c>
      <c r="AE115">
        <v>0</v>
      </c>
      <c r="AF115">
        <v>0</v>
      </c>
      <c r="AG115">
        <v>0</v>
      </c>
      <c r="AH115" s="1">
        <v>0</v>
      </c>
      <c r="AI115">
        <v>113</v>
      </c>
      <c r="AJ115">
        <v>0</v>
      </c>
      <c r="AK115">
        <v>0</v>
      </c>
      <c r="AL115">
        <v>0</v>
      </c>
      <c r="AM115">
        <v>0</v>
      </c>
      <c r="AN115">
        <v>0</v>
      </c>
      <c r="AO115" s="1">
        <v>0</v>
      </c>
    </row>
    <row r="116" spans="1:41" x14ac:dyDescent="0.35">
      <c r="A116">
        <v>0</v>
      </c>
      <c r="B116">
        <v>0.97826086956521741</v>
      </c>
      <c r="C116">
        <v>0</v>
      </c>
      <c r="G116">
        <v>114</v>
      </c>
      <c r="H116">
        <v>0</v>
      </c>
      <c r="I116">
        <v>0</v>
      </c>
      <c r="J116">
        <v>3</v>
      </c>
      <c r="K116">
        <v>1</v>
      </c>
      <c r="L116">
        <v>0</v>
      </c>
      <c r="M116" s="1">
        <v>240</v>
      </c>
      <c r="N116">
        <v>114</v>
      </c>
      <c r="O116">
        <v>0</v>
      </c>
      <c r="P116">
        <v>0</v>
      </c>
      <c r="Q116">
        <v>0</v>
      </c>
      <c r="R116">
        <v>0</v>
      </c>
      <c r="S116">
        <v>0</v>
      </c>
      <c r="T116" s="1">
        <v>0</v>
      </c>
      <c r="U116">
        <v>114</v>
      </c>
      <c r="V116">
        <v>0</v>
      </c>
      <c r="W116">
        <v>2</v>
      </c>
      <c r="X116">
        <v>0</v>
      </c>
      <c r="Y116">
        <v>1</v>
      </c>
      <c r="Z116">
        <v>0</v>
      </c>
      <c r="AA116" s="1">
        <v>300</v>
      </c>
      <c r="AB116">
        <v>114</v>
      </c>
      <c r="AC116">
        <v>0</v>
      </c>
      <c r="AD116">
        <v>0</v>
      </c>
      <c r="AE116">
        <v>0</v>
      </c>
      <c r="AF116">
        <v>0</v>
      </c>
      <c r="AG116">
        <v>0</v>
      </c>
      <c r="AH116" s="1">
        <v>0</v>
      </c>
      <c r="AI116">
        <v>114</v>
      </c>
      <c r="AJ116">
        <v>0</v>
      </c>
      <c r="AK116">
        <v>0</v>
      </c>
      <c r="AL116">
        <v>0</v>
      </c>
      <c r="AM116">
        <v>0</v>
      </c>
      <c r="AN116">
        <v>0</v>
      </c>
      <c r="AO116" s="1">
        <v>0</v>
      </c>
    </row>
    <row r="117" spans="1:41" x14ac:dyDescent="0.35">
      <c r="A117">
        <v>0.97826086956521741</v>
      </c>
      <c r="B117">
        <v>0.99275362318840576</v>
      </c>
      <c r="C117">
        <v>1</v>
      </c>
      <c r="G117">
        <v>115</v>
      </c>
      <c r="H117">
        <v>0</v>
      </c>
      <c r="I117">
        <v>1</v>
      </c>
      <c r="J117">
        <v>0</v>
      </c>
      <c r="K117">
        <v>0</v>
      </c>
      <c r="L117">
        <v>1</v>
      </c>
      <c r="M117" s="1">
        <v>120</v>
      </c>
      <c r="N117">
        <v>115</v>
      </c>
      <c r="O117">
        <v>1</v>
      </c>
      <c r="P117">
        <v>0</v>
      </c>
      <c r="Q117">
        <v>0</v>
      </c>
      <c r="R117">
        <v>0</v>
      </c>
      <c r="S117">
        <v>0</v>
      </c>
      <c r="T117" s="1">
        <v>80</v>
      </c>
      <c r="U117">
        <v>115</v>
      </c>
      <c r="V117">
        <v>0</v>
      </c>
      <c r="W117">
        <v>0</v>
      </c>
      <c r="X117">
        <v>1</v>
      </c>
      <c r="Y117">
        <v>0</v>
      </c>
      <c r="Z117">
        <v>0</v>
      </c>
      <c r="AA117" s="1">
        <v>100</v>
      </c>
      <c r="AB117">
        <v>115</v>
      </c>
      <c r="AC117">
        <v>1</v>
      </c>
      <c r="AD117">
        <v>0</v>
      </c>
      <c r="AE117">
        <v>0</v>
      </c>
      <c r="AF117">
        <v>0</v>
      </c>
      <c r="AG117">
        <v>0</v>
      </c>
      <c r="AH117" s="1">
        <v>120</v>
      </c>
      <c r="AI117">
        <v>115</v>
      </c>
      <c r="AJ117">
        <v>0</v>
      </c>
      <c r="AK117">
        <v>0</v>
      </c>
      <c r="AL117">
        <v>0</v>
      </c>
      <c r="AM117">
        <v>0</v>
      </c>
      <c r="AN117">
        <v>0</v>
      </c>
      <c r="AO117" s="1">
        <v>0</v>
      </c>
    </row>
    <row r="118" spans="1:41" x14ac:dyDescent="0.35">
      <c r="A118">
        <v>0.99275362318840576</v>
      </c>
      <c r="B118">
        <v>1</v>
      </c>
      <c r="C118">
        <v>2</v>
      </c>
      <c r="G118">
        <v>116</v>
      </c>
      <c r="H118">
        <v>0</v>
      </c>
      <c r="I118">
        <v>0</v>
      </c>
      <c r="J118">
        <v>1</v>
      </c>
      <c r="K118">
        <v>3</v>
      </c>
      <c r="L118">
        <v>1</v>
      </c>
      <c r="M118" s="1">
        <v>300</v>
      </c>
      <c r="N118">
        <v>116</v>
      </c>
      <c r="O118">
        <v>0</v>
      </c>
      <c r="P118">
        <v>1</v>
      </c>
      <c r="Q118">
        <v>0</v>
      </c>
      <c r="R118">
        <v>2</v>
      </c>
      <c r="S118">
        <v>0</v>
      </c>
      <c r="T118" s="1">
        <v>240</v>
      </c>
      <c r="U118">
        <v>116</v>
      </c>
      <c r="V118">
        <v>0</v>
      </c>
      <c r="W118">
        <v>0</v>
      </c>
      <c r="X118">
        <v>0</v>
      </c>
      <c r="Y118">
        <v>0</v>
      </c>
      <c r="Z118">
        <v>0</v>
      </c>
      <c r="AA118" s="1">
        <v>0</v>
      </c>
      <c r="AB118">
        <v>116</v>
      </c>
      <c r="AC118">
        <v>0</v>
      </c>
      <c r="AD118">
        <v>0</v>
      </c>
      <c r="AE118">
        <v>0</v>
      </c>
      <c r="AF118">
        <v>1</v>
      </c>
      <c r="AG118">
        <v>3</v>
      </c>
      <c r="AH118" s="1">
        <v>480</v>
      </c>
      <c r="AI118">
        <v>116</v>
      </c>
      <c r="AJ118">
        <v>0</v>
      </c>
      <c r="AK118">
        <v>0</v>
      </c>
      <c r="AL118">
        <v>0</v>
      </c>
      <c r="AM118">
        <v>0</v>
      </c>
      <c r="AN118">
        <v>0</v>
      </c>
      <c r="AO118" s="1">
        <v>0</v>
      </c>
    </row>
    <row r="119" spans="1:41" x14ac:dyDescent="0.35">
      <c r="G119">
        <v>117</v>
      </c>
      <c r="H119">
        <v>2</v>
      </c>
      <c r="I119">
        <v>2</v>
      </c>
      <c r="J119">
        <v>0</v>
      </c>
      <c r="K119">
        <v>0</v>
      </c>
      <c r="L119">
        <v>2</v>
      </c>
      <c r="M119" s="1">
        <v>360</v>
      </c>
      <c r="N119">
        <v>117</v>
      </c>
      <c r="O119">
        <v>0</v>
      </c>
      <c r="P119">
        <v>0</v>
      </c>
      <c r="Q119">
        <v>0</v>
      </c>
      <c r="R119">
        <v>0</v>
      </c>
      <c r="S119">
        <v>0</v>
      </c>
      <c r="T119" s="1">
        <v>0</v>
      </c>
      <c r="U119">
        <v>117</v>
      </c>
      <c r="V119">
        <v>0</v>
      </c>
      <c r="W119">
        <v>0</v>
      </c>
      <c r="X119">
        <v>0</v>
      </c>
      <c r="Y119">
        <v>0</v>
      </c>
      <c r="Z119">
        <v>0</v>
      </c>
      <c r="AA119" s="1">
        <v>0</v>
      </c>
      <c r="AB119">
        <v>117</v>
      </c>
      <c r="AC119">
        <v>0</v>
      </c>
      <c r="AD119">
        <v>0</v>
      </c>
      <c r="AE119">
        <v>0</v>
      </c>
      <c r="AF119">
        <v>0</v>
      </c>
      <c r="AG119">
        <v>0</v>
      </c>
      <c r="AH119" s="1">
        <v>0</v>
      </c>
      <c r="AI119">
        <v>117</v>
      </c>
      <c r="AJ119">
        <v>0</v>
      </c>
      <c r="AK119">
        <v>0</v>
      </c>
      <c r="AL119">
        <v>0</v>
      </c>
      <c r="AM119">
        <v>0</v>
      </c>
      <c r="AN119">
        <v>0</v>
      </c>
      <c r="AO119" s="1">
        <v>0</v>
      </c>
    </row>
    <row r="120" spans="1:41" x14ac:dyDescent="0.35">
      <c r="G120">
        <v>118</v>
      </c>
      <c r="H120">
        <v>2</v>
      </c>
      <c r="I120">
        <v>0</v>
      </c>
      <c r="J120">
        <v>2</v>
      </c>
      <c r="K120">
        <v>0</v>
      </c>
      <c r="L120">
        <v>0</v>
      </c>
      <c r="M120" s="1">
        <v>240</v>
      </c>
      <c r="N120">
        <v>118</v>
      </c>
      <c r="O120">
        <v>0</v>
      </c>
      <c r="P120">
        <v>0</v>
      </c>
      <c r="Q120">
        <v>0</v>
      </c>
      <c r="R120">
        <v>0</v>
      </c>
      <c r="S120">
        <v>0</v>
      </c>
      <c r="T120" s="1">
        <v>0</v>
      </c>
      <c r="U120">
        <v>118</v>
      </c>
      <c r="V120">
        <v>0</v>
      </c>
      <c r="W120">
        <v>0</v>
      </c>
      <c r="X120">
        <v>0</v>
      </c>
      <c r="Y120">
        <v>0</v>
      </c>
      <c r="Z120">
        <v>0</v>
      </c>
      <c r="AA120" s="1">
        <v>0</v>
      </c>
      <c r="AB120">
        <v>118</v>
      </c>
      <c r="AC120">
        <v>0</v>
      </c>
      <c r="AD120">
        <v>0</v>
      </c>
      <c r="AE120">
        <v>0</v>
      </c>
      <c r="AF120">
        <v>0</v>
      </c>
      <c r="AG120">
        <v>0</v>
      </c>
      <c r="AH120" s="1">
        <v>0</v>
      </c>
      <c r="AI120">
        <v>118</v>
      </c>
      <c r="AJ120">
        <v>0</v>
      </c>
      <c r="AK120">
        <v>0</v>
      </c>
      <c r="AL120">
        <v>2</v>
      </c>
      <c r="AM120">
        <v>0</v>
      </c>
      <c r="AN120">
        <v>0</v>
      </c>
      <c r="AO120" s="1">
        <v>300</v>
      </c>
    </row>
    <row r="121" spans="1:41" x14ac:dyDescent="0.35">
      <c r="G121">
        <v>119</v>
      </c>
      <c r="H121">
        <v>2</v>
      </c>
      <c r="I121">
        <v>0</v>
      </c>
      <c r="J121">
        <v>2</v>
      </c>
      <c r="K121">
        <v>0</v>
      </c>
      <c r="L121">
        <v>1</v>
      </c>
      <c r="M121" s="1">
        <v>300</v>
      </c>
      <c r="N121">
        <v>119</v>
      </c>
      <c r="O121">
        <v>0</v>
      </c>
      <c r="P121">
        <v>0</v>
      </c>
      <c r="Q121">
        <v>1</v>
      </c>
      <c r="R121">
        <v>0</v>
      </c>
      <c r="S121">
        <v>0</v>
      </c>
      <c r="T121" s="1">
        <v>80</v>
      </c>
      <c r="U121">
        <v>119</v>
      </c>
      <c r="V121">
        <v>0</v>
      </c>
      <c r="W121">
        <v>0</v>
      </c>
      <c r="X121">
        <v>0</v>
      </c>
      <c r="Y121">
        <v>0</v>
      </c>
      <c r="Z121">
        <v>0</v>
      </c>
      <c r="AA121" s="1">
        <v>0</v>
      </c>
      <c r="AB121">
        <v>119</v>
      </c>
      <c r="AC121">
        <v>0</v>
      </c>
      <c r="AD121">
        <v>0</v>
      </c>
      <c r="AE121">
        <v>0</v>
      </c>
      <c r="AF121">
        <v>0</v>
      </c>
      <c r="AG121">
        <v>0</v>
      </c>
      <c r="AH121" s="1">
        <v>0</v>
      </c>
      <c r="AI121">
        <v>119</v>
      </c>
      <c r="AJ121">
        <v>0</v>
      </c>
      <c r="AK121">
        <v>0</v>
      </c>
      <c r="AL121">
        <v>0</v>
      </c>
      <c r="AM121">
        <v>0</v>
      </c>
      <c r="AN121">
        <v>0</v>
      </c>
      <c r="AO121" s="1">
        <v>0</v>
      </c>
    </row>
    <row r="122" spans="1:41" x14ac:dyDescent="0.35">
      <c r="G122">
        <v>120</v>
      </c>
      <c r="H122">
        <v>1</v>
      </c>
      <c r="I122">
        <v>0</v>
      </c>
      <c r="J122">
        <v>1</v>
      </c>
      <c r="K122">
        <v>0</v>
      </c>
      <c r="L122">
        <v>0</v>
      </c>
      <c r="M122" s="1">
        <v>120</v>
      </c>
      <c r="N122">
        <v>120</v>
      </c>
      <c r="O122">
        <v>1</v>
      </c>
      <c r="P122">
        <v>1</v>
      </c>
      <c r="Q122">
        <v>2</v>
      </c>
      <c r="R122">
        <v>0</v>
      </c>
      <c r="S122">
        <v>1</v>
      </c>
      <c r="T122" s="1">
        <v>400</v>
      </c>
      <c r="U122">
        <v>120</v>
      </c>
      <c r="V122">
        <v>0</v>
      </c>
      <c r="W122">
        <v>2</v>
      </c>
      <c r="X122">
        <v>0</v>
      </c>
      <c r="Y122">
        <v>0</v>
      </c>
      <c r="Z122">
        <v>0</v>
      </c>
      <c r="AA122" s="1">
        <v>200</v>
      </c>
      <c r="AB122">
        <v>120</v>
      </c>
      <c r="AC122">
        <v>0</v>
      </c>
      <c r="AD122">
        <v>0</v>
      </c>
      <c r="AE122">
        <v>0</v>
      </c>
      <c r="AF122">
        <v>0</v>
      </c>
      <c r="AG122">
        <v>0</v>
      </c>
      <c r="AH122" s="1">
        <v>0</v>
      </c>
      <c r="AI122">
        <v>120</v>
      </c>
      <c r="AJ122">
        <v>0</v>
      </c>
      <c r="AK122">
        <v>0</v>
      </c>
      <c r="AL122">
        <v>0</v>
      </c>
      <c r="AM122">
        <v>0</v>
      </c>
      <c r="AN122">
        <v>0</v>
      </c>
      <c r="AO122" s="1">
        <v>0</v>
      </c>
    </row>
    <row r="123" spans="1:41" x14ac:dyDescent="0.35">
      <c r="G123">
        <v>121</v>
      </c>
      <c r="H123">
        <v>2</v>
      </c>
      <c r="I123">
        <v>3</v>
      </c>
      <c r="J123">
        <v>1</v>
      </c>
      <c r="K123">
        <v>0</v>
      </c>
      <c r="L123">
        <v>1</v>
      </c>
      <c r="M123" s="1">
        <v>420</v>
      </c>
      <c r="N123">
        <v>121</v>
      </c>
      <c r="O123">
        <v>0</v>
      </c>
      <c r="P123">
        <v>1</v>
      </c>
      <c r="Q123">
        <v>0</v>
      </c>
      <c r="R123">
        <v>0</v>
      </c>
      <c r="S123">
        <v>1</v>
      </c>
      <c r="T123" s="1">
        <v>160</v>
      </c>
      <c r="U123">
        <v>121</v>
      </c>
      <c r="V123">
        <v>0</v>
      </c>
      <c r="W123">
        <v>1</v>
      </c>
      <c r="X123">
        <v>0</v>
      </c>
      <c r="Y123">
        <v>0</v>
      </c>
      <c r="Z123">
        <v>0</v>
      </c>
      <c r="AA123" s="1">
        <v>100</v>
      </c>
      <c r="AB123">
        <v>121</v>
      </c>
      <c r="AC123">
        <v>0</v>
      </c>
      <c r="AD123">
        <v>0</v>
      </c>
      <c r="AE123">
        <v>0</v>
      </c>
      <c r="AF123">
        <v>0</v>
      </c>
      <c r="AG123">
        <v>0</v>
      </c>
      <c r="AH123" s="1">
        <v>0</v>
      </c>
      <c r="AI123">
        <v>121</v>
      </c>
      <c r="AJ123">
        <v>0</v>
      </c>
      <c r="AK123">
        <v>0</v>
      </c>
      <c r="AL123">
        <v>2</v>
      </c>
      <c r="AM123">
        <v>0</v>
      </c>
      <c r="AN123">
        <v>0</v>
      </c>
      <c r="AO123" s="1">
        <v>300</v>
      </c>
    </row>
    <row r="124" spans="1:41" x14ac:dyDescent="0.35">
      <c r="G124">
        <v>122</v>
      </c>
      <c r="H124">
        <v>1</v>
      </c>
      <c r="I124">
        <v>3</v>
      </c>
      <c r="J124">
        <v>0</v>
      </c>
      <c r="K124">
        <v>0</v>
      </c>
      <c r="L124">
        <v>0</v>
      </c>
      <c r="M124" s="1">
        <v>240</v>
      </c>
      <c r="N124">
        <v>122</v>
      </c>
      <c r="O124">
        <v>0</v>
      </c>
      <c r="P124">
        <v>2</v>
      </c>
      <c r="Q124">
        <v>0</v>
      </c>
      <c r="R124">
        <v>0</v>
      </c>
      <c r="S124">
        <v>1</v>
      </c>
      <c r="T124" s="1">
        <v>240</v>
      </c>
      <c r="U124">
        <v>122</v>
      </c>
      <c r="V124">
        <v>0</v>
      </c>
      <c r="W124">
        <v>0</v>
      </c>
      <c r="X124">
        <v>1</v>
      </c>
      <c r="Y124">
        <v>0</v>
      </c>
      <c r="Z124">
        <v>0</v>
      </c>
      <c r="AA124" s="1">
        <v>100</v>
      </c>
      <c r="AB124">
        <v>122</v>
      </c>
      <c r="AC124">
        <v>0</v>
      </c>
      <c r="AD124">
        <v>0</v>
      </c>
      <c r="AE124">
        <v>0</v>
      </c>
      <c r="AF124">
        <v>0</v>
      </c>
      <c r="AG124">
        <v>0</v>
      </c>
      <c r="AH124" s="1">
        <v>0</v>
      </c>
      <c r="AI124">
        <v>122</v>
      </c>
      <c r="AJ124">
        <v>0</v>
      </c>
      <c r="AK124">
        <v>0</v>
      </c>
      <c r="AL124">
        <v>0</v>
      </c>
      <c r="AM124">
        <v>0</v>
      </c>
      <c r="AN124">
        <v>0</v>
      </c>
      <c r="AO124" s="1">
        <v>0</v>
      </c>
    </row>
    <row r="125" spans="1:41" x14ac:dyDescent="0.35">
      <c r="G125">
        <v>123</v>
      </c>
      <c r="H125">
        <v>0</v>
      </c>
      <c r="I125">
        <v>3</v>
      </c>
      <c r="J125">
        <v>0</v>
      </c>
      <c r="K125">
        <v>4</v>
      </c>
      <c r="L125">
        <v>1</v>
      </c>
      <c r="M125" s="1">
        <v>480</v>
      </c>
      <c r="N125">
        <v>123</v>
      </c>
      <c r="O125">
        <v>0</v>
      </c>
      <c r="P125">
        <v>0</v>
      </c>
      <c r="Q125">
        <v>0</v>
      </c>
      <c r="R125">
        <v>0</v>
      </c>
      <c r="S125">
        <v>0</v>
      </c>
      <c r="T125" s="1">
        <v>0</v>
      </c>
      <c r="U125">
        <v>123</v>
      </c>
      <c r="V125">
        <v>0</v>
      </c>
      <c r="W125">
        <v>1</v>
      </c>
      <c r="X125">
        <v>1</v>
      </c>
      <c r="Y125">
        <v>0</v>
      </c>
      <c r="Z125">
        <v>0</v>
      </c>
      <c r="AA125" s="1">
        <v>200</v>
      </c>
      <c r="AB125">
        <v>123</v>
      </c>
      <c r="AC125">
        <v>0</v>
      </c>
      <c r="AD125">
        <v>0</v>
      </c>
      <c r="AE125">
        <v>0</v>
      </c>
      <c r="AF125">
        <v>0</v>
      </c>
      <c r="AG125">
        <v>0</v>
      </c>
      <c r="AH125" s="1">
        <v>0</v>
      </c>
      <c r="AI125">
        <v>123</v>
      </c>
      <c r="AJ125">
        <v>0</v>
      </c>
      <c r="AK125">
        <v>0</v>
      </c>
      <c r="AL125">
        <v>2</v>
      </c>
      <c r="AM125">
        <v>0</v>
      </c>
      <c r="AN125">
        <v>0</v>
      </c>
      <c r="AO125" s="1">
        <v>300</v>
      </c>
    </row>
    <row r="126" spans="1:41" x14ac:dyDescent="0.35">
      <c r="G126">
        <v>124</v>
      </c>
      <c r="H126">
        <v>0</v>
      </c>
      <c r="I126">
        <v>0</v>
      </c>
      <c r="J126">
        <v>0</v>
      </c>
      <c r="K126">
        <v>4</v>
      </c>
      <c r="L126">
        <v>1</v>
      </c>
      <c r="M126" s="1">
        <v>300</v>
      </c>
      <c r="N126">
        <v>124</v>
      </c>
      <c r="O126">
        <v>0</v>
      </c>
      <c r="P126">
        <v>0</v>
      </c>
      <c r="Q126">
        <v>1</v>
      </c>
      <c r="R126">
        <v>0</v>
      </c>
      <c r="S126">
        <v>0</v>
      </c>
      <c r="T126" s="1">
        <v>80</v>
      </c>
      <c r="U126">
        <v>124</v>
      </c>
      <c r="V126">
        <v>0</v>
      </c>
      <c r="W126">
        <v>3</v>
      </c>
      <c r="X126">
        <v>0</v>
      </c>
      <c r="Y126">
        <v>0</v>
      </c>
      <c r="Z126">
        <v>0</v>
      </c>
      <c r="AA126" s="1">
        <v>300</v>
      </c>
      <c r="AB126">
        <v>124</v>
      </c>
      <c r="AC126">
        <v>0</v>
      </c>
      <c r="AD126">
        <v>0</v>
      </c>
      <c r="AE126">
        <v>0</v>
      </c>
      <c r="AF126">
        <v>0</v>
      </c>
      <c r="AG126">
        <v>0</v>
      </c>
      <c r="AH126" s="1">
        <v>0</v>
      </c>
      <c r="AI126">
        <v>124</v>
      </c>
      <c r="AJ126">
        <v>0</v>
      </c>
      <c r="AK126">
        <v>0</v>
      </c>
      <c r="AL126">
        <v>3</v>
      </c>
      <c r="AM126">
        <v>0</v>
      </c>
      <c r="AN126">
        <v>0</v>
      </c>
      <c r="AO126" s="1">
        <v>450</v>
      </c>
    </row>
    <row r="127" spans="1:41" x14ac:dyDescent="0.35">
      <c r="G127">
        <v>125</v>
      </c>
      <c r="H127">
        <v>0</v>
      </c>
      <c r="I127">
        <v>0</v>
      </c>
      <c r="J127">
        <v>1</v>
      </c>
      <c r="K127">
        <v>3</v>
      </c>
      <c r="L127">
        <v>0</v>
      </c>
      <c r="M127" s="1">
        <v>240</v>
      </c>
      <c r="N127">
        <v>125</v>
      </c>
      <c r="O127">
        <v>0</v>
      </c>
      <c r="P127">
        <v>0</v>
      </c>
      <c r="Q127">
        <v>0</v>
      </c>
      <c r="R127">
        <v>2</v>
      </c>
      <c r="S127">
        <v>1</v>
      </c>
      <c r="T127" s="1">
        <v>240</v>
      </c>
      <c r="U127">
        <v>125</v>
      </c>
      <c r="V127">
        <v>0</v>
      </c>
      <c r="W127">
        <v>0</v>
      </c>
      <c r="X127">
        <v>1</v>
      </c>
      <c r="Y127">
        <v>0</v>
      </c>
      <c r="Z127">
        <v>0</v>
      </c>
      <c r="AA127" s="1">
        <v>100</v>
      </c>
      <c r="AB127">
        <v>125</v>
      </c>
      <c r="AC127">
        <v>0</v>
      </c>
      <c r="AD127">
        <v>1</v>
      </c>
      <c r="AE127">
        <v>0</v>
      </c>
      <c r="AF127">
        <v>0</v>
      </c>
      <c r="AG127">
        <v>0</v>
      </c>
      <c r="AH127" s="1">
        <v>120</v>
      </c>
      <c r="AI127">
        <v>125</v>
      </c>
      <c r="AJ127">
        <v>0</v>
      </c>
      <c r="AK127">
        <v>0</v>
      </c>
      <c r="AL127">
        <v>0</v>
      </c>
      <c r="AM127">
        <v>0</v>
      </c>
      <c r="AN127">
        <v>0</v>
      </c>
      <c r="AO127" s="1">
        <v>0</v>
      </c>
    </row>
    <row r="128" spans="1:41" x14ac:dyDescent="0.35">
      <c r="G128">
        <v>126</v>
      </c>
      <c r="H128">
        <v>0</v>
      </c>
      <c r="I128">
        <v>1</v>
      </c>
      <c r="J128">
        <v>1</v>
      </c>
      <c r="K128">
        <v>0</v>
      </c>
      <c r="L128">
        <v>1</v>
      </c>
      <c r="M128" s="1">
        <v>180</v>
      </c>
      <c r="N128">
        <v>126</v>
      </c>
      <c r="O128">
        <v>1</v>
      </c>
      <c r="P128">
        <v>0</v>
      </c>
      <c r="Q128">
        <v>1</v>
      </c>
      <c r="R128">
        <v>1</v>
      </c>
      <c r="S128">
        <v>1</v>
      </c>
      <c r="T128" s="1">
        <v>320</v>
      </c>
      <c r="U128">
        <v>126</v>
      </c>
      <c r="V128">
        <v>0</v>
      </c>
      <c r="W128">
        <v>3</v>
      </c>
      <c r="X128">
        <v>0</v>
      </c>
      <c r="Y128">
        <v>0</v>
      </c>
      <c r="Z128">
        <v>0</v>
      </c>
      <c r="AA128" s="1">
        <v>300</v>
      </c>
      <c r="AB128">
        <v>126</v>
      </c>
      <c r="AC128">
        <v>1</v>
      </c>
      <c r="AD128">
        <v>0</v>
      </c>
      <c r="AE128">
        <v>0</v>
      </c>
      <c r="AF128">
        <v>0</v>
      </c>
      <c r="AG128">
        <v>0</v>
      </c>
      <c r="AH128" s="1">
        <v>120</v>
      </c>
      <c r="AI128">
        <v>126</v>
      </c>
      <c r="AJ128">
        <v>0</v>
      </c>
      <c r="AK128">
        <v>0</v>
      </c>
      <c r="AL128">
        <v>0</v>
      </c>
      <c r="AM128">
        <v>0</v>
      </c>
      <c r="AN128">
        <v>0</v>
      </c>
      <c r="AO128" s="1">
        <v>0</v>
      </c>
    </row>
    <row r="129" spans="7:41" x14ac:dyDescent="0.35">
      <c r="G129">
        <v>127</v>
      </c>
      <c r="H129">
        <v>1</v>
      </c>
      <c r="I129">
        <v>0</v>
      </c>
      <c r="J129">
        <v>0</v>
      </c>
      <c r="K129">
        <v>2</v>
      </c>
      <c r="L129">
        <v>0</v>
      </c>
      <c r="M129" s="1">
        <v>180</v>
      </c>
      <c r="N129">
        <v>127</v>
      </c>
      <c r="O129">
        <v>0</v>
      </c>
      <c r="P129">
        <v>0</v>
      </c>
      <c r="Q129">
        <v>0</v>
      </c>
      <c r="R129">
        <v>0</v>
      </c>
      <c r="S129">
        <v>0</v>
      </c>
      <c r="T129" s="1">
        <v>0</v>
      </c>
      <c r="U129">
        <v>127</v>
      </c>
      <c r="V129">
        <v>1</v>
      </c>
      <c r="W129">
        <v>0</v>
      </c>
      <c r="X129">
        <v>0</v>
      </c>
      <c r="Y129">
        <v>0</v>
      </c>
      <c r="Z129">
        <v>0</v>
      </c>
      <c r="AA129" s="1">
        <v>100</v>
      </c>
      <c r="AB129">
        <v>127</v>
      </c>
      <c r="AC129">
        <v>0</v>
      </c>
      <c r="AD129">
        <v>0</v>
      </c>
      <c r="AE129">
        <v>0</v>
      </c>
      <c r="AF129">
        <v>0</v>
      </c>
      <c r="AG129">
        <v>0</v>
      </c>
      <c r="AH129" s="1">
        <v>0</v>
      </c>
      <c r="AI129">
        <v>127</v>
      </c>
      <c r="AJ129">
        <v>0</v>
      </c>
      <c r="AK129">
        <v>0</v>
      </c>
      <c r="AL129">
        <v>0</v>
      </c>
      <c r="AM129">
        <v>0</v>
      </c>
      <c r="AN129">
        <v>0</v>
      </c>
      <c r="AO129" s="1">
        <v>0</v>
      </c>
    </row>
    <row r="130" spans="7:41" x14ac:dyDescent="0.35">
      <c r="G130">
        <v>128</v>
      </c>
      <c r="H130">
        <v>1</v>
      </c>
      <c r="I130">
        <v>1</v>
      </c>
      <c r="J130">
        <v>0</v>
      </c>
      <c r="K130">
        <v>0</v>
      </c>
      <c r="L130">
        <v>2</v>
      </c>
      <c r="M130" s="1">
        <v>240</v>
      </c>
      <c r="N130">
        <v>128</v>
      </c>
      <c r="O130">
        <v>2</v>
      </c>
      <c r="P130">
        <v>1</v>
      </c>
      <c r="Q130">
        <v>2</v>
      </c>
      <c r="R130">
        <v>0</v>
      </c>
      <c r="S130">
        <v>0</v>
      </c>
      <c r="T130" s="1">
        <v>400</v>
      </c>
      <c r="U130">
        <v>128</v>
      </c>
      <c r="V130">
        <v>0</v>
      </c>
      <c r="W130">
        <v>1</v>
      </c>
      <c r="X130">
        <v>0</v>
      </c>
      <c r="Y130">
        <v>0</v>
      </c>
      <c r="Z130">
        <v>0</v>
      </c>
      <c r="AA130" s="1">
        <v>100</v>
      </c>
      <c r="AB130">
        <v>128</v>
      </c>
      <c r="AC130">
        <v>0</v>
      </c>
      <c r="AD130">
        <v>0</v>
      </c>
      <c r="AE130">
        <v>0</v>
      </c>
      <c r="AF130">
        <v>0</v>
      </c>
      <c r="AG130">
        <v>0</v>
      </c>
      <c r="AH130" s="1">
        <v>0</v>
      </c>
      <c r="AI130">
        <v>128</v>
      </c>
      <c r="AJ130">
        <v>0</v>
      </c>
      <c r="AK130">
        <v>0</v>
      </c>
      <c r="AL130">
        <v>0</v>
      </c>
      <c r="AM130">
        <v>0</v>
      </c>
      <c r="AN130">
        <v>0</v>
      </c>
      <c r="AO130" s="1">
        <v>0</v>
      </c>
    </row>
    <row r="131" spans="7:41" x14ac:dyDescent="0.35">
      <c r="G131">
        <v>129</v>
      </c>
      <c r="H131">
        <v>1</v>
      </c>
      <c r="I131">
        <v>3</v>
      </c>
      <c r="J131">
        <v>0</v>
      </c>
      <c r="K131">
        <v>0</v>
      </c>
      <c r="L131">
        <v>0</v>
      </c>
      <c r="M131" s="1">
        <v>240</v>
      </c>
      <c r="N131">
        <v>129</v>
      </c>
      <c r="O131">
        <v>0</v>
      </c>
      <c r="P131">
        <v>1</v>
      </c>
      <c r="Q131">
        <v>1</v>
      </c>
      <c r="R131">
        <v>0</v>
      </c>
      <c r="S131">
        <v>0</v>
      </c>
      <c r="T131" s="1">
        <v>160</v>
      </c>
      <c r="U131">
        <v>129</v>
      </c>
      <c r="V131">
        <v>0</v>
      </c>
      <c r="W131">
        <v>0</v>
      </c>
      <c r="X131">
        <v>0</v>
      </c>
      <c r="Y131">
        <v>0</v>
      </c>
      <c r="Z131">
        <v>0</v>
      </c>
      <c r="AA131" s="1">
        <v>0</v>
      </c>
      <c r="AB131">
        <v>129</v>
      </c>
      <c r="AC131">
        <v>0</v>
      </c>
      <c r="AD131">
        <v>0</v>
      </c>
      <c r="AE131">
        <v>0</v>
      </c>
      <c r="AF131">
        <v>0</v>
      </c>
      <c r="AG131">
        <v>0</v>
      </c>
      <c r="AH131" s="1">
        <v>0</v>
      </c>
      <c r="AI131">
        <v>129</v>
      </c>
      <c r="AJ131">
        <v>0</v>
      </c>
      <c r="AK131">
        <v>0</v>
      </c>
      <c r="AL131">
        <v>2</v>
      </c>
      <c r="AM131">
        <v>0</v>
      </c>
      <c r="AN131">
        <v>0</v>
      </c>
      <c r="AO131" s="1">
        <v>300</v>
      </c>
    </row>
    <row r="132" spans="7:41" x14ac:dyDescent="0.35">
      <c r="G132">
        <v>130</v>
      </c>
      <c r="H132">
        <v>1</v>
      </c>
      <c r="I132">
        <v>1</v>
      </c>
      <c r="J132">
        <v>2</v>
      </c>
      <c r="K132">
        <v>0</v>
      </c>
      <c r="L132">
        <v>2</v>
      </c>
      <c r="M132" s="1">
        <v>360</v>
      </c>
      <c r="N132">
        <v>130</v>
      </c>
      <c r="O132">
        <v>0</v>
      </c>
      <c r="P132">
        <v>2</v>
      </c>
      <c r="Q132">
        <v>0</v>
      </c>
      <c r="R132">
        <v>0</v>
      </c>
      <c r="S132">
        <v>0</v>
      </c>
      <c r="T132" s="1">
        <v>160</v>
      </c>
      <c r="U132">
        <v>130</v>
      </c>
      <c r="V132">
        <v>0</v>
      </c>
      <c r="W132">
        <v>0</v>
      </c>
      <c r="X132">
        <v>0</v>
      </c>
      <c r="Y132">
        <v>0</v>
      </c>
      <c r="Z132">
        <v>0</v>
      </c>
      <c r="AA132" s="1">
        <v>0</v>
      </c>
      <c r="AB132">
        <v>130</v>
      </c>
      <c r="AC132">
        <v>0</v>
      </c>
      <c r="AD132">
        <v>0</v>
      </c>
      <c r="AE132">
        <v>0</v>
      </c>
      <c r="AF132">
        <v>0</v>
      </c>
      <c r="AG132">
        <v>0</v>
      </c>
      <c r="AH132" s="1">
        <v>0</v>
      </c>
      <c r="AI132">
        <v>130</v>
      </c>
      <c r="AJ132">
        <v>0</v>
      </c>
      <c r="AK132">
        <v>0</v>
      </c>
      <c r="AL132">
        <v>2</v>
      </c>
      <c r="AM132">
        <v>0</v>
      </c>
      <c r="AN132">
        <v>0</v>
      </c>
      <c r="AO132" s="1">
        <v>300</v>
      </c>
    </row>
    <row r="133" spans="7:41" x14ac:dyDescent="0.35">
      <c r="G133">
        <v>131</v>
      </c>
      <c r="H133">
        <v>2</v>
      </c>
      <c r="I133">
        <v>2</v>
      </c>
      <c r="J133">
        <v>3</v>
      </c>
      <c r="K133">
        <v>0</v>
      </c>
      <c r="L133">
        <v>1</v>
      </c>
      <c r="M133" s="1">
        <v>480</v>
      </c>
      <c r="N133">
        <v>131</v>
      </c>
      <c r="O133">
        <v>0</v>
      </c>
      <c r="P133">
        <v>0</v>
      </c>
      <c r="Q133">
        <v>0</v>
      </c>
      <c r="R133">
        <v>0</v>
      </c>
      <c r="S133">
        <v>0</v>
      </c>
      <c r="T133" s="1">
        <v>0</v>
      </c>
      <c r="U133">
        <v>131</v>
      </c>
      <c r="V133">
        <v>0</v>
      </c>
      <c r="W133">
        <v>0</v>
      </c>
      <c r="X133">
        <v>0</v>
      </c>
      <c r="Y133">
        <v>0</v>
      </c>
      <c r="Z133">
        <v>0</v>
      </c>
      <c r="AA133" s="1">
        <v>0</v>
      </c>
      <c r="AB133">
        <v>131</v>
      </c>
      <c r="AC133">
        <v>0</v>
      </c>
      <c r="AD133">
        <v>0</v>
      </c>
      <c r="AE133">
        <v>0</v>
      </c>
      <c r="AF133">
        <v>0</v>
      </c>
      <c r="AG133">
        <v>0</v>
      </c>
      <c r="AH133" s="1">
        <v>0</v>
      </c>
      <c r="AI133">
        <v>131</v>
      </c>
      <c r="AJ133">
        <v>0</v>
      </c>
      <c r="AK133">
        <v>0</v>
      </c>
      <c r="AL133">
        <v>0</v>
      </c>
      <c r="AM133">
        <v>0</v>
      </c>
      <c r="AN133">
        <v>0</v>
      </c>
      <c r="AO133" s="1">
        <v>0</v>
      </c>
    </row>
    <row r="134" spans="7:41" x14ac:dyDescent="0.35">
      <c r="G134">
        <v>132</v>
      </c>
      <c r="H134">
        <v>0</v>
      </c>
      <c r="I134">
        <v>1</v>
      </c>
      <c r="J134">
        <v>0</v>
      </c>
      <c r="K134">
        <v>0</v>
      </c>
      <c r="L134">
        <v>1</v>
      </c>
      <c r="M134" s="1">
        <v>120</v>
      </c>
      <c r="N134">
        <v>132</v>
      </c>
      <c r="O134">
        <v>0</v>
      </c>
      <c r="P134">
        <v>1</v>
      </c>
      <c r="Q134">
        <v>0</v>
      </c>
      <c r="R134">
        <v>1</v>
      </c>
      <c r="S134">
        <v>1</v>
      </c>
      <c r="T134" s="1">
        <v>240</v>
      </c>
      <c r="U134">
        <v>132</v>
      </c>
      <c r="V134">
        <v>0</v>
      </c>
      <c r="W134">
        <v>0</v>
      </c>
      <c r="X134">
        <v>0</v>
      </c>
      <c r="Y134">
        <v>0</v>
      </c>
      <c r="Z134">
        <v>0</v>
      </c>
      <c r="AA134" s="1">
        <v>0</v>
      </c>
      <c r="AB134">
        <v>132</v>
      </c>
      <c r="AC134">
        <v>0</v>
      </c>
      <c r="AD134">
        <v>0</v>
      </c>
      <c r="AE134">
        <v>0</v>
      </c>
      <c r="AF134">
        <v>0</v>
      </c>
      <c r="AG134">
        <v>0</v>
      </c>
      <c r="AH134" s="1">
        <v>0</v>
      </c>
      <c r="AI134">
        <v>132</v>
      </c>
      <c r="AJ134">
        <v>0</v>
      </c>
      <c r="AK134">
        <v>0</v>
      </c>
      <c r="AL134">
        <v>0</v>
      </c>
      <c r="AM134">
        <v>0</v>
      </c>
      <c r="AN134">
        <v>0</v>
      </c>
      <c r="AO134" s="1">
        <v>0</v>
      </c>
    </row>
    <row r="135" spans="7:41" x14ac:dyDescent="0.35">
      <c r="G135">
        <v>133</v>
      </c>
      <c r="H135">
        <v>2</v>
      </c>
      <c r="I135">
        <v>0</v>
      </c>
      <c r="J135">
        <v>0</v>
      </c>
      <c r="K135">
        <v>0</v>
      </c>
      <c r="L135">
        <v>0</v>
      </c>
      <c r="M135" s="1">
        <v>120</v>
      </c>
      <c r="N135">
        <v>133</v>
      </c>
      <c r="O135">
        <v>0</v>
      </c>
      <c r="P135">
        <v>1</v>
      </c>
      <c r="Q135">
        <v>1</v>
      </c>
      <c r="R135">
        <v>0</v>
      </c>
      <c r="S135">
        <v>0</v>
      </c>
      <c r="T135" s="1">
        <v>160</v>
      </c>
      <c r="U135">
        <v>133</v>
      </c>
      <c r="V135">
        <v>0</v>
      </c>
      <c r="W135">
        <v>1</v>
      </c>
      <c r="X135">
        <v>1</v>
      </c>
      <c r="Y135">
        <v>0</v>
      </c>
      <c r="Z135">
        <v>0</v>
      </c>
      <c r="AA135" s="1">
        <v>200</v>
      </c>
      <c r="AB135">
        <v>133</v>
      </c>
      <c r="AC135">
        <v>0</v>
      </c>
      <c r="AD135">
        <v>1</v>
      </c>
      <c r="AE135">
        <v>0</v>
      </c>
      <c r="AF135">
        <v>0</v>
      </c>
      <c r="AG135">
        <v>0</v>
      </c>
      <c r="AH135" s="1">
        <v>120</v>
      </c>
      <c r="AI135">
        <v>133</v>
      </c>
      <c r="AJ135">
        <v>0</v>
      </c>
      <c r="AK135">
        <v>0</v>
      </c>
      <c r="AL135">
        <v>0</v>
      </c>
      <c r="AM135">
        <v>0</v>
      </c>
      <c r="AN135">
        <v>0</v>
      </c>
      <c r="AO135" s="1">
        <v>0</v>
      </c>
    </row>
    <row r="136" spans="7:41" x14ac:dyDescent="0.35">
      <c r="G136">
        <v>134</v>
      </c>
      <c r="H136">
        <v>0</v>
      </c>
      <c r="I136">
        <v>0</v>
      </c>
      <c r="J136">
        <v>2</v>
      </c>
      <c r="K136">
        <v>2</v>
      </c>
      <c r="L136">
        <v>0</v>
      </c>
      <c r="M136" s="1">
        <v>240</v>
      </c>
      <c r="N136">
        <v>134</v>
      </c>
      <c r="O136">
        <v>1</v>
      </c>
      <c r="P136">
        <v>0</v>
      </c>
      <c r="Q136">
        <v>0</v>
      </c>
      <c r="R136">
        <v>0</v>
      </c>
      <c r="S136">
        <v>0</v>
      </c>
      <c r="T136" s="1">
        <v>80</v>
      </c>
      <c r="U136">
        <v>134</v>
      </c>
      <c r="V136">
        <v>0</v>
      </c>
      <c r="W136">
        <v>2</v>
      </c>
      <c r="X136">
        <v>0</v>
      </c>
      <c r="Y136">
        <v>0</v>
      </c>
      <c r="Z136">
        <v>0</v>
      </c>
      <c r="AA136" s="1">
        <v>200</v>
      </c>
      <c r="AB136">
        <v>134</v>
      </c>
      <c r="AC136">
        <v>0</v>
      </c>
      <c r="AD136">
        <v>0</v>
      </c>
      <c r="AE136">
        <v>0</v>
      </c>
      <c r="AF136">
        <v>0</v>
      </c>
      <c r="AG136">
        <v>1</v>
      </c>
      <c r="AH136" s="1">
        <v>120</v>
      </c>
      <c r="AI136">
        <v>134</v>
      </c>
      <c r="AJ136">
        <v>0</v>
      </c>
      <c r="AK136">
        <v>0</v>
      </c>
      <c r="AL136">
        <v>0</v>
      </c>
      <c r="AM136">
        <v>0</v>
      </c>
      <c r="AN136">
        <v>0</v>
      </c>
      <c r="AO136" s="1">
        <v>0</v>
      </c>
    </row>
    <row r="137" spans="7:41" x14ac:dyDescent="0.35">
      <c r="G137">
        <v>135</v>
      </c>
      <c r="H137">
        <v>1</v>
      </c>
      <c r="I137">
        <v>0</v>
      </c>
      <c r="J137">
        <v>0</v>
      </c>
      <c r="K137">
        <v>0</v>
      </c>
      <c r="L137">
        <v>0</v>
      </c>
      <c r="M137" s="1">
        <v>60</v>
      </c>
      <c r="N137">
        <v>135</v>
      </c>
      <c r="O137">
        <v>0</v>
      </c>
      <c r="P137">
        <v>0</v>
      </c>
      <c r="Q137">
        <v>2</v>
      </c>
      <c r="R137">
        <v>0</v>
      </c>
      <c r="S137">
        <v>0</v>
      </c>
      <c r="T137" s="1">
        <v>160</v>
      </c>
      <c r="U137">
        <v>135</v>
      </c>
      <c r="V137">
        <v>0</v>
      </c>
      <c r="W137">
        <v>0</v>
      </c>
      <c r="X137">
        <v>0</v>
      </c>
      <c r="Y137">
        <v>0</v>
      </c>
      <c r="Z137">
        <v>0</v>
      </c>
      <c r="AA137" s="1">
        <v>0</v>
      </c>
      <c r="AB137">
        <v>135</v>
      </c>
      <c r="AC137">
        <v>0</v>
      </c>
      <c r="AD137">
        <v>0</v>
      </c>
      <c r="AE137">
        <v>0</v>
      </c>
      <c r="AF137">
        <v>0</v>
      </c>
      <c r="AG137">
        <v>0</v>
      </c>
      <c r="AH137" s="1">
        <v>0</v>
      </c>
      <c r="AI137">
        <v>135</v>
      </c>
      <c r="AJ137">
        <v>0</v>
      </c>
      <c r="AK137">
        <v>0</v>
      </c>
      <c r="AL137">
        <v>0</v>
      </c>
      <c r="AM137">
        <v>0</v>
      </c>
      <c r="AN137">
        <v>0</v>
      </c>
      <c r="AO137" s="1">
        <v>0</v>
      </c>
    </row>
    <row r="138" spans="7:41" x14ac:dyDescent="0.35">
      <c r="G138">
        <v>136</v>
      </c>
      <c r="H138">
        <v>1</v>
      </c>
      <c r="I138">
        <v>0</v>
      </c>
      <c r="J138">
        <v>0</v>
      </c>
      <c r="K138">
        <v>0</v>
      </c>
      <c r="L138">
        <v>0</v>
      </c>
      <c r="M138" s="1">
        <v>60</v>
      </c>
      <c r="N138">
        <v>136</v>
      </c>
      <c r="O138">
        <v>0</v>
      </c>
      <c r="P138">
        <v>1</v>
      </c>
      <c r="Q138">
        <v>0</v>
      </c>
      <c r="R138">
        <v>0</v>
      </c>
      <c r="S138">
        <v>0</v>
      </c>
      <c r="T138" s="1">
        <v>80</v>
      </c>
      <c r="U138">
        <v>136</v>
      </c>
      <c r="V138">
        <v>0</v>
      </c>
      <c r="W138">
        <v>0</v>
      </c>
      <c r="X138">
        <v>0</v>
      </c>
      <c r="Y138">
        <v>0</v>
      </c>
      <c r="Z138">
        <v>1</v>
      </c>
      <c r="AA138" s="1">
        <v>100</v>
      </c>
      <c r="AB138">
        <v>136</v>
      </c>
      <c r="AC138">
        <v>0</v>
      </c>
      <c r="AD138">
        <v>0</v>
      </c>
      <c r="AE138">
        <v>0</v>
      </c>
      <c r="AF138">
        <v>0</v>
      </c>
      <c r="AG138">
        <v>0</v>
      </c>
      <c r="AH138" s="1">
        <v>0</v>
      </c>
      <c r="AI138">
        <v>136</v>
      </c>
      <c r="AJ138">
        <v>0</v>
      </c>
      <c r="AK138">
        <v>0</v>
      </c>
      <c r="AL138">
        <v>0</v>
      </c>
      <c r="AM138">
        <v>0</v>
      </c>
      <c r="AN138">
        <v>0</v>
      </c>
      <c r="AO138" s="1">
        <v>0</v>
      </c>
    </row>
    <row r="139" spans="7:41" x14ac:dyDescent="0.35">
      <c r="G139">
        <v>137</v>
      </c>
      <c r="H139">
        <v>0</v>
      </c>
      <c r="I139">
        <v>1</v>
      </c>
      <c r="J139">
        <v>0</v>
      </c>
      <c r="K139">
        <v>2</v>
      </c>
      <c r="L139">
        <v>0</v>
      </c>
      <c r="M139" s="1">
        <v>180</v>
      </c>
      <c r="N139">
        <v>137</v>
      </c>
      <c r="O139">
        <v>0</v>
      </c>
      <c r="P139">
        <v>0</v>
      </c>
      <c r="Q139">
        <v>0</v>
      </c>
      <c r="R139">
        <v>2</v>
      </c>
      <c r="S139">
        <v>0</v>
      </c>
      <c r="T139" s="1">
        <v>160</v>
      </c>
      <c r="U139">
        <v>137</v>
      </c>
      <c r="V139">
        <v>0</v>
      </c>
      <c r="W139">
        <v>0</v>
      </c>
      <c r="X139">
        <v>1</v>
      </c>
      <c r="Y139">
        <v>0</v>
      </c>
      <c r="Z139">
        <v>0</v>
      </c>
      <c r="AA139" s="1">
        <v>100</v>
      </c>
      <c r="AB139">
        <v>137</v>
      </c>
      <c r="AC139">
        <v>0</v>
      </c>
      <c r="AD139">
        <v>0</v>
      </c>
      <c r="AE139">
        <v>0</v>
      </c>
      <c r="AF139">
        <v>0</v>
      </c>
      <c r="AG139">
        <v>0</v>
      </c>
      <c r="AH139" s="1">
        <v>0</v>
      </c>
      <c r="AI139">
        <v>137</v>
      </c>
      <c r="AJ139">
        <v>0</v>
      </c>
      <c r="AK139">
        <v>0</v>
      </c>
      <c r="AL139">
        <v>0</v>
      </c>
      <c r="AM139">
        <v>0</v>
      </c>
      <c r="AN139">
        <v>0</v>
      </c>
      <c r="AO139" s="1">
        <v>0</v>
      </c>
    </row>
    <row r="140" spans="7:41" x14ac:dyDescent="0.35">
      <c r="G140">
        <v>138</v>
      </c>
      <c r="H140">
        <v>0</v>
      </c>
      <c r="I140">
        <v>0</v>
      </c>
      <c r="J140">
        <v>1</v>
      </c>
      <c r="K140">
        <v>1</v>
      </c>
      <c r="L140">
        <v>2</v>
      </c>
      <c r="M140" s="1">
        <v>240</v>
      </c>
      <c r="N140">
        <v>138</v>
      </c>
      <c r="O140">
        <v>0</v>
      </c>
      <c r="P140">
        <v>0</v>
      </c>
      <c r="Q140">
        <v>3</v>
      </c>
      <c r="R140">
        <v>0</v>
      </c>
      <c r="S140">
        <v>0</v>
      </c>
      <c r="T140" s="1">
        <v>240</v>
      </c>
      <c r="U140">
        <v>138</v>
      </c>
      <c r="V140">
        <v>0</v>
      </c>
      <c r="W140">
        <v>0</v>
      </c>
      <c r="X140">
        <v>0</v>
      </c>
      <c r="Y140">
        <v>0</v>
      </c>
      <c r="Z140">
        <v>0</v>
      </c>
      <c r="AA140" s="1">
        <v>0</v>
      </c>
      <c r="AB140">
        <v>138</v>
      </c>
      <c r="AC140">
        <v>0</v>
      </c>
      <c r="AD140">
        <v>0</v>
      </c>
      <c r="AE140">
        <v>0</v>
      </c>
      <c r="AF140">
        <v>0</v>
      </c>
      <c r="AG140">
        <v>0</v>
      </c>
      <c r="AH140" s="1">
        <v>0</v>
      </c>
      <c r="AI140">
        <v>138</v>
      </c>
      <c r="AJ140">
        <v>0</v>
      </c>
      <c r="AK140">
        <v>0</v>
      </c>
      <c r="AL140">
        <v>1</v>
      </c>
      <c r="AM140">
        <v>0</v>
      </c>
      <c r="AN140">
        <v>0</v>
      </c>
      <c r="AO140" s="1">
        <v>150</v>
      </c>
    </row>
    <row r="141" spans="7:41" x14ac:dyDescent="0.35">
      <c r="G141">
        <v>139</v>
      </c>
      <c r="H141">
        <v>0</v>
      </c>
      <c r="I141">
        <v>1</v>
      </c>
      <c r="J141">
        <v>0</v>
      </c>
      <c r="K141">
        <v>2</v>
      </c>
      <c r="L141">
        <v>0</v>
      </c>
      <c r="M141" s="1">
        <v>180</v>
      </c>
      <c r="N141">
        <v>139</v>
      </c>
      <c r="O141">
        <v>0</v>
      </c>
      <c r="P141">
        <v>1</v>
      </c>
      <c r="Q141">
        <v>0</v>
      </c>
      <c r="R141">
        <v>1</v>
      </c>
      <c r="S141">
        <v>0</v>
      </c>
      <c r="T141" s="1">
        <v>160</v>
      </c>
      <c r="U141">
        <v>139</v>
      </c>
      <c r="V141">
        <v>0</v>
      </c>
      <c r="W141">
        <v>2</v>
      </c>
      <c r="X141">
        <v>0</v>
      </c>
      <c r="Y141">
        <v>0</v>
      </c>
      <c r="Z141">
        <v>0</v>
      </c>
      <c r="AA141" s="1">
        <v>200</v>
      </c>
      <c r="AB141">
        <v>139</v>
      </c>
      <c r="AC141">
        <v>1</v>
      </c>
      <c r="AD141">
        <v>0</v>
      </c>
      <c r="AE141">
        <v>0</v>
      </c>
      <c r="AF141">
        <v>1</v>
      </c>
      <c r="AG141">
        <v>0</v>
      </c>
      <c r="AH141" s="1">
        <v>240</v>
      </c>
      <c r="AI141">
        <v>139</v>
      </c>
      <c r="AJ141">
        <v>0</v>
      </c>
      <c r="AK141">
        <v>0</v>
      </c>
      <c r="AL141">
        <v>1</v>
      </c>
      <c r="AM141">
        <v>0</v>
      </c>
      <c r="AN141">
        <v>0</v>
      </c>
      <c r="AO141" s="1">
        <v>150</v>
      </c>
    </row>
    <row r="142" spans="7:41" x14ac:dyDescent="0.35">
      <c r="G142">
        <v>140</v>
      </c>
      <c r="H142">
        <v>1</v>
      </c>
      <c r="I142">
        <v>1</v>
      </c>
      <c r="J142">
        <v>1</v>
      </c>
      <c r="K142">
        <v>4</v>
      </c>
      <c r="L142">
        <v>0</v>
      </c>
      <c r="M142" s="1">
        <v>420</v>
      </c>
      <c r="N142">
        <v>140</v>
      </c>
      <c r="O142">
        <v>0</v>
      </c>
      <c r="P142">
        <v>2</v>
      </c>
      <c r="Q142">
        <v>0</v>
      </c>
      <c r="R142">
        <v>0</v>
      </c>
      <c r="S142">
        <v>0</v>
      </c>
      <c r="T142" s="1">
        <v>160</v>
      </c>
      <c r="U142">
        <v>140</v>
      </c>
      <c r="V142">
        <v>0</v>
      </c>
      <c r="W142">
        <v>2</v>
      </c>
      <c r="X142">
        <v>0</v>
      </c>
      <c r="Y142">
        <v>0</v>
      </c>
      <c r="Z142">
        <v>0</v>
      </c>
      <c r="AA142" s="1">
        <v>200</v>
      </c>
      <c r="AB142">
        <v>140</v>
      </c>
      <c r="AC142">
        <v>0</v>
      </c>
      <c r="AD142">
        <v>0</v>
      </c>
      <c r="AE142">
        <v>0</v>
      </c>
      <c r="AF142">
        <v>0</v>
      </c>
      <c r="AG142">
        <v>0</v>
      </c>
      <c r="AH142" s="1">
        <v>0</v>
      </c>
      <c r="AI142">
        <v>140</v>
      </c>
      <c r="AJ142">
        <v>0</v>
      </c>
      <c r="AK142">
        <v>0</v>
      </c>
      <c r="AL142">
        <v>0</v>
      </c>
      <c r="AM142">
        <v>0</v>
      </c>
      <c r="AN142">
        <v>0</v>
      </c>
      <c r="AO142" s="1">
        <v>0</v>
      </c>
    </row>
    <row r="143" spans="7:41" x14ac:dyDescent="0.35">
      <c r="G143">
        <v>141</v>
      </c>
      <c r="H143">
        <v>0</v>
      </c>
      <c r="I143">
        <v>0</v>
      </c>
      <c r="J143">
        <v>0</v>
      </c>
      <c r="K143">
        <v>0</v>
      </c>
      <c r="L143">
        <v>2</v>
      </c>
      <c r="M143" s="1">
        <v>120</v>
      </c>
      <c r="N143">
        <v>141</v>
      </c>
      <c r="O143">
        <v>2</v>
      </c>
      <c r="P143">
        <v>1</v>
      </c>
      <c r="Q143">
        <v>0</v>
      </c>
      <c r="R143">
        <v>0</v>
      </c>
      <c r="S143">
        <v>0</v>
      </c>
      <c r="T143" s="1">
        <v>240</v>
      </c>
      <c r="U143">
        <v>141</v>
      </c>
      <c r="V143">
        <v>0</v>
      </c>
      <c r="W143">
        <v>0</v>
      </c>
      <c r="X143">
        <v>0</v>
      </c>
      <c r="Y143">
        <v>1</v>
      </c>
      <c r="Z143">
        <v>0</v>
      </c>
      <c r="AA143" s="1">
        <v>100</v>
      </c>
      <c r="AB143">
        <v>141</v>
      </c>
      <c r="AC143">
        <v>0</v>
      </c>
      <c r="AD143">
        <v>0</v>
      </c>
      <c r="AE143">
        <v>0</v>
      </c>
      <c r="AF143">
        <v>0</v>
      </c>
      <c r="AG143">
        <v>0</v>
      </c>
      <c r="AH143" s="1">
        <v>0</v>
      </c>
      <c r="AI143">
        <v>141</v>
      </c>
      <c r="AJ143">
        <v>0</v>
      </c>
      <c r="AK143">
        <v>0</v>
      </c>
      <c r="AL143">
        <v>3</v>
      </c>
      <c r="AM143">
        <v>0</v>
      </c>
      <c r="AN143">
        <v>0</v>
      </c>
      <c r="AO143" s="1">
        <v>450</v>
      </c>
    </row>
    <row r="144" spans="7:41" x14ac:dyDescent="0.35">
      <c r="G144">
        <v>142</v>
      </c>
      <c r="H144">
        <v>0</v>
      </c>
      <c r="I144">
        <v>0</v>
      </c>
      <c r="J144">
        <v>2</v>
      </c>
      <c r="K144">
        <v>0</v>
      </c>
      <c r="L144">
        <v>0</v>
      </c>
      <c r="M144" s="1">
        <v>120</v>
      </c>
      <c r="N144">
        <v>142</v>
      </c>
      <c r="O144">
        <v>0</v>
      </c>
      <c r="P144">
        <v>0</v>
      </c>
      <c r="Q144">
        <v>2</v>
      </c>
      <c r="R144">
        <v>0</v>
      </c>
      <c r="S144">
        <v>0</v>
      </c>
      <c r="T144" s="1">
        <v>160</v>
      </c>
      <c r="U144">
        <v>142</v>
      </c>
      <c r="V144">
        <v>0</v>
      </c>
      <c r="W144">
        <v>1</v>
      </c>
      <c r="X144">
        <v>0</v>
      </c>
      <c r="Y144">
        <v>0</v>
      </c>
      <c r="Z144">
        <v>0</v>
      </c>
      <c r="AA144" s="1">
        <v>100</v>
      </c>
      <c r="AB144">
        <v>142</v>
      </c>
      <c r="AC144">
        <v>0</v>
      </c>
      <c r="AD144">
        <v>0</v>
      </c>
      <c r="AE144">
        <v>0</v>
      </c>
      <c r="AF144">
        <v>0</v>
      </c>
      <c r="AG144">
        <v>0</v>
      </c>
      <c r="AH144" s="1">
        <v>0</v>
      </c>
      <c r="AI144">
        <v>142</v>
      </c>
      <c r="AJ144">
        <v>0</v>
      </c>
      <c r="AK144">
        <v>0</v>
      </c>
      <c r="AL144">
        <v>2</v>
      </c>
      <c r="AM144">
        <v>0</v>
      </c>
      <c r="AN144">
        <v>0</v>
      </c>
      <c r="AO144" s="1">
        <v>300</v>
      </c>
    </row>
    <row r="145" spans="7:41" x14ac:dyDescent="0.35">
      <c r="G145">
        <v>143</v>
      </c>
      <c r="H145">
        <v>0</v>
      </c>
      <c r="I145">
        <v>0</v>
      </c>
      <c r="J145">
        <v>0</v>
      </c>
      <c r="K145">
        <v>1</v>
      </c>
      <c r="L145">
        <v>0</v>
      </c>
      <c r="M145" s="1">
        <v>60</v>
      </c>
      <c r="N145">
        <v>143</v>
      </c>
      <c r="O145">
        <v>0</v>
      </c>
      <c r="P145">
        <v>0</v>
      </c>
      <c r="Q145">
        <v>0</v>
      </c>
      <c r="R145">
        <v>0</v>
      </c>
      <c r="S145">
        <v>0</v>
      </c>
      <c r="T145" s="1">
        <v>0</v>
      </c>
      <c r="U145">
        <v>143</v>
      </c>
      <c r="V145">
        <v>0</v>
      </c>
      <c r="W145">
        <v>0</v>
      </c>
      <c r="X145">
        <v>1</v>
      </c>
      <c r="Y145">
        <v>0</v>
      </c>
      <c r="Z145">
        <v>0</v>
      </c>
      <c r="AA145" s="1">
        <v>100</v>
      </c>
      <c r="AB145">
        <v>143</v>
      </c>
      <c r="AC145">
        <v>0</v>
      </c>
      <c r="AD145">
        <v>0</v>
      </c>
      <c r="AE145">
        <v>0</v>
      </c>
      <c r="AF145">
        <v>0</v>
      </c>
      <c r="AG145">
        <v>0</v>
      </c>
      <c r="AH145" s="1">
        <v>0</v>
      </c>
      <c r="AI145">
        <v>143</v>
      </c>
      <c r="AJ145">
        <v>0</v>
      </c>
      <c r="AK145">
        <v>0</v>
      </c>
      <c r="AL145">
        <v>0</v>
      </c>
      <c r="AM145">
        <v>0</v>
      </c>
      <c r="AN145">
        <v>0</v>
      </c>
      <c r="AO145" s="1">
        <v>0</v>
      </c>
    </row>
    <row r="146" spans="7:41" x14ac:dyDescent="0.35">
      <c r="G146">
        <v>144</v>
      </c>
      <c r="H146">
        <v>1</v>
      </c>
      <c r="I146">
        <v>0</v>
      </c>
      <c r="J146">
        <v>2</v>
      </c>
      <c r="K146">
        <v>1</v>
      </c>
      <c r="L146">
        <v>1</v>
      </c>
      <c r="M146" s="1">
        <v>300</v>
      </c>
      <c r="N146">
        <v>144</v>
      </c>
      <c r="O146">
        <v>0</v>
      </c>
      <c r="P146">
        <v>1</v>
      </c>
      <c r="Q146">
        <v>3</v>
      </c>
      <c r="R146">
        <v>0</v>
      </c>
      <c r="S146">
        <v>0</v>
      </c>
      <c r="T146" s="1">
        <v>320</v>
      </c>
      <c r="U146">
        <v>144</v>
      </c>
      <c r="V146">
        <v>0</v>
      </c>
      <c r="W146">
        <v>3</v>
      </c>
      <c r="X146">
        <v>0</v>
      </c>
      <c r="Y146">
        <v>0</v>
      </c>
      <c r="Z146">
        <v>0</v>
      </c>
      <c r="AA146" s="1">
        <v>300</v>
      </c>
      <c r="AB146">
        <v>144</v>
      </c>
      <c r="AC146">
        <v>0</v>
      </c>
      <c r="AD146">
        <v>0</v>
      </c>
      <c r="AE146">
        <v>0</v>
      </c>
      <c r="AF146">
        <v>0</v>
      </c>
      <c r="AG146">
        <v>0</v>
      </c>
      <c r="AH146" s="1">
        <v>0</v>
      </c>
      <c r="AI146">
        <v>144</v>
      </c>
      <c r="AJ146">
        <v>0</v>
      </c>
      <c r="AK146">
        <v>0</v>
      </c>
      <c r="AL146">
        <v>1</v>
      </c>
      <c r="AM146">
        <v>0</v>
      </c>
      <c r="AN146">
        <v>0</v>
      </c>
      <c r="AO146" s="1">
        <v>150</v>
      </c>
    </row>
    <row r="147" spans="7:41" x14ac:dyDescent="0.35">
      <c r="G147">
        <v>145</v>
      </c>
      <c r="H147">
        <v>0</v>
      </c>
      <c r="I147">
        <v>0</v>
      </c>
      <c r="J147">
        <v>1</v>
      </c>
      <c r="K147">
        <v>2</v>
      </c>
      <c r="L147">
        <v>1</v>
      </c>
      <c r="M147" s="1">
        <v>240</v>
      </c>
      <c r="N147">
        <v>145</v>
      </c>
      <c r="O147">
        <v>0</v>
      </c>
      <c r="P147">
        <v>1</v>
      </c>
      <c r="Q147">
        <v>0</v>
      </c>
      <c r="R147">
        <v>0</v>
      </c>
      <c r="S147">
        <v>2</v>
      </c>
      <c r="T147" s="1">
        <v>240</v>
      </c>
      <c r="U147">
        <v>145</v>
      </c>
      <c r="V147">
        <v>0</v>
      </c>
      <c r="W147">
        <v>0</v>
      </c>
      <c r="X147">
        <v>0</v>
      </c>
      <c r="Y147">
        <v>0</v>
      </c>
      <c r="Z147">
        <v>0</v>
      </c>
      <c r="AA147" s="1">
        <v>0</v>
      </c>
      <c r="AB147">
        <v>145</v>
      </c>
      <c r="AC147">
        <v>0</v>
      </c>
      <c r="AD147">
        <v>0</v>
      </c>
      <c r="AE147">
        <v>0</v>
      </c>
      <c r="AF147">
        <v>0</v>
      </c>
      <c r="AG147">
        <v>0</v>
      </c>
      <c r="AH147" s="1">
        <v>0</v>
      </c>
      <c r="AI147">
        <v>145</v>
      </c>
      <c r="AJ147">
        <v>0</v>
      </c>
      <c r="AK147">
        <v>0</v>
      </c>
      <c r="AL147">
        <v>3</v>
      </c>
      <c r="AM147">
        <v>0</v>
      </c>
      <c r="AN147">
        <v>0</v>
      </c>
      <c r="AO147" s="1">
        <v>450</v>
      </c>
    </row>
    <row r="148" spans="7:41" x14ac:dyDescent="0.35">
      <c r="G148">
        <v>146</v>
      </c>
      <c r="H148">
        <v>1</v>
      </c>
      <c r="I148">
        <v>4</v>
      </c>
      <c r="J148">
        <v>1</v>
      </c>
      <c r="K148">
        <v>0</v>
      </c>
      <c r="L148">
        <v>0</v>
      </c>
      <c r="M148" s="1">
        <v>360</v>
      </c>
      <c r="N148">
        <v>146</v>
      </c>
      <c r="O148">
        <v>0</v>
      </c>
      <c r="P148">
        <v>2</v>
      </c>
      <c r="Q148">
        <v>0</v>
      </c>
      <c r="R148">
        <v>0</v>
      </c>
      <c r="S148">
        <v>1</v>
      </c>
      <c r="T148" s="1">
        <v>240</v>
      </c>
      <c r="U148">
        <v>146</v>
      </c>
      <c r="V148">
        <v>0</v>
      </c>
      <c r="W148">
        <v>1</v>
      </c>
      <c r="X148">
        <v>0</v>
      </c>
      <c r="Y148">
        <v>0</v>
      </c>
      <c r="Z148">
        <v>0</v>
      </c>
      <c r="AA148" s="1">
        <v>100</v>
      </c>
      <c r="AB148">
        <v>146</v>
      </c>
      <c r="AC148">
        <v>0</v>
      </c>
      <c r="AD148">
        <v>0</v>
      </c>
      <c r="AE148">
        <v>0</v>
      </c>
      <c r="AF148">
        <v>0</v>
      </c>
      <c r="AG148">
        <v>0</v>
      </c>
      <c r="AH148" s="1">
        <v>0</v>
      </c>
      <c r="AI148">
        <v>146</v>
      </c>
      <c r="AJ148">
        <v>0</v>
      </c>
      <c r="AK148">
        <v>0</v>
      </c>
      <c r="AL148">
        <v>1</v>
      </c>
      <c r="AM148">
        <v>0</v>
      </c>
      <c r="AN148">
        <v>0</v>
      </c>
      <c r="AO148" s="1">
        <v>150</v>
      </c>
    </row>
    <row r="149" spans="7:41" x14ac:dyDescent="0.35">
      <c r="G149">
        <v>147</v>
      </c>
      <c r="H149">
        <v>0</v>
      </c>
      <c r="I149">
        <v>0</v>
      </c>
      <c r="J149">
        <v>0</v>
      </c>
      <c r="K149">
        <v>0</v>
      </c>
      <c r="L149">
        <v>1</v>
      </c>
      <c r="M149" s="1">
        <v>60</v>
      </c>
      <c r="N149">
        <v>147</v>
      </c>
      <c r="O149">
        <v>1</v>
      </c>
      <c r="P149">
        <v>0</v>
      </c>
      <c r="Q149">
        <v>1</v>
      </c>
      <c r="R149">
        <v>0</v>
      </c>
      <c r="S149">
        <v>1</v>
      </c>
      <c r="T149" s="1">
        <v>240</v>
      </c>
      <c r="U149">
        <v>147</v>
      </c>
      <c r="V149">
        <v>0</v>
      </c>
      <c r="W149">
        <v>0</v>
      </c>
      <c r="X149">
        <v>0</v>
      </c>
      <c r="Y149">
        <v>0</v>
      </c>
      <c r="Z149">
        <v>0</v>
      </c>
      <c r="AA149" s="1">
        <v>0</v>
      </c>
      <c r="AB149">
        <v>147</v>
      </c>
      <c r="AC149">
        <v>0</v>
      </c>
      <c r="AD149">
        <v>0</v>
      </c>
      <c r="AE149">
        <v>0</v>
      </c>
      <c r="AF149">
        <v>0</v>
      </c>
      <c r="AG149">
        <v>0</v>
      </c>
      <c r="AH149" s="1">
        <v>0</v>
      </c>
      <c r="AI149">
        <v>147</v>
      </c>
      <c r="AJ149">
        <v>0</v>
      </c>
      <c r="AK149">
        <v>0</v>
      </c>
      <c r="AL149">
        <v>2</v>
      </c>
      <c r="AM149">
        <v>0</v>
      </c>
      <c r="AN149">
        <v>0</v>
      </c>
      <c r="AO149" s="1">
        <v>300</v>
      </c>
    </row>
    <row r="150" spans="7:41" x14ac:dyDescent="0.35">
      <c r="G150">
        <v>148</v>
      </c>
      <c r="H150">
        <v>0</v>
      </c>
      <c r="I150">
        <v>0</v>
      </c>
      <c r="J150">
        <v>0</v>
      </c>
      <c r="K150">
        <v>4</v>
      </c>
      <c r="L150">
        <v>1</v>
      </c>
      <c r="M150" s="1">
        <v>300</v>
      </c>
      <c r="N150">
        <v>148</v>
      </c>
      <c r="O150">
        <v>0</v>
      </c>
      <c r="P150">
        <v>0</v>
      </c>
      <c r="Q150">
        <v>2</v>
      </c>
      <c r="R150">
        <v>0</v>
      </c>
      <c r="S150">
        <v>0</v>
      </c>
      <c r="T150" s="1">
        <v>160</v>
      </c>
      <c r="U150">
        <v>148</v>
      </c>
      <c r="V150">
        <v>0</v>
      </c>
      <c r="W150">
        <v>1</v>
      </c>
      <c r="X150">
        <v>0</v>
      </c>
      <c r="Y150">
        <v>0</v>
      </c>
      <c r="Z150">
        <v>0</v>
      </c>
      <c r="AA150" s="1">
        <v>100</v>
      </c>
      <c r="AB150">
        <v>148</v>
      </c>
      <c r="AC150">
        <v>0</v>
      </c>
      <c r="AD150">
        <v>1</v>
      </c>
      <c r="AE150">
        <v>0</v>
      </c>
      <c r="AF150">
        <v>0</v>
      </c>
      <c r="AG150">
        <v>0</v>
      </c>
      <c r="AH150" s="1">
        <v>120</v>
      </c>
      <c r="AI150">
        <v>148</v>
      </c>
      <c r="AJ150">
        <v>0</v>
      </c>
      <c r="AK150">
        <v>0</v>
      </c>
      <c r="AL150">
        <v>0</v>
      </c>
      <c r="AM150">
        <v>0</v>
      </c>
      <c r="AN150">
        <v>0</v>
      </c>
      <c r="AO150" s="1">
        <v>0</v>
      </c>
    </row>
    <row r="151" spans="7:41" x14ac:dyDescent="0.35">
      <c r="G151">
        <v>149</v>
      </c>
      <c r="H151">
        <v>0</v>
      </c>
      <c r="I151">
        <v>2</v>
      </c>
      <c r="J151">
        <v>0</v>
      </c>
      <c r="K151">
        <v>0</v>
      </c>
      <c r="L151">
        <v>0</v>
      </c>
      <c r="M151" s="1">
        <v>120</v>
      </c>
      <c r="N151">
        <v>149</v>
      </c>
      <c r="O151">
        <v>1</v>
      </c>
      <c r="P151">
        <v>0</v>
      </c>
      <c r="Q151">
        <v>0</v>
      </c>
      <c r="R151">
        <v>1</v>
      </c>
      <c r="S151">
        <v>1</v>
      </c>
      <c r="T151" s="1">
        <v>240</v>
      </c>
      <c r="U151">
        <v>149</v>
      </c>
      <c r="V151">
        <v>0</v>
      </c>
      <c r="W151">
        <v>0</v>
      </c>
      <c r="X151">
        <v>0</v>
      </c>
      <c r="Y151">
        <v>1</v>
      </c>
      <c r="Z151">
        <v>0</v>
      </c>
      <c r="AA151" s="1">
        <v>100</v>
      </c>
      <c r="AB151">
        <v>149</v>
      </c>
      <c r="AC151">
        <v>1</v>
      </c>
      <c r="AD151">
        <v>0</v>
      </c>
      <c r="AE151">
        <v>0</v>
      </c>
      <c r="AF151">
        <v>0</v>
      </c>
      <c r="AG151">
        <v>0</v>
      </c>
      <c r="AH151" s="1">
        <v>120</v>
      </c>
      <c r="AI151">
        <v>149</v>
      </c>
      <c r="AJ151">
        <v>0</v>
      </c>
      <c r="AK151">
        <v>0</v>
      </c>
      <c r="AL151">
        <v>0</v>
      </c>
      <c r="AM151">
        <v>0</v>
      </c>
      <c r="AN151">
        <v>0</v>
      </c>
      <c r="AO151" s="1">
        <v>0</v>
      </c>
    </row>
    <row r="152" spans="7:41" x14ac:dyDescent="0.35">
      <c r="G152">
        <v>150</v>
      </c>
      <c r="H152">
        <v>0</v>
      </c>
      <c r="I152">
        <v>1</v>
      </c>
      <c r="J152">
        <v>0</v>
      </c>
      <c r="K152">
        <v>2</v>
      </c>
      <c r="L152">
        <v>0</v>
      </c>
      <c r="M152" s="1">
        <v>180</v>
      </c>
      <c r="N152">
        <v>150</v>
      </c>
      <c r="O152">
        <v>0</v>
      </c>
      <c r="P152">
        <v>0</v>
      </c>
      <c r="Q152">
        <v>0</v>
      </c>
      <c r="R152">
        <v>0</v>
      </c>
      <c r="S152">
        <v>0</v>
      </c>
      <c r="T152" s="1">
        <v>0</v>
      </c>
      <c r="U152">
        <v>150</v>
      </c>
      <c r="V152">
        <v>0</v>
      </c>
      <c r="W152">
        <v>0</v>
      </c>
      <c r="X152">
        <v>0</v>
      </c>
      <c r="Y152">
        <v>0</v>
      </c>
      <c r="Z152">
        <v>0</v>
      </c>
      <c r="AA152" s="1">
        <v>0</v>
      </c>
      <c r="AB152">
        <v>150</v>
      </c>
      <c r="AC152">
        <v>0</v>
      </c>
      <c r="AD152">
        <v>0</v>
      </c>
      <c r="AE152">
        <v>0</v>
      </c>
      <c r="AF152">
        <v>0</v>
      </c>
      <c r="AG152">
        <v>0</v>
      </c>
      <c r="AH152" s="1">
        <v>0</v>
      </c>
      <c r="AI152">
        <v>150</v>
      </c>
      <c r="AJ152">
        <v>0</v>
      </c>
      <c r="AK152">
        <v>0</v>
      </c>
      <c r="AL152">
        <v>3</v>
      </c>
      <c r="AM152">
        <v>0</v>
      </c>
      <c r="AN152">
        <v>0</v>
      </c>
      <c r="AO152" s="1">
        <v>450</v>
      </c>
    </row>
    <row r="153" spans="7:41" x14ac:dyDescent="0.35">
      <c r="G153">
        <v>151</v>
      </c>
      <c r="H153">
        <v>1</v>
      </c>
      <c r="I153">
        <v>2</v>
      </c>
      <c r="J153">
        <v>2</v>
      </c>
      <c r="K153">
        <v>0</v>
      </c>
      <c r="L153">
        <v>0</v>
      </c>
      <c r="M153" s="1">
        <v>300</v>
      </c>
      <c r="N153">
        <v>151</v>
      </c>
      <c r="O153">
        <v>2</v>
      </c>
      <c r="P153">
        <v>1</v>
      </c>
      <c r="Q153">
        <v>1</v>
      </c>
      <c r="R153">
        <v>0</v>
      </c>
      <c r="S153">
        <v>2</v>
      </c>
      <c r="T153" s="1">
        <v>480</v>
      </c>
      <c r="U153">
        <v>151</v>
      </c>
      <c r="V153">
        <v>0</v>
      </c>
      <c r="W153">
        <v>0</v>
      </c>
      <c r="X153">
        <v>0</v>
      </c>
      <c r="Y153">
        <v>0</v>
      </c>
      <c r="Z153">
        <v>0</v>
      </c>
      <c r="AA153" s="1">
        <v>0</v>
      </c>
      <c r="AB153">
        <v>151</v>
      </c>
      <c r="AC153">
        <v>0</v>
      </c>
      <c r="AD153">
        <v>0</v>
      </c>
      <c r="AE153">
        <v>0</v>
      </c>
      <c r="AF153">
        <v>0</v>
      </c>
      <c r="AG153">
        <v>0</v>
      </c>
      <c r="AH153" s="1">
        <v>0</v>
      </c>
      <c r="AI153">
        <v>151</v>
      </c>
      <c r="AJ153">
        <v>0</v>
      </c>
      <c r="AK153">
        <v>0</v>
      </c>
      <c r="AL153">
        <v>0</v>
      </c>
      <c r="AM153">
        <v>0</v>
      </c>
      <c r="AN153">
        <v>0</v>
      </c>
      <c r="AO153" s="1">
        <v>0</v>
      </c>
    </row>
    <row r="154" spans="7:41" x14ac:dyDescent="0.35">
      <c r="G154">
        <v>152</v>
      </c>
      <c r="H154">
        <v>0</v>
      </c>
      <c r="I154">
        <v>1</v>
      </c>
      <c r="J154">
        <v>0</v>
      </c>
      <c r="K154">
        <v>2</v>
      </c>
      <c r="L154">
        <v>0</v>
      </c>
      <c r="M154" s="1">
        <v>180</v>
      </c>
      <c r="N154">
        <v>152</v>
      </c>
      <c r="O154">
        <v>1</v>
      </c>
      <c r="P154">
        <v>0</v>
      </c>
      <c r="Q154">
        <v>1</v>
      </c>
      <c r="R154">
        <v>1</v>
      </c>
      <c r="S154">
        <v>1</v>
      </c>
      <c r="T154" s="1">
        <v>320</v>
      </c>
      <c r="U154">
        <v>152</v>
      </c>
      <c r="V154">
        <v>0</v>
      </c>
      <c r="W154">
        <v>0</v>
      </c>
      <c r="X154">
        <v>0</v>
      </c>
      <c r="Y154">
        <v>0</v>
      </c>
      <c r="Z154">
        <v>0</v>
      </c>
      <c r="AA154" s="1">
        <v>0</v>
      </c>
      <c r="AB154">
        <v>152</v>
      </c>
      <c r="AC154">
        <v>0</v>
      </c>
      <c r="AD154">
        <v>0</v>
      </c>
      <c r="AE154">
        <v>0</v>
      </c>
      <c r="AF154">
        <v>0</v>
      </c>
      <c r="AG154">
        <v>0</v>
      </c>
      <c r="AH154" s="1">
        <v>0</v>
      </c>
      <c r="AI154">
        <v>152</v>
      </c>
      <c r="AJ154">
        <v>0</v>
      </c>
      <c r="AK154">
        <v>0</v>
      </c>
      <c r="AL154">
        <v>0</v>
      </c>
      <c r="AM154">
        <v>0</v>
      </c>
      <c r="AN154">
        <v>0</v>
      </c>
      <c r="AO154" s="1">
        <v>0</v>
      </c>
    </row>
    <row r="155" spans="7:41" x14ac:dyDescent="0.35">
      <c r="G155">
        <v>153</v>
      </c>
      <c r="H155">
        <v>0</v>
      </c>
      <c r="I155">
        <v>1</v>
      </c>
      <c r="J155">
        <v>2</v>
      </c>
      <c r="K155">
        <v>0</v>
      </c>
      <c r="L155">
        <v>1</v>
      </c>
      <c r="M155" s="1">
        <v>240</v>
      </c>
      <c r="N155">
        <v>153</v>
      </c>
      <c r="O155">
        <v>0</v>
      </c>
      <c r="P155">
        <v>1</v>
      </c>
      <c r="Q155">
        <v>0</v>
      </c>
      <c r="R155">
        <v>0</v>
      </c>
      <c r="S155">
        <v>0</v>
      </c>
      <c r="T155" s="1">
        <v>80</v>
      </c>
      <c r="U155">
        <v>153</v>
      </c>
      <c r="V155">
        <v>0</v>
      </c>
      <c r="W155">
        <v>0</v>
      </c>
      <c r="X155">
        <v>0</v>
      </c>
      <c r="Y155">
        <v>0</v>
      </c>
      <c r="Z155">
        <v>0</v>
      </c>
      <c r="AA155" s="1">
        <v>0</v>
      </c>
      <c r="AB155">
        <v>153</v>
      </c>
      <c r="AC155">
        <v>0</v>
      </c>
      <c r="AD155">
        <v>0</v>
      </c>
      <c r="AE155">
        <v>0</v>
      </c>
      <c r="AF155">
        <v>0</v>
      </c>
      <c r="AG155">
        <v>0</v>
      </c>
      <c r="AH155" s="1">
        <v>0</v>
      </c>
      <c r="AI155">
        <v>153</v>
      </c>
      <c r="AJ155">
        <v>0</v>
      </c>
      <c r="AK155">
        <v>0</v>
      </c>
      <c r="AL155">
        <v>0</v>
      </c>
      <c r="AM155">
        <v>0</v>
      </c>
      <c r="AN155">
        <v>0</v>
      </c>
      <c r="AO155" s="1">
        <v>0</v>
      </c>
    </row>
    <row r="156" spans="7:41" x14ac:dyDescent="0.35">
      <c r="G156">
        <v>154</v>
      </c>
      <c r="H156">
        <v>0</v>
      </c>
      <c r="I156">
        <v>3</v>
      </c>
      <c r="J156">
        <v>0</v>
      </c>
      <c r="K156">
        <v>3</v>
      </c>
      <c r="L156">
        <v>1</v>
      </c>
      <c r="M156" s="1">
        <v>420</v>
      </c>
      <c r="N156">
        <v>154</v>
      </c>
      <c r="O156">
        <v>0</v>
      </c>
      <c r="P156">
        <v>2</v>
      </c>
      <c r="Q156">
        <v>0</v>
      </c>
      <c r="R156">
        <v>0</v>
      </c>
      <c r="S156">
        <v>0</v>
      </c>
      <c r="T156" s="1">
        <v>160</v>
      </c>
      <c r="U156">
        <v>154</v>
      </c>
      <c r="V156">
        <v>0</v>
      </c>
      <c r="W156">
        <v>0</v>
      </c>
      <c r="X156">
        <v>0</v>
      </c>
      <c r="Y156">
        <v>0</v>
      </c>
      <c r="Z156">
        <v>0</v>
      </c>
      <c r="AA156" s="1">
        <v>0</v>
      </c>
      <c r="AB156">
        <v>154</v>
      </c>
      <c r="AC156">
        <v>0</v>
      </c>
      <c r="AD156">
        <v>0</v>
      </c>
      <c r="AE156">
        <v>0</v>
      </c>
      <c r="AF156">
        <v>0</v>
      </c>
      <c r="AG156">
        <v>0</v>
      </c>
      <c r="AH156" s="1">
        <v>0</v>
      </c>
      <c r="AI156">
        <v>154</v>
      </c>
      <c r="AJ156">
        <v>0</v>
      </c>
      <c r="AK156">
        <v>0</v>
      </c>
      <c r="AL156">
        <v>0</v>
      </c>
      <c r="AM156">
        <v>0</v>
      </c>
      <c r="AN156">
        <v>0</v>
      </c>
      <c r="AO156" s="1">
        <v>0</v>
      </c>
    </row>
    <row r="157" spans="7:41" x14ac:dyDescent="0.35">
      <c r="G157">
        <v>155</v>
      </c>
      <c r="H157">
        <v>2</v>
      </c>
      <c r="I157">
        <v>1</v>
      </c>
      <c r="J157">
        <v>0</v>
      </c>
      <c r="K157">
        <v>0</v>
      </c>
      <c r="L157">
        <v>0</v>
      </c>
      <c r="M157" s="1">
        <v>180</v>
      </c>
      <c r="N157">
        <v>155</v>
      </c>
      <c r="O157">
        <v>0</v>
      </c>
      <c r="P157">
        <v>0</v>
      </c>
      <c r="Q157">
        <v>1</v>
      </c>
      <c r="R157">
        <v>1</v>
      </c>
      <c r="S157">
        <v>1</v>
      </c>
      <c r="T157" s="1">
        <v>240</v>
      </c>
      <c r="U157">
        <v>155</v>
      </c>
      <c r="V157">
        <v>1</v>
      </c>
      <c r="W157">
        <v>0</v>
      </c>
      <c r="X157">
        <v>0</v>
      </c>
      <c r="Y157">
        <v>0</v>
      </c>
      <c r="Z157">
        <v>0</v>
      </c>
      <c r="AA157" s="1">
        <v>100</v>
      </c>
      <c r="AB157">
        <v>155</v>
      </c>
      <c r="AC157">
        <v>0</v>
      </c>
      <c r="AD157">
        <v>0</v>
      </c>
      <c r="AE157">
        <v>0</v>
      </c>
      <c r="AF157">
        <v>0</v>
      </c>
      <c r="AG157">
        <v>0</v>
      </c>
      <c r="AH157" s="1">
        <v>0</v>
      </c>
      <c r="AI157">
        <v>155</v>
      </c>
      <c r="AJ157">
        <v>0</v>
      </c>
      <c r="AK157">
        <v>0</v>
      </c>
      <c r="AL157">
        <v>1</v>
      </c>
      <c r="AM157">
        <v>0</v>
      </c>
      <c r="AN157">
        <v>0</v>
      </c>
      <c r="AO157" s="1">
        <v>150</v>
      </c>
    </row>
    <row r="158" spans="7:41" x14ac:dyDescent="0.35">
      <c r="G158">
        <v>156</v>
      </c>
      <c r="H158">
        <v>0</v>
      </c>
      <c r="I158">
        <v>0</v>
      </c>
      <c r="J158">
        <v>1</v>
      </c>
      <c r="K158">
        <v>0</v>
      </c>
      <c r="L158">
        <v>0</v>
      </c>
      <c r="M158" s="1">
        <v>60</v>
      </c>
      <c r="N158">
        <v>156</v>
      </c>
      <c r="O158">
        <v>0</v>
      </c>
      <c r="P158">
        <v>0</v>
      </c>
      <c r="Q158">
        <v>1</v>
      </c>
      <c r="R158">
        <v>0</v>
      </c>
      <c r="S158">
        <v>0</v>
      </c>
      <c r="T158" s="1">
        <v>80</v>
      </c>
      <c r="U158">
        <v>156</v>
      </c>
      <c r="V158">
        <v>0</v>
      </c>
      <c r="W158">
        <v>0</v>
      </c>
      <c r="X158">
        <v>1</v>
      </c>
      <c r="Y158">
        <v>2</v>
      </c>
      <c r="Z158">
        <v>0</v>
      </c>
      <c r="AA158" s="1">
        <v>300</v>
      </c>
      <c r="AB158">
        <v>156</v>
      </c>
      <c r="AC158">
        <v>0</v>
      </c>
      <c r="AD158">
        <v>0</v>
      </c>
      <c r="AE158">
        <v>0</v>
      </c>
      <c r="AF158">
        <v>0</v>
      </c>
      <c r="AG158">
        <v>0</v>
      </c>
      <c r="AH158" s="1">
        <v>0</v>
      </c>
      <c r="AI158">
        <v>156</v>
      </c>
      <c r="AJ158">
        <v>0</v>
      </c>
      <c r="AK158">
        <v>0</v>
      </c>
      <c r="AL158">
        <v>0</v>
      </c>
      <c r="AM158">
        <v>0</v>
      </c>
      <c r="AN158">
        <v>0</v>
      </c>
      <c r="AO158" s="1">
        <v>0</v>
      </c>
    </row>
    <row r="159" spans="7:41" x14ac:dyDescent="0.35">
      <c r="G159">
        <v>157</v>
      </c>
      <c r="H159">
        <v>1</v>
      </c>
      <c r="I159">
        <v>3</v>
      </c>
      <c r="J159">
        <v>0</v>
      </c>
      <c r="K159">
        <v>0</v>
      </c>
      <c r="L159">
        <v>1</v>
      </c>
      <c r="M159" s="1">
        <v>300</v>
      </c>
      <c r="N159">
        <v>157</v>
      </c>
      <c r="O159">
        <v>0</v>
      </c>
      <c r="P159">
        <v>0</v>
      </c>
      <c r="Q159">
        <v>1</v>
      </c>
      <c r="R159">
        <v>0</v>
      </c>
      <c r="S159">
        <v>0</v>
      </c>
      <c r="T159" s="1">
        <v>80</v>
      </c>
      <c r="U159">
        <v>157</v>
      </c>
      <c r="V159">
        <v>0</v>
      </c>
      <c r="W159">
        <v>0</v>
      </c>
      <c r="X159">
        <v>0</v>
      </c>
      <c r="Y159">
        <v>0</v>
      </c>
      <c r="Z159">
        <v>0</v>
      </c>
      <c r="AA159" s="1">
        <v>0</v>
      </c>
      <c r="AB159">
        <v>157</v>
      </c>
      <c r="AC159">
        <v>0</v>
      </c>
      <c r="AD159">
        <v>0</v>
      </c>
      <c r="AE159">
        <v>0</v>
      </c>
      <c r="AF159">
        <v>0</v>
      </c>
      <c r="AG159">
        <v>0</v>
      </c>
      <c r="AH159" s="1">
        <v>0</v>
      </c>
      <c r="AI159">
        <v>157</v>
      </c>
      <c r="AJ159">
        <v>0</v>
      </c>
      <c r="AK159">
        <v>0</v>
      </c>
      <c r="AL159">
        <v>2</v>
      </c>
      <c r="AM159">
        <v>0</v>
      </c>
      <c r="AN159">
        <v>0</v>
      </c>
      <c r="AO159" s="1">
        <v>300</v>
      </c>
    </row>
    <row r="160" spans="7:41" x14ac:dyDescent="0.35">
      <c r="G160">
        <v>158</v>
      </c>
      <c r="H160">
        <v>0</v>
      </c>
      <c r="I160">
        <v>0</v>
      </c>
      <c r="J160">
        <v>3</v>
      </c>
      <c r="K160">
        <v>3</v>
      </c>
      <c r="L160">
        <v>0</v>
      </c>
      <c r="M160" s="1">
        <v>360</v>
      </c>
      <c r="N160">
        <v>158</v>
      </c>
      <c r="O160">
        <v>1</v>
      </c>
      <c r="P160">
        <v>0</v>
      </c>
      <c r="Q160">
        <v>1</v>
      </c>
      <c r="R160">
        <v>1</v>
      </c>
      <c r="S160">
        <v>0</v>
      </c>
      <c r="T160" s="1">
        <v>240</v>
      </c>
      <c r="U160">
        <v>158</v>
      </c>
      <c r="V160">
        <v>0</v>
      </c>
      <c r="W160">
        <v>0</v>
      </c>
      <c r="X160">
        <v>0</v>
      </c>
      <c r="Y160">
        <v>0</v>
      </c>
      <c r="Z160">
        <v>1</v>
      </c>
      <c r="AA160" s="1">
        <v>100</v>
      </c>
      <c r="AB160">
        <v>158</v>
      </c>
      <c r="AC160">
        <v>0</v>
      </c>
      <c r="AD160">
        <v>0</v>
      </c>
      <c r="AE160">
        <v>0</v>
      </c>
      <c r="AF160">
        <v>0</v>
      </c>
      <c r="AG160">
        <v>0</v>
      </c>
      <c r="AH160" s="1">
        <v>0</v>
      </c>
      <c r="AI160">
        <v>158</v>
      </c>
      <c r="AJ160">
        <v>0</v>
      </c>
      <c r="AK160">
        <v>0</v>
      </c>
      <c r="AL160">
        <v>3</v>
      </c>
      <c r="AM160">
        <v>0</v>
      </c>
      <c r="AN160">
        <v>0</v>
      </c>
      <c r="AO160" s="1">
        <v>450</v>
      </c>
    </row>
    <row r="161" spans="7:41" x14ac:dyDescent="0.35">
      <c r="G161">
        <v>159</v>
      </c>
      <c r="H161">
        <v>1</v>
      </c>
      <c r="I161">
        <v>0</v>
      </c>
      <c r="J161">
        <v>0</v>
      </c>
      <c r="K161">
        <v>1</v>
      </c>
      <c r="L161">
        <v>1</v>
      </c>
      <c r="M161" s="1">
        <v>180</v>
      </c>
      <c r="N161">
        <v>159</v>
      </c>
      <c r="O161">
        <v>0</v>
      </c>
      <c r="P161">
        <v>0</v>
      </c>
      <c r="Q161">
        <v>0</v>
      </c>
      <c r="R161">
        <v>0</v>
      </c>
      <c r="S161">
        <v>0</v>
      </c>
      <c r="T161" s="1">
        <v>0</v>
      </c>
      <c r="U161">
        <v>159</v>
      </c>
      <c r="V161">
        <v>0</v>
      </c>
      <c r="W161">
        <v>3</v>
      </c>
      <c r="X161">
        <v>0</v>
      </c>
      <c r="Y161">
        <v>0</v>
      </c>
      <c r="Z161">
        <v>0</v>
      </c>
      <c r="AA161" s="1">
        <v>300</v>
      </c>
      <c r="AB161">
        <v>159</v>
      </c>
      <c r="AC161">
        <v>0</v>
      </c>
      <c r="AD161">
        <v>0</v>
      </c>
      <c r="AE161">
        <v>0</v>
      </c>
      <c r="AF161">
        <v>0</v>
      </c>
      <c r="AG161">
        <v>0</v>
      </c>
      <c r="AH161" s="1">
        <v>0</v>
      </c>
      <c r="AI161">
        <v>159</v>
      </c>
      <c r="AJ161">
        <v>0</v>
      </c>
      <c r="AK161">
        <v>0</v>
      </c>
      <c r="AL161">
        <v>1</v>
      </c>
      <c r="AM161">
        <v>0</v>
      </c>
      <c r="AN161">
        <v>0</v>
      </c>
      <c r="AO161" s="1">
        <v>150</v>
      </c>
    </row>
    <row r="162" spans="7:41" x14ac:dyDescent="0.35">
      <c r="G162">
        <v>160</v>
      </c>
      <c r="H162">
        <v>0</v>
      </c>
      <c r="I162">
        <v>1</v>
      </c>
      <c r="J162">
        <v>1</v>
      </c>
      <c r="K162">
        <v>4</v>
      </c>
      <c r="L162">
        <v>2</v>
      </c>
      <c r="M162" s="1">
        <v>480</v>
      </c>
      <c r="N162">
        <v>160</v>
      </c>
      <c r="O162">
        <v>0</v>
      </c>
      <c r="P162">
        <v>0</v>
      </c>
      <c r="Q162">
        <v>0</v>
      </c>
      <c r="R162">
        <v>1</v>
      </c>
      <c r="S162">
        <v>0</v>
      </c>
      <c r="T162" s="1">
        <v>80</v>
      </c>
      <c r="U162">
        <v>160</v>
      </c>
      <c r="V162">
        <v>0</v>
      </c>
      <c r="W162">
        <v>1</v>
      </c>
      <c r="X162">
        <v>0</v>
      </c>
      <c r="Y162">
        <v>0</v>
      </c>
      <c r="Z162">
        <v>0</v>
      </c>
      <c r="AA162" s="1">
        <v>100</v>
      </c>
      <c r="AB162">
        <v>160</v>
      </c>
      <c r="AC162">
        <v>0</v>
      </c>
      <c r="AD162">
        <v>0</v>
      </c>
      <c r="AE162">
        <v>0</v>
      </c>
      <c r="AF162">
        <v>0</v>
      </c>
      <c r="AG162">
        <v>1</v>
      </c>
      <c r="AH162" s="1">
        <v>120</v>
      </c>
      <c r="AI162">
        <v>160</v>
      </c>
      <c r="AJ162">
        <v>0</v>
      </c>
      <c r="AK162">
        <v>0</v>
      </c>
      <c r="AL162">
        <v>0</v>
      </c>
      <c r="AM162">
        <v>0</v>
      </c>
      <c r="AN162">
        <v>0</v>
      </c>
      <c r="AO162" s="1">
        <v>0</v>
      </c>
    </row>
    <row r="163" spans="7:41" x14ac:dyDescent="0.35">
      <c r="G163">
        <v>161</v>
      </c>
      <c r="H163">
        <v>1</v>
      </c>
      <c r="I163">
        <v>0</v>
      </c>
      <c r="J163">
        <v>1</v>
      </c>
      <c r="K163">
        <v>0</v>
      </c>
      <c r="L163">
        <v>0</v>
      </c>
      <c r="M163" s="1">
        <v>120</v>
      </c>
      <c r="N163">
        <v>161</v>
      </c>
      <c r="O163">
        <v>0</v>
      </c>
      <c r="P163">
        <v>1</v>
      </c>
      <c r="Q163">
        <v>0</v>
      </c>
      <c r="R163">
        <v>0</v>
      </c>
      <c r="S163">
        <v>1</v>
      </c>
      <c r="T163" s="1">
        <v>160</v>
      </c>
      <c r="U163">
        <v>161</v>
      </c>
      <c r="V163">
        <v>0</v>
      </c>
      <c r="W163">
        <v>0</v>
      </c>
      <c r="X163">
        <v>0</v>
      </c>
      <c r="Y163">
        <v>1</v>
      </c>
      <c r="Z163">
        <v>0</v>
      </c>
      <c r="AA163" s="1">
        <v>100</v>
      </c>
      <c r="AB163">
        <v>161</v>
      </c>
      <c r="AC163">
        <v>0</v>
      </c>
      <c r="AD163">
        <v>0</v>
      </c>
      <c r="AE163">
        <v>0</v>
      </c>
      <c r="AF163">
        <v>0</v>
      </c>
      <c r="AG163">
        <v>0</v>
      </c>
      <c r="AH163" s="1">
        <v>0</v>
      </c>
      <c r="AI163">
        <v>161</v>
      </c>
      <c r="AJ163">
        <v>0</v>
      </c>
      <c r="AK163">
        <v>0</v>
      </c>
      <c r="AL163">
        <v>0</v>
      </c>
      <c r="AM163">
        <v>0</v>
      </c>
      <c r="AN163">
        <v>0</v>
      </c>
      <c r="AO163" s="1">
        <v>0</v>
      </c>
    </row>
    <row r="164" spans="7:41" x14ac:dyDescent="0.35">
      <c r="G164">
        <v>162</v>
      </c>
      <c r="H164">
        <v>0</v>
      </c>
      <c r="I164">
        <v>0</v>
      </c>
      <c r="J164">
        <v>0</v>
      </c>
      <c r="K164">
        <v>3</v>
      </c>
      <c r="L164">
        <v>0</v>
      </c>
      <c r="M164" s="1">
        <v>180</v>
      </c>
      <c r="N164">
        <v>162</v>
      </c>
      <c r="O164">
        <v>3</v>
      </c>
      <c r="P164">
        <v>1</v>
      </c>
      <c r="Q164">
        <v>1</v>
      </c>
      <c r="R164">
        <v>1</v>
      </c>
      <c r="S164">
        <v>1</v>
      </c>
      <c r="T164" s="1">
        <v>560</v>
      </c>
      <c r="U164">
        <v>162</v>
      </c>
      <c r="V164">
        <v>0</v>
      </c>
      <c r="W164">
        <v>1</v>
      </c>
      <c r="X164">
        <v>0</v>
      </c>
      <c r="Y164">
        <v>0</v>
      </c>
      <c r="Z164">
        <v>0</v>
      </c>
      <c r="AA164" s="1">
        <v>100</v>
      </c>
      <c r="AB164">
        <v>162</v>
      </c>
      <c r="AC164">
        <v>0</v>
      </c>
      <c r="AD164">
        <v>0</v>
      </c>
      <c r="AE164">
        <v>0</v>
      </c>
      <c r="AF164">
        <v>0</v>
      </c>
      <c r="AG164">
        <v>0</v>
      </c>
      <c r="AH164" s="1">
        <v>0</v>
      </c>
      <c r="AI164">
        <v>162</v>
      </c>
      <c r="AJ164">
        <v>0</v>
      </c>
      <c r="AK164">
        <v>0</v>
      </c>
      <c r="AL164">
        <v>0</v>
      </c>
      <c r="AM164">
        <v>0</v>
      </c>
      <c r="AN164">
        <v>0</v>
      </c>
      <c r="AO164" s="1">
        <v>0</v>
      </c>
    </row>
    <row r="165" spans="7:41" x14ac:dyDescent="0.35">
      <c r="G165">
        <v>163</v>
      </c>
      <c r="H165">
        <v>2</v>
      </c>
      <c r="I165">
        <v>0</v>
      </c>
      <c r="J165">
        <v>1</v>
      </c>
      <c r="K165">
        <v>0</v>
      </c>
      <c r="L165">
        <v>2</v>
      </c>
      <c r="M165" s="1">
        <v>300</v>
      </c>
      <c r="N165">
        <v>163</v>
      </c>
      <c r="O165">
        <v>0</v>
      </c>
      <c r="P165">
        <v>0</v>
      </c>
      <c r="Q165">
        <v>2</v>
      </c>
      <c r="R165">
        <v>0</v>
      </c>
      <c r="S165">
        <v>0</v>
      </c>
      <c r="T165" s="1">
        <v>160</v>
      </c>
      <c r="U165">
        <v>163</v>
      </c>
      <c r="V165">
        <v>0</v>
      </c>
      <c r="W165">
        <v>0</v>
      </c>
      <c r="X165">
        <v>0</v>
      </c>
      <c r="Y165">
        <v>0</v>
      </c>
      <c r="Z165">
        <v>0</v>
      </c>
      <c r="AA165" s="1">
        <v>0</v>
      </c>
      <c r="AB165">
        <v>163</v>
      </c>
      <c r="AC165">
        <v>0</v>
      </c>
      <c r="AD165">
        <v>0</v>
      </c>
      <c r="AE165">
        <v>0</v>
      </c>
      <c r="AF165">
        <v>1</v>
      </c>
      <c r="AG165">
        <v>1</v>
      </c>
      <c r="AH165" s="1">
        <v>240</v>
      </c>
      <c r="AI165">
        <v>163</v>
      </c>
      <c r="AJ165">
        <v>0</v>
      </c>
      <c r="AK165">
        <v>0</v>
      </c>
      <c r="AL165">
        <v>0</v>
      </c>
      <c r="AM165">
        <v>0</v>
      </c>
      <c r="AN165">
        <v>0</v>
      </c>
      <c r="AO165" s="1">
        <v>0</v>
      </c>
    </row>
    <row r="166" spans="7:41" x14ac:dyDescent="0.35">
      <c r="G166">
        <v>164</v>
      </c>
      <c r="H166">
        <v>1</v>
      </c>
      <c r="I166">
        <v>1</v>
      </c>
      <c r="J166">
        <v>1</v>
      </c>
      <c r="K166">
        <v>0</v>
      </c>
      <c r="L166">
        <v>0</v>
      </c>
      <c r="M166" s="1">
        <v>180</v>
      </c>
      <c r="N166">
        <v>164</v>
      </c>
      <c r="O166">
        <v>0</v>
      </c>
      <c r="P166">
        <v>0</v>
      </c>
      <c r="Q166">
        <v>2</v>
      </c>
      <c r="R166">
        <v>1</v>
      </c>
      <c r="S166">
        <v>0</v>
      </c>
      <c r="T166" s="1">
        <v>240</v>
      </c>
      <c r="U166">
        <v>164</v>
      </c>
      <c r="V166">
        <v>0</v>
      </c>
      <c r="W166">
        <v>0</v>
      </c>
      <c r="X166">
        <v>0</v>
      </c>
      <c r="Y166">
        <v>0</v>
      </c>
      <c r="Z166">
        <v>0</v>
      </c>
      <c r="AA166" s="1">
        <v>0</v>
      </c>
      <c r="AB166">
        <v>164</v>
      </c>
      <c r="AC166">
        <v>0</v>
      </c>
      <c r="AD166">
        <v>0</v>
      </c>
      <c r="AE166">
        <v>0</v>
      </c>
      <c r="AF166">
        <v>0</v>
      </c>
      <c r="AG166">
        <v>0</v>
      </c>
      <c r="AH166" s="1">
        <v>0</v>
      </c>
      <c r="AI166">
        <v>164</v>
      </c>
      <c r="AJ166">
        <v>0</v>
      </c>
      <c r="AK166">
        <v>0</v>
      </c>
      <c r="AL166">
        <v>2</v>
      </c>
      <c r="AM166">
        <v>0</v>
      </c>
      <c r="AN166">
        <v>0</v>
      </c>
      <c r="AO166" s="1">
        <v>300</v>
      </c>
    </row>
    <row r="167" spans="7:41" x14ac:dyDescent="0.35">
      <c r="G167">
        <v>165</v>
      </c>
      <c r="H167">
        <v>2</v>
      </c>
      <c r="I167">
        <v>2</v>
      </c>
      <c r="J167">
        <v>0</v>
      </c>
      <c r="K167">
        <v>0</v>
      </c>
      <c r="L167">
        <v>0</v>
      </c>
      <c r="M167" s="1">
        <v>240</v>
      </c>
      <c r="N167">
        <v>165</v>
      </c>
      <c r="O167">
        <v>0</v>
      </c>
      <c r="P167">
        <v>0</v>
      </c>
      <c r="Q167">
        <v>0</v>
      </c>
      <c r="R167">
        <v>0</v>
      </c>
      <c r="S167">
        <v>0</v>
      </c>
      <c r="T167" s="1">
        <v>0</v>
      </c>
      <c r="U167">
        <v>165</v>
      </c>
      <c r="V167">
        <v>0</v>
      </c>
      <c r="W167">
        <v>1</v>
      </c>
      <c r="X167">
        <v>0</v>
      </c>
      <c r="Y167">
        <v>0</v>
      </c>
      <c r="Z167">
        <v>0</v>
      </c>
      <c r="AA167" s="1">
        <v>100</v>
      </c>
      <c r="AB167">
        <v>165</v>
      </c>
      <c r="AC167">
        <v>0</v>
      </c>
      <c r="AD167">
        <v>0</v>
      </c>
      <c r="AE167">
        <v>0</v>
      </c>
      <c r="AF167">
        <v>0</v>
      </c>
      <c r="AG167">
        <v>0</v>
      </c>
      <c r="AH167" s="1">
        <v>0</v>
      </c>
      <c r="AI167">
        <v>165</v>
      </c>
      <c r="AJ167">
        <v>0</v>
      </c>
      <c r="AK167">
        <v>0</v>
      </c>
      <c r="AL167">
        <v>1</v>
      </c>
      <c r="AM167">
        <v>0</v>
      </c>
      <c r="AN167">
        <v>0</v>
      </c>
      <c r="AO167" s="1">
        <v>150</v>
      </c>
    </row>
    <row r="168" spans="7:41" x14ac:dyDescent="0.35">
      <c r="G168">
        <v>166</v>
      </c>
      <c r="H168">
        <v>0</v>
      </c>
      <c r="I168">
        <v>0</v>
      </c>
      <c r="J168">
        <v>0</v>
      </c>
      <c r="K168">
        <v>0</v>
      </c>
      <c r="L168">
        <v>0</v>
      </c>
      <c r="M168" s="1">
        <v>0</v>
      </c>
      <c r="N168">
        <v>166</v>
      </c>
      <c r="O168">
        <v>0</v>
      </c>
      <c r="P168">
        <v>0</v>
      </c>
      <c r="Q168">
        <v>1</v>
      </c>
      <c r="R168">
        <v>0</v>
      </c>
      <c r="S168">
        <v>0</v>
      </c>
      <c r="T168" s="1">
        <v>80</v>
      </c>
      <c r="U168">
        <v>166</v>
      </c>
      <c r="V168">
        <v>0</v>
      </c>
      <c r="W168">
        <v>0</v>
      </c>
      <c r="X168">
        <v>0</v>
      </c>
      <c r="Y168">
        <v>0</v>
      </c>
      <c r="Z168">
        <v>0</v>
      </c>
      <c r="AA168" s="1">
        <v>0</v>
      </c>
      <c r="AB168">
        <v>166</v>
      </c>
      <c r="AC168">
        <v>0</v>
      </c>
      <c r="AD168">
        <v>0</v>
      </c>
      <c r="AE168">
        <v>0</v>
      </c>
      <c r="AF168">
        <v>0</v>
      </c>
      <c r="AG168">
        <v>0</v>
      </c>
      <c r="AH168" s="1">
        <v>0</v>
      </c>
      <c r="AI168">
        <v>166</v>
      </c>
      <c r="AJ168">
        <v>0</v>
      </c>
      <c r="AK168">
        <v>0</v>
      </c>
      <c r="AL168">
        <v>1</v>
      </c>
      <c r="AM168">
        <v>0</v>
      </c>
      <c r="AN168">
        <v>0</v>
      </c>
      <c r="AO168" s="1">
        <v>150</v>
      </c>
    </row>
    <row r="169" spans="7:41" x14ac:dyDescent="0.35">
      <c r="G169">
        <v>167</v>
      </c>
      <c r="H169">
        <v>1</v>
      </c>
      <c r="I169">
        <v>0</v>
      </c>
      <c r="J169">
        <v>0</v>
      </c>
      <c r="K169">
        <v>0</v>
      </c>
      <c r="L169">
        <v>1</v>
      </c>
      <c r="M169" s="1">
        <v>120</v>
      </c>
      <c r="N169">
        <v>167</v>
      </c>
      <c r="O169">
        <v>0</v>
      </c>
      <c r="P169">
        <v>0</v>
      </c>
      <c r="Q169">
        <v>0</v>
      </c>
      <c r="R169">
        <v>0</v>
      </c>
      <c r="S169">
        <v>0</v>
      </c>
      <c r="T169" s="1">
        <v>0</v>
      </c>
      <c r="U169">
        <v>167</v>
      </c>
      <c r="V169">
        <v>0</v>
      </c>
      <c r="W169">
        <v>0</v>
      </c>
      <c r="X169">
        <v>0</v>
      </c>
      <c r="Y169">
        <v>0</v>
      </c>
      <c r="Z169">
        <v>0</v>
      </c>
      <c r="AA169" s="1">
        <v>0</v>
      </c>
      <c r="AB169">
        <v>167</v>
      </c>
      <c r="AC169">
        <v>0</v>
      </c>
      <c r="AD169">
        <v>0</v>
      </c>
      <c r="AE169">
        <v>0</v>
      </c>
      <c r="AF169">
        <v>0</v>
      </c>
      <c r="AG169">
        <v>0</v>
      </c>
      <c r="AH169" s="1">
        <v>0</v>
      </c>
      <c r="AI169">
        <v>167</v>
      </c>
      <c r="AJ169">
        <v>0</v>
      </c>
      <c r="AK169">
        <v>0</v>
      </c>
      <c r="AL169">
        <v>0</v>
      </c>
      <c r="AM169">
        <v>0</v>
      </c>
      <c r="AN169">
        <v>0</v>
      </c>
      <c r="AO169" s="1">
        <v>0</v>
      </c>
    </row>
    <row r="170" spans="7:41" x14ac:dyDescent="0.35">
      <c r="G170">
        <v>168</v>
      </c>
      <c r="H170">
        <v>0</v>
      </c>
      <c r="I170">
        <v>1</v>
      </c>
      <c r="J170">
        <v>1</v>
      </c>
      <c r="K170">
        <v>2</v>
      </c>
      <c r="L170">
        <v>0</v>
      </c>
      <c r="M170" s="1">
        <v>240</v>
      </c>
      <c r="N170">
        <v>168</v>
      </c>
      <c r="O170">
        <v>0</v>
      </c>
      <c r="P170">
        <v>0</v>
      </c>
      <c r="Q170">
        <v>0</v>
      </c>
      <c r="R170">
        <v>0</v>
      </c>
      <c r="S170">
        <v>1</v>
      </c>
      <c r="T170" s="1">
        <v>80</v>
      </c>
      <c r="U170">
        <v>168</v>
      </c>
      <c r="V170">
        <v>0</v>
      </c>
      <c r="W170">
        <v>1</v>
      </c>
      <c r="X170">
        <v>0</v>
      </c>
      <c r="Y170">
        <v>0</v>
      </c>
      <c r="Z170">
        <v>0</v>
      </c>
      <c r="AA170" s="1">
        <v>100</v>
      </c>
      <c r="AB170">
        <v>168</v>
      </c>
      <c r="AC170">
        <v>0</v>
      </c>
      <c r="AD170">
        <v>0</v>
      </c>
      <c r="AE170">
        <v>0</v>
      </c>
      <c r="AF170">
        <v>0</v>
      </c>
      <c r="AG170">
        <v>0</v>
      </c>
      <c r="AH170" s="1">
        <v>0</v>
      </c>
      <c r="AI170">
        <v>168</v>
      </c>
      <c r="AJ170">
        <v>0</v>
      </c>
      <c r="AK170">
        <v>0</v>
      </c>
      <c r="AL170">
        <v>0</v>
      </c>
      <c r="AM170">
        <v>0</v>
      </c>
      <c r="AN170">
        <v>0</v>
      </c>
      <c r="AO170" s="1">
        <v>0</v>
      </c>
    </row>
    <row r="171" spans="7:41" x14ac:dyDescent="0.35">
      <c r="G171">
        <v>169</v>
      </c>
      <c r="H171">
        <v>1</v>
      </c>
      <c r="I171">
        <v>2</v>
      </c>
      <c r="J171">
        <v>2</v>
      </c>
      <c r="K171">
        <v>0</v>
      </c>
      <c r="L171">
        <v>2</v>
      </c>
      <c r="M171" s="1">
        <v>420</v>
      </c>
      <c r="N171">
        <v>169</v>
      </c>
      <c r="O171">
        <v>0</v>
      </c>
      <c r="P171">
        <v>0</v>
      </c>
      <c r="Q171">
        <v>1</v>
      </c>
      <c r="R171">
        <v>0</v>
      </c>
      <c r="S171">
        <v>0</v>
      </c>
      <c r="T171" s="1">
        <v>80</v>
      </c>
      <c r="U171">
        <v>169</v>
      </c>
      <c r="V171">
        <v>0</v>
      </c>
      <c r="W171">
        <v>0</v>
      </c>
      <c r="X171">
        <v>1</v>
      </c>
      <c r="Y171">
        <v>0</v>
      </c>
      <c r="Z171">
        <v>0</v>
      </c>
      <c r="AA171" s="1">
        <v>100</v>
      </c>
      <c r="AB171">
        <v>169</v>
      </c>
      <c r="AC171">
        <v>0</v>
      </c>
      <c r="AD171">
        <v>0</v>
      </c>
      <c r="AE171">
        <v>0</v>
      </c>
      <c r="AF171">
        <v>1</v>
      </c>
      <c r="AG171">
        <v>0</v>
      </c>
      <c r="AH171" s="1">
        <v>120</v>
      </c>
      <c r="AI171">
        <v>169</v>
      </c>
      <c r="AJ171">
        <v>0</v>
      </c>
      <c r="AK171">
        <v>0</v>
      </c>
      <c r="AL171">
        <v>0</v>
      </c>
      <c r="AM171">
        <v>0</v>
      </c>
      <c r="AN171">
        <v>0</v>
      </c>
      <c r="AO171" s="1">
        <v>0</v>
      </c>
    </row>
    <row r="172" spans="7:41" x14ac:dyDescent="0.35">
      <c r="G172">
        <v>170</v>
      </c>
      <c r="H172">
        <v>1</v>
      </c>
      <c r="I172">
        <v>0</v>
      </c>
      <c r="J172">
        <v>1</v>
      </c>
      <c r="K172">
        <v>1</v>
      </c>
      <c r="L172">
        <v>2</v>
      </c>
      <c r="M172" s="1">
        <v>300</v>
      </c>
      <c r="N172">
        <v>170</v>
      </c>
      <c r="O172">
        <v>0</v>
      </c>
      <c r="P172">
        <v>2</v>
      </c>
      <c r="Q172">
        <v>0</v>
      </c>
      <c r="R172">
        <v>1</v>
      </c>
      <c r="S172">
        <v>0</v>
      </c>
      <c r="T172" s="1">
        <v>240</v>
      </c>
      <c r="U172">
        <v>170</v>
      </c>
      <c r="V172">
        <v>0</v>
      </c>
      <c r="W172">
        <v>0</v>
      </c>
      <c r="X172">
        <v>0</v>
      </c>
      <c r="Y172">
        <v>0</v>
      </c>
      <c r="Z172">
        <v>0</v>
      </c>
      <c r="AA172" s="1">
        <v>0</v>
      </c>
      <c r="AB172">
        <v>170</v>
      </c>
      <c r="AC172">
        <v>0</v>
      </c>
      <c r="AD172">
        <v>0</v>
      </c>
      <c r="AE172">
        <v>0</v>
      </c>
      <c r="AF172">
        <v>1</v>
      </c>
      <c r="AG172">
        <v>0</v>
      </c>
      <c r="AH172" s="1">
        <v>120</v>
      </c>
      <c r="AI172">
        <v>170</v>
      </c>
      <c r="AJ172">
        <v>0</v>
      </c>
      <c r="AK172">
        <v>0</v>
      </c>
      <c r="AL172">
        <v>1</v>
      </c>
      <c r="AM172">
        <v>0</v>
      </c>
      <c r="AN172">
        <v>0</v>
      </c>
      <c r="AO172" s="1">
        <v>150</v>
      </c>
    </row>
    <row r="173" spans="7:41" x14ac:dyDescent="0.35">
      <c r="G173">
        <v>171</v>
      </c>
      <c r="H173">
        <v>0</v>
      </c>
      <c r="I173">
        <v>0</v>
      </c>
      <c r="J173">
        <v>0</v>
      </c>
      <c r="K173">
        <v>0</v>
      </c>
      <c r="L173">
        <v>0</v>
      </c>
      <c r="M173" s="1">
        <v>0</v>
      </c>
      <c r="N173">
        <v>171</v>
      </c>
      <c r="O173">
        <v>2</v>
      </c>
      <c r="P173">
        <v>1</v>
      </c>
      <c r="Q173">
        <v>0</v>
      </c>
      <c r="R173">
        <v>0</v>
      </c>
      <c r="S173">
        <v>0</v>
      </c>
      <c r="T173" s="1">
        <v>240</v>
      </c>
      <c r="U173">
        <v>171</v>
      </c>
      <c r="V173">
        <v>0</v>
      </c>
      <c r="W173">
        <v>1</v>
      </c>
      <c r="X173">
        <v>1</v>
      </c>
      <c r="Y173">
        <v>0</v>
      </c>
      <c r="Z173">
        <v>0</v>
      </c>
      <c r="AA173" s="1">
        <v>200</v>
      </c>
      <c r="AB173">
        <v>171</v>
      </c>
      <c r="AC173">
        <v>0</v>
      </c>
      <c r="AD173">
        <v>0</v>
      </c>
      <c r="AE173">
        <v>0</v>
      </c>
      <c r="AF173">
        <v>0</v>
      </c>
      <c r="AG173">
        <v>0</v>
      </c>
      <c r="AH173" s="1">
        <v>0</v>
      </c>
      <c r="AI173">
        <v>171</v>
      </c>
      <c r="AJ173">
        <v>0</v>
      </c>
      <c r="AK173">
        <v>0</v>
      </c>
      <c r="AL173">
        <v>0</v>
      </c>
      <c r="AM173">
        <v>0</v>
      </c>
      <c r="AN173">
        <v>0</v>
      </c>
      <c r="AO173" s="1">
        <v>0</v>
      </c>
    </row>
    <row r="174" spans="7:41" x14ac:dyDescent="0.35">
      <c r="G174">
        <v>172</v>
      </c>
      <c r="H174">
        <v>0</v>
      </c>
      <c r="I174">
        <v>0</v>
      </c>
      <c r="J174">
        <v>1</v>
      </c>
      <c r="K174">
        <v>0</v>
      </c>
      <c r="L174">
        <v>0</v>
      </c>
      <c r="M174" s="1">
        <v>60</v>
      </c>
      <c r="N174">
        <v>172</v>
      </c>
      <c r="O174">
        <v>0</v>
      </c>
      <c r="P174">
        <v>0</v>
      </c>
      <c r="Q174">
        <v>1</v>
      </c>
      <c r="R174">
        <v>0</v>
      </c>
      <c r="S174">
        <v>1</v>
      </c>
      <c r="T174" s="1">
        <v>160</v>
      </c>
      <c r="U174">
        <v>172</v>
      </c>
      <c r="V174">
        <v>0</v>
      </c>
      <c r="W174">
        <v>0</v>
      </c>
      <c r="X174">
        <v>0</v>
      </c>
      <c r="Y174">
        <v>0</v>
      </c>
      <c r="Z174">
        <v>0</v>
      </c>
      <c r="AA174" s="1">
        <v>0</v>
      </c>
      <c r="AB174">
        <v>172</v>
      </c>
      <c r="AC174">
        <v>0</v>
      </c>
      <c r="AD174">
        <v>0</v>
      </c>
      <c r="AE174">
        <v>0</v>
      </c>
      <c r="AF174">
        <v>0</v>
      </c>
      <c r="AG174">
        <v>1</v>
      </c>
      <c r="AH174" s="1">
        <v>120</v>
      </c>
      <c r="AI174">
        <v>172</v>
      </c>
      <c r="AJ174">
        <v>0</v>
      </c>
      <c r="AK174">
        <v>0</v>
      </c>
      <c r="AL174">
        <v>0</v>
      </c>
      <c r="AM174">
        <v>0</v>
      </c>
      <c r="AN174">
        <v>0</v>
      </c>
      <c r="AO174" s="1">
        <v>0</v>
      </c>
    </row>
    <row r="175" spans="7:41" x14ac:dyDescent="0.35">
      <c r="G175">
        <v>173</v>
      </c>
      <c r="H175">
        <v>0</v>
      </c>
      <c r="I175">
        <v>0</v>
      </c>
      <c r="J175">
        <v>1</v>
      </c>
      <c r="K175">
        <v>2</v>
      </c>
      <c r="L175">
        <v>0</v>
      </c>
      <c r="M175" s="1">
        <v>180</v>
      </c>
      <c r="N175">
        <v>173</v>
      </c>
      <c r="O175">
        <v>1</v>
      </c>
      <c r="P175">
        <v>2</v>
      </c>
      <c r="Q175">
        <v>0</v>
      </c>
      <c r="R175">
        <v>0</v>
      </c>
      <c r="S175">
        <v>1</v>
      </c>
      <c r="T175" s="1">
        <v>320</v>
      </c>
      <c r="U175">
        <v>173</v>
      </c>
      <c r="V175">
        <v>0</v>
      </c>
      <c r="W175">
        <v>0</v>
      </c>
      <c r="X175">
        <v>0</v>
      </c>
      <c r="Y175">
        <v>0</v>
      </c>
      <c r="Z175">
        <v>0</v>
      </c>
      <c r="AA175" s="1">
        <v>0</v>
      </c>
      <c r="AB175">
        <v>173</v>
      </c>
      <c r="AC175">
        <v>0</v>
      </c>
      <c r="AD175">
        <v>0</v>
      </c>
      <c r="AE175">
        <v>0</v>
      </c>
      <c r="AF175">
        <v>0</v>
      </c>
      <c r="AG175">
        <v>0</v>
      </c>
      <c r="AH175" s="1">
        <v>0</v>
      </c>
      <c r="AI175">
        <v>173</v>
      </c>
      <c r="AJ175">
        <v>0</v>
      </c>
      <c r="AK175">
        <v>0</v>
      </c>
      <c r="AL175">
        <v>0</v>
      </c>
      <c r="AM175">
        <v>0</v>
      </c>
      <c r="AN175">
        <v>0</v>
      </c>
      <c r="AO175" s="1">
        <v>0</v>
      </c>
    </row>
    <row r="176" spans="7:41" x14ac:dyDescent="0.35">
      <c r="G176">
        <v>174</v>
      </c>
      <c r="H176">
        <v>0</v>
      </c>
      <c r="I176">
        <v>2</v>
      </c>
      <c r="J176">
        <v>1</v>
      </c>
      <c r="K176">
        <v>0</v>
      </c>
      <c r="L176">
        <v>4</v>
      </c>
      <c r="M176" s="1">
        <v>420</v>
      </c>
      <c r="N176">
        <v>174</v>
      </c>
      <c r="O176">
        <v>2</v>
      </c>
      <c r="P176">
        <v>2</v>
      </c>
      <c r="Q176">
        <v>1</v>
      </c>
      <c r="R176">
        <v>0</v>
      </c>
      <c r="S176">
        <v>0</v>
      </c>
      <c r="T176" s="1">
        <v>400</v>
      </c>
      <c r="U176">
        <v>174</v>
      </c>
      <c r="V176">
        <v>0</v>
      </c>
      <c r="W176">
        <v>1</v>
      </c>
      <c r="X176">
        <v>0</v>
      </c>
      <c r="Y176">
        <v>0</v>
      </c>
      <c r="Z176">
        <v>0</v>
      </c>
      <c r="AA176" s="1">
        <v>100</v>
      </c>
      <c r="AB176">
        <v>174</v>
      </c>
      <c r="AC176">
        <v>0</v>
      </c>
      <c r="AD176">
        <v>0</v>
      </c>
      <c r="AE176">
        <v>0</v>
      </c>
      <c r="AF176">
        <v>0</v>
      </c>
      <c r="AG176">
        <v>0</v>
      </c>
      <c r="AH176" s="1">
        <v>0</v>
      </c>
      <c r="AI176">
        <v>174</v>
      </c>
      <c r="AJ176">
        <v>0</v>
      </c>
      <c r="AK176">
        <v>0</v>
      </c>
      <c r="AL176">
        <v>0</v>
      </c>
      <c r="AM176">
        <v>0</v>
      </c>
      <c r="AN176">
        <v>2</v>
      </c>
      <c r="AO176" s="1">
        <v>300</v>
      </c>
    </row>
    <row r="177" spans="7:41" x14ac:dyDescent="0.35">
      <c r="G177">
        <v>175</v>
      </c>
      <c r="H177">
        <v>0</v>
      </c>
      <c r="I177">
        <v>2</v>
      </c>
      <c r="J177">
        <v>0</v>
      </c>
      <c r="K177">
        <v>0</v>
      </c>
      <c r="L177">
        <v>1</v>
      </c>
      <c r="M177" s="1">
        <v>180</v>
      </c>
      <c r="N177">
        <v>175</v>
      </c>
      <c r="O177">
        <v>1</v>
      </c>
      <c r="P177">
        <v>0</v>
      </c>
      <c r="Q177">
        <v>1</v>
      </c>
      <c r="R177">
        <v>0</v>
      </c>
      <c r="S177">
        <v>0</v>
      </c>
      <c r="T177" s="1">
        <v>160</v>
      </c>
      <c r="U177">
        <v>175</v>
      </c>
      <c r="V177">
        <v>0</v>
      </c>
      <c r="W177">
        <v>0</v>
      </c>
      <c r="X177">
        <v>0</v>
      </c>
      <c r="Y177">
        <v>0</v>
      </c>
      <c r="Z177">
        <v>0</v>
      </c>
      <c r="AA177" s="1">
        <v>0</v>
      </c>
      <c r="AB177">
        <v>175</v>
      </c>
      <c r="AC177">
        <v>0</v>
      </c>
      <c r="AD177">
        <v>0</v>
      </c>
      <c r="AE177">
        <v>0</v>
      </c>
      <c r="AF177">
        <v>0</v>
      </c>
      <c r="AG177">
        <v>0</v>
      </c>
      <c r="AH177" s="1">
        <v>0</v>
      </c>
      <c r="AI177">
        <v>175</v>
      </c>
      <c r="AJ177">
        <v>0</v>
      </c>
      <c r="AK177">
        <v>0</v>
      </c>
      <c r="AL177">
        <v>0</v>
      </c>
      <c r="AM177">
        <v>0</v>
      </c>
      <c r="AN177">
        <v>0</v>
      </c>
      <c r="AO177" s="1">
        <v>0</v>
      </c>
    </row>
    <row r="178" spans="7:41" x14ac:dyDescent="0.35">
      <c r="G178">
        <v>176</v>
      </c>
      <c r="H178">
        <v>0</v>
      </c>
      <c r="I178">
        <v>3</v>
      </c>
      <c r="J178">
        <v>1</v>
      </c>
      <c r="K178">
        <v>0</v>
      </c>
      <c r="L178">
        <v>0</v>
      </c>
      <c r="M178" s="1">
        <v>240</v>
      </c>
      <c r="N178">
        <v>176</v>
      </c>
      <c r="O178">
        <v>2</v>
      </c>
      <c r="P178">
        <v>1</v>
      </c>
      <c r="Q178">
        <v>1</v>
      </c>
      <c r="R178">
        <v>0</v>
      </c>
      <c r="S178">
        <v>0</v>
      </c>
      <c r="T178" s="1">
        <v>320</v>
      </c>
      <c r="U178">
        <v>176</v>
      </c>
      <c r="V178">
        <v>0</v>
      </c>
      <c r="W178">
        <v>0</v>
      </c>
      <c r="X178">
        <v>0</v>
      </c>
      <c r="Y178">
        <v>0</v>
      </c>
      <c r="Z178">
        <v>0</v>
      </c>
      <c r="AA178" s="1">
        <v>0</v>
      </c>
      <c r="AB178">
        <v>176</v>
      </c>
      <c r="AC178">
        <v>0</v>
      </c>
      <c r="AD178">
        <v>1</v>
      </c>
      <c r="AE178">
        <v>0</v>
      </c>
      <c r="AF178">
        <v>0</v>
      </c>
      <c r="AG178">
        <v>0</v>
      </c>
      <c r="AH178" s="1">
        <v>120</v>
      </c>
      <c r="AI178">
        <v>176</v>
      </c>
      <c r="AJ178">
        <v>0</v>
      </c>
      <c r="AK178">
        <v>0</v>
      </c>
      <c r="AL178">
        <v>1</v>
      </c>
      <c r="AM178">
        <v>0</v>
      </c>
      <c r="AN178">
        <v>0</v>
      </c>
      <c r="AO178" s="1">
        <v>150</v>
      </c>
    </row>
    <row r="179" spans="7:41" x14ac:dyDescent="0.35">
      <c r="G179">
        <v>177</v>
      </c>
      <c r="H179">
        <v>0</v>
      </c>
      <c r="I179">
        <v>0</v>
      </c>
      <c r="J179">
        <v>2</v>
      </c>
      <c r="K179">
        <v>1</v>
      </c>
      <c r="L179">
        <v>0</v>
      </c>
      <c r="M179" s="1">
        <v>180</v>
      </c>
      <c r="N179">
        <v>177</v>
      </c>
      <c r="O179">
        <v>0</v>
      </c>
      <c r="P179">
        <v>0</v>
      </c>
      <c r="Q179">
        <v>0</v>
      </c>
      <c r="R179">
        <v>0</v>
      </c>
      <c r="S179">
        <v>0</v>
      </c>
      <c r="T179" s="1">
        <v>0</v>
      </c>
      <c r="U179">
        <v>177</v>
      </c>
      <c r="V179">
        <v>1</v>
      </c>
      <c r="W179">
        <v>1</v>
      </c>
      <c r="X179">
        <v>0</v>
      </c>
      <c r="Y179">
        <v>1</v>
      </c>
      <c r="Z179">
        <v>0</v>
      </c>
      <c r="AA179" s="1">
        <v>300</v>
      </c>
      <c r="AB179">
        <v>177</v>
      </c>
      <c r="AC179">
        <v>0</v>
      </c>
      <c r="AD179">
        <v>0</v>
      </c>
      <c r="AE179">
        <v>0</v>
      </c>
      <c r="AF179">
        <v>0</v>
      </c>
      <c r="AG179">
        <v>0</v>
      </c>
      <c r="AH179" s="1">
        <v>0</v>
      </c>
      <c r="AI179">
        <v>177</v>
      </c>
      <c r="AJ179">
        <v>0</v>
      </c>
      <c r="AK179">
        <v>0</v>
      </c>
      <c r="AL179">
        <v>0</v>
      </c>
      <c r="AM179">
        <v>0</v>
      </c>
      <c r="AN179">
        <v>0</v>
      </c>
      <c r="AO179" s="1">
        <v>0</v>
      </c>
    </row>
    <row r="180" spans="7:41" x14ac:dyDescent="0.35">
      <c r="G180">
        <v>178</v>
      </c>
      <c r="H180">
        <v>0</v>
      </c>
      <c r="I180">
        <v>0</v>
      </c>
      <c r="J180">
        <v>0</v>
      </c>
      <c r="K180">
        <v>0</v>
      </c>
      <c r="L180">
        <v>1</v>
      </c>
      <c r="M180" s="1">
        <v>60</v>
      </c>
      <c r="N180">
        <v>178</v>
      </c>
      <c r="O180">
        <v>0</v>
      </c>
      <c r="P180">
        <v>0</v>
      </c>
      <c r="Q180">
        <v>0</v>
      </c>
      <c r="R180">
        <v>0</v>
      </c>
      <c r="S180">
        <v>0</v>
      </c>
      <c r="T180" s="1">
        <v>0</v>
      </c>
      <c r="U180">
        <v>178</v>
      </c>
      <c r="V180">
        <v>0</v>
      </c>
      <c r="W180">
        <v>0</v>
      </c>
      <c r="X180">
        <v>0</v>
      </c>
      <c r="Y180">
        <v>2</v>
      </c>
      <c r="Z180">
        <v>0</v>
      </c>
      <c r="AA180" s="1">
        <v>200</v>
      </c>
      <c r="AB180">
        <v>178</v>
      </c>
      <c r="AC180">
        <v>0</v>
      </c>
      <c r="AD180">
        <v>0</v>
      </c>
      <c r="AE180">
        <v>1</v>
      </c>
      <c r="AF180">
        <v>0</v>
      </c>
      <c r="AG180">
        <v>0</v>
      </c>
      <c r="AH180" s="1">
        <v>120</v>
      </c>
      <c r="AI180">
        <v>178</v>
      </c>
      <c r="AJ180">
        <v>0</v>
      </c>
      <c r="AK180">
        <v>0</v>
      </c>
      <c r="AL180">
        <v>0</v>
      </c>
      <c r="AM180">
        <v>0</v>
      </c>
      <c r="AN180">
        <v>0</v>
      </c>
      <c r="AO180" s="1">
        <v>0</v>
      </c>
    </row>
    <row r="181" spans="7:41" x14ac:dyDescent="0.35">
      <c r="G181">
        <v>179</v>
      </c>
      <c r="H181">
        <v>0</v>
      </c>
      <c r="I181">
        <v>0</v>
      </c>
      <c r="J181">
        <v>3</v>
      </c>
      <c r="K181">
        <v>0</v>
      </c>
      <c r="L181">
        <v>1</v>
      </c>
      <c r="M181" s="1">
        <v>240</v>
      </c>
      <c r="N181">
        <v>179</v>
      </c>
      <c r="O181">
        <v>0</v>
      </c>
      <c r="P181">
        <v>0</v>
      </c>
      <c r="Q181">
        <v>1</v>
      </c>
      <c r="R181">
        <v>0</v>
      </c>
      <c r="S181">
        <v>1</v>
      </c>
      <c r="T181" s="1">
        <v>160</v>
      </c>
      <c r="U181">
        <v>179</v>
      </c>
      <c r="V181">
        <v>0</v>
      </c>
      <c r="W181">
        <v>1</v>
      </c>
      <c r="X181">
        <v>0</v>
      </c>
      <c r="Y181">
        <v>0</v>
      </c>
      <c r="Z181">
        <v>0</v>
      </c>
      <c r="AA181" s="1">
        <v>100</v>
      </c>
      <c r="AB181">
        <v>179</v>
      </c>
      <c r="AC181">
        <v>0</v>
      </c>
      <c r="AD181">
        <v>0</v>
      </c>
      <c r="AE181">
        <v>0</v>
      </c>
      <c r="AF181">
        <v>0</v>
      </c>
      <c r="AG181">
        <v>1</v>
      </c>
      <c r="AH181" s="1">
        <v>120</v>
      </c>
      <c r="AI181">
        <v>179</v>
      </c>
      <c r="AJ181">
        <v>0</v>
      </c>
      <c r="AK181">
        <v>0</v>
      </c>
      <c r="AL181">
        <v>0</v>
      </c>
      <c r="AM181">
        <v>0</v>
      </c>
      <c r="AN181">
        <v>0</v>
      </c>
      <c r="AO181" s="1">
        <v>0</v>
      </c>
    </row>
    <row r="182" spans="7:41" x14ac:dyDescent="0.35">
      <c r="G182">
        <v>180</v>
      </c>
      <c r="H182">
        <v>0</v>
      </c>
      <c r="I182">
        <v>1</v>
      </c>
      <c r="J182">
        <v>1</v>
      </c>
      <c r="K182">
        <v>1</v>
      </c>
      <c r="L182">
        <v>4</v>
      </c>
      <c r="M182" s="1">
        <v>420</v>
      </c>
      <c r="N182">
        <v>180</v>
      </c>
      <c r="O182">
        <v>0</v>
      </c>
      <c r="P182">
        <v>0</v>
      </c>
      <c r="Q182">
        <v>0</v>
      </c>
      <c r="R182">
        <v>0</v>
      </c>
      <c r="S182">
        <v>1</v>
      </c>
      <c r="T182" s="1">
        <v>80</v>
      </c>
      <c r="U182">
        <v>180</v>
      </c>
      <c r="V182">
        <v>0</v>
      </c>
      <c r="W182">
        <v>0</v>
      </c>
      <c r="X182">
        <v>0</v>
      </c>
      <c r="Y182">
        <v>0</v>
      </c>
      <c r="Z182">
        <v>0</v>
      </c>
      <c r="AA182" s="1">
        <v>0</v>
      </c>
      <c r="AB182">
        <v>180</v>
      </c>
      <c r="AC182">
        <v>0</v>
      </c>
      <c r="AD182">
        <v>0</v>
      </c>
      <c r="AE182">
        <v>0</v>
      </c>
      <c r="AF182">
        <v>0</v>
      </c>
      <c r="AG182">
        <v>0</v>
      </c>
      <c r="AH182" s="1">
        <v>0</v>
      </c>
      <c r="AI182">
        <v>180</v>
      </c>
      <c r="AJ182">
        <v>0</v>
      </c>
      <c r="AK182">
        <v>0</v>
      </c>
      <c r="AL182">
        <v>0</v>
      </c>
      <c r="AM182">
        <v>0</v>
      </c>
      <c r="AN182">
        <v>0</v>
      </c>
      <c r="AO182" s="1">
        <v>0</v>
      </c>
    </row>
    <row r="183" spans="7:41" x14ac:dyDescent="0.35">
      <c r="G183">
        <v>181</v>
      </c>
      <c r="H183">
        <v>1</v>
      </c>
      <c r="I183">
        <v>1</v>
      </c>
      <c r="J183">
        <v>1</v>
      </c>
      <c r="K183">
        <v>1</v>
      </c>
      <c r="L183">
        <v>4</v>
      </c>
      <c r="M183" s="1">
        <v>480</v>
      </c>
      <c r="N183">
        <v>181</v>
      </c>
      <c r="O183">
        <v>1</v>
      </c>
      <c r="P183">
        <v>0</v>
      </c>
      <c r="Q183">
        <v>1</v>
      </c>
      <c r="R183">
        <v>0</v>
      </c>
      <c r="S183">
        <v>0</v>
      </c>
      <c r="T183" s="1">
        <v>160</v>
      </c>
      <c r="U183">
        <v>181</v>
      </c>
      <c r="V183">
        <v>0</v>
      </c>
      <c r="W183">
        <v>0</v>
      </c>
      <c r="X183">
        <v>0</v>
      </c>
      <c r="Y183">
        <v>0</v>
      </c>
      <c r="Z183">
        <v>0</v>
      </c>
      <c r="AA183" s="1">
        <v>0</v>
      </c>
      <c r="AB183">
        <v>181</v>
      </c>
      <c r="AC183">
        <v>1</v>
      </c>
      <c r="AD183">
        <v>0</v>
      </c>
      <c r="AE183">
        <v>0</v>
      </c>
      <c r="AF183">
        <v>0</v>
      </c>
      <c r="AG183">
        <v>0</v>
      </c>
      <c r="AH183" s="1">
        <v>120</v>
      </c>
      <c r="AI183">
        <v>181</v>
      </c>
      <c r="AJ183">
        <v>0</v>
      </c>
      <c r="AK183">
        <v>0</v>
      </c>
      <c r="AL183">
        <v>3</v>
      </c>
      <c r="AM183">
        <v>0</v>
      </c>
      <c r="AN183">
        <v>0</v>
      </c>
      <c r="AO183" s="1">
        <v>450</v>
      </c>
    </row>
    <row r="184" spans="7:41" x14ac:dyDescent="0.35">
      <c r="G184">
        <v>182</v>
      </c>
      <c r="H184">
        <v>0</v>
      </c>
      <c r="I184">
        <v>0</v>
      </c>
      <c r="J184">
        <v>2</v>
      </c>
      <c r="K184">
        <v>2</v>
      </c>
      <c r="L184">
        <v>1</v>
      </c>
      <c r="M184" s="1">
        <v>300</v>
      </c>
      <c r="N184">
        <v>182</v>
      </c>
      <c r="O184">
        <v>0</v>
      </c>
      <c r="P184">
        <v>0</v>
      </c>
      <c r="Q184">
        <v>2</v>
      </c>
      <c r="R184">
        <v>0</v>
      </c>
      <c r="S184">
        <v>0</v>
      </c>
      <c r="T184" s="1">
        <v>160</v>
      </c>
      <c r="U184">
        <v>182</v>
      </c>
      <c r="V184">
        <v>0</v>
      </c>
      <c r="W184">
        <v>0</v>
      </c>
      <c r="X184">
        <v>1</v>
      </c>
      <c r="Y184">
        <v>0</v>
      </c>
      <c r="Z184">
        <v>0</v>
      </c>
      <c r="AA184" s="1">
        <v>100</v>
      </c>
      <c r="AB184">
        <v>182</v>
      </c>
      <c r="AC184">
        <v>0</v>
      </c>
      <c r="AD184">
        <v>0</v>
      </c>
      <c r="AE184">
        <v>0</v>
      </c>
      <c r="AF184">
        <v>0</v>
      </c>
      <c r="AG184">
        <v>0</v>
      </c>
      <c r="AH184" s="1">
        <v>0</v>
      </c>
      <c r="AI184">
        <v>182</v>
      </c>
      <c r="AJ184">
        <v>0</v>
      </c>
      <c r="AK184">
        <v>0</v>
      </c>
      <c r="AL184">
        <v>0</v>
      </c>
      <c r="AM184">
        <v>0</v>
      </c>
      <c r="AN184">
        <v>0</v>
      </c>
      <c r="AO184" s="1">
        <v>0</v>
      </c>
    </row>
    <row r="185" spans="7:41" x14ac:dyDescent="0.35">
      <c r="G185">
        <v>183</v>
      </c>
      <c r="H185">
        <v>1</v>
      </c>
      <c r="I185">
        <v>0</v>
      </c>
      <c r="J185">
        <v>0</v>
      </c>
      <c r="K185">
        <v>0</v>
      </c>
      <c r="L185">
        <v>0</v>
      </c>
      <c r="M185" s="1">
        <v>60</v>
      </c>
      <c r="N185">
        <v>183</v>
      </c>
      <c r="O185">
        <v>0</v>
      </c>
      <c r="P185">
        <v>0</v>
      </c>
      <c r="Q185">
        <v>2</v>
      </c>
      <c r="R185">
        <v>0</v>
      </c>
      <c r="S185">
        <v>1</v>
      </c>
      <c r="T185" s="1">
        <v>240</v>
      </c>
      <c r="U185">
        <v>183</v>
      </c>
      <c r="V185">
        <v>0</v>
      </c>
      <c r="W185">
        <v>2</v>
      </c>
      <c r="X185">
        <v>0</v>
      </c>
      <c r="Y185">
        <v>0</v>
      </c>
      <c r="Z185">
        <v>0</v>
      </c>
      <c r="AA185" s="1">
        <v>200</v>
      </c>
      <c r="AB185">
        <v>183</v>
      </c>
      <c r="AC185">
        <v>0</v>
      </c>
      <c r="AD185">
        <v>0</v>
      </c>
      <c r="AE185">
        <v>0</v>
      </c>
      <c r="AF185">
        <v>0</v>
      </c>
      <c r="AG185">
        <v>0</v>
      </c>
      <c r="AH185" s="1">
        <v>0</v>
      </c>
      <c r="AI185">
        <v>183</v>
      </c>
      <c r="AJ185">
        <v>0</v>
      </c>
      <c r="AK185">
        <v>0</v>
      </c>
      <c r="AL185">
        <v>0</v>
      </c>
      <c r="AM185">
        <v>0</v>
      </c>
      <c r="AN185">
        <v>0</v>
      </c>
      <c r="AO185" s="1">
        <v>0</v>
      </c>
    </row>
    <row r="186" spans="7:41" x14ac:dyDescent="0.35">
      <c r="G186">
        <v>184</v>
      </c>
      <c r="H186">
        <v>1</v>
      </c>
      <c r="I186">
        <v>1</v>
      </c>
      <c r="J186">
        <v>1</v>
      </c>
      <c r="K186">
        <v>2</v>
      </c>
      <c r="L186">
        <v>1</v>
      </c>
      <c r="M186" s="1">
        <v>360</v>
      </c>
      <c r="N186">
        <v>184</v>
      </c>
      <c r="O186">
        <v>0</v>
      </c>
      <c r="P186">
        <v>1</v>
      </c>
      <c r="Q186">
        <v>0</v>
      </c>
      <c r="R186">
        <v>0</v>
      </c>
      <c r="S186">
        <v>0</v>
      </c>
      <c r="T186" s="1">
        <v>80</v>
      </c>
      <c r="U186">
        <v>184</v>
      </c>
      <c r="V186">
        <v>0</v>
      </c>
      <c r="W186">
        <v>1</v>
      </c>
      <c r="X186">
        <v>0</v>
      </c>
      <c r="Y186">
        <v>0</v>
      </c>
      <c r="Z186">
        <v>0</v>
      </c>
      <c r="AA186" s="1">
        <v>100</v>
      </c>
      <c r="AB186">
        <v>184</v>
      </c>
      <c r="AC186">
        <v>0</v>
      </c>
      <c r="AD186">
        <v>0</v>
      </c>
      <c r="AE186">
        <v>0</v>
      </c>
      <c r="AF186">
        <v>0</v>
      </c>
      <c r="AG186">
        <v>0</v>
      </c>
      <c r="AH186" s="1">
        <v>0</v>
      </c>
      <c r="AI186">
        <v>184</v>
      </c>
      <c r="AJ186">
        <v>0</v>
      </c>
      <c r="AK186">
        <v>0</v>
      </c>
      <c r="AL186">
        <v>1</v>
      </c>
      <c r="AM186">
        <v>0</v>
      </c>
      <c r="AN186">
        <v>0</v>
      </c>
      <c r="AO186" s="1">
        <v>150</v>
      </c>
    </row>
    <row r="187" spans="7:41" x14ac:dyDescent="0.35">
      <c r="G187">
        <v>185</v>
      </c>
      <c r="H187">
        <v>1</v>
      </c>
      <c r="I187">
        <v>0</v>
      </c>
      <c r="J187">
        <v>0</v>
      </c>
      <c r="K187">
        <v>1</v>
      </c>
      <c r="L187">
        <v>0</v>
      </c>
      <c r="M187" s="1">
        <v>120</v>
      </c>
      <c r="N187">
        <v>185</v>
      </c>
      <c r="O187">
        <v>0</v>
      </c>
      <c r="P187">
        <v>0</v>
      </c>
      <c r="Q187">
        <v>1</v>
      </c>
      <c r="R187">
        <v>0</v>
      </c>
      <c r="S187">
        <v>0</v>
      </c>
      <c r="T187" s="1">
        <v>80</v>
      </c>
      <c r="U187">
        <v>185</v>
      </c>
      <c r="V187">
        <v>0</v>
      </c>
      <c r="W187">
        <v>2</v>
      </c>
      <c r="X187">
        <v>0</v>
      </c>
      <c r="Y187">
        <v>0</v>
      </c>
      <c r="Z187">
        <v>0</v>
      </c>
      <c r="AA187" s="1">
        <v>200</v>
      </c>
      <c r="AB187">
        <v>185</v>
      </c>
      <c r="AC187">
        <v>0</v>
      </c>
      <c r="AD187">
        <v>0</v>
      </c>
      <c r="AE187">
        <v>0</v>
      </c>
      <c r="AF187">
        <v>0</v>
      </c>
      <c r="AG187">
        <v>0</v>
      </c>
      <c r="AH187" s="1">
        <v>0</v>
      </c>
      <c r="AI187">
        <v>185</v>
      </c>
      <c r="AJ187">
        <v>0</v>
      </c>
      <c r="AK187">
        <v>0</v>
      </c>
      <c r="AL187">
        <v>0</v>
      </c>
      <c r="AM187">
        <v>0</v>
      </c>
      <c r="AN187">
        <v>0</v>
      </c>
      <c r="AO187" s="1">
        <v>0</v>
      </c>
    </row>
    <row r="188" spans="7:41" x14ac:dyDescent="0.35">
      <c r="G188">
        <v>186</v>
      </c>
      <c r="H188">
        <v>2</v>
      </c>
      <c r="I188">
        <v>0</v>
      </c>
      <c r="J188">
        <v>1</v>
      </c>
      <c r="K188">
        <v>0</v>
      </c>
      <c r="L188">
        <v>4</v>
      </c>
      <c r="M188" s="1">
        <v>420</v>
      </c>
      <c r="N188">
        <v>186</v>
      </c>
      <c r="O188">
        <v>0</v>
      </c>
      <c r="P188">
        <v>0</v>
      </c>
      <c r="Q188">
        <v>1</v>
      </c>
      <c r="R188">
        <v>0</v>
      </c>
      <c r="S188">
        <v>1</v>
      </c>
      <c r="T188" s="1">
        <v>160</v>
      </c>
      <c r="U188">
        <v>186</v>
      </c>
      <c r="V188">
        <v>0</v>
      </c>
      <c r="W188">
        <v>0</v>
      </c>
      <c r="X188">
        <v>0</v>
      </c>
      <c r="Y188">
        <v>0</v>
      </c>
      <c r="Z188">
        <v>0</v>
      </c>
      <c r="AA188" s="1">
        <v>0</v>
      </c>
      <c r="AB188">
        <v>186</v>
      </c>
      <c r="AC188">
        <v>0</v>
      </c>
      <c r="AD188">
        <v>0</v>
      </c>
      <c r="AE188">
        <v>0</v>
      </c>
      <c r="AF188">
        <v>0</v>
      </c>
      <c r="AG188">
        <v>0</v>
      </c>
      <c r="AH188" s="1">
        <v>0</v>
      </c>
      <c r="AI188">
        <v>186</v>
      </c>
      <c r="AJ188">
        <v>0</v>
      </c>
      <c r="AK188">
        <v>0</v>
      </c>
      <c r="AL188">
        <v>0</v>
      </c>
      <c r="AM188">
        <v>0</v>
      </c>
      <c r="AN188">
        <v>0</v>
      </c>
      <c r="AO188" s="1">
        <v>0</v>
      </c>
    </row>
    <row r="189" spans="7:41" x14ac:dyDescent="0.35">
      <c r="G189">
        <v>187</v>
      </c>
      <c r="H189">
        <v>4</v>
      </c>
      <c r="I189">
        <v>3</v>
      </c>
      <c r="J189">
        <v>0</v>
      </c>
      <c r="K189">
        <v>2</v>
      </c>
      <c r="L189">
        <v>2</v>
      </c>
      <c r="M189" s="1">
        <v>660</v>
      </c>
      <c r="N189">
        <v>187</v>
      </c>
      <c r="O189">
        <v>0</v>
      </c>
      <c r="P189">
        <v>1</v>
      </c>
      <c r="Q189">
        <v>2</v>
      </c>
      <c r="R189">
        <v>0</v>
      </c>
      <c r="S189">
        <v>0</v>
      </c>
      <c r="T189" s="1">
        <v>240</v>
      </c>
      <c r="U189">
        <v>187</v>
      </c>
      <c r="V189">
        <v>0</v>
      </c>
      <c r="W189">
        <v>0</v>
      </c>
      <c r="X189">
        <v>0</v>
      </c>
      <c r="Y189">
        <v>0</v>
      </c>
      <c r="Z189">
        <v>0</v>
      </c>
      <c r="AA189" s="1">
        <v>0</v>
      </c>
      <c r="AB189">
        <v>187</v>
      </c>
      <c r="AC189">
        <v>0</v>
      </c>
      <c r="AD189">
        <v>0</v>
      </c>
      <c r="AE189">
        <v>0</v>
      </c>
      <c r="AF189">
        <v>0</v>
      </c>
      <c r="AG189">
        <v>1</v>
      </c>
      <c r="AH189" s="1">
        <v>120</v>
      </c>
      <c r="AI189">
        <v>187</v>
      </c>
      <c r="AJ189">
        <v>0</v>
      </c>
      <c r="AK189">
        <v>0</v>
      </c>
      <c r="AL189">
        <v>0</v>
      </c>
      <c r="AM189">
        <v>0</v>
      </c>
      <c r="AN189">
        <v>0</v>
      </c>
      <c r="AO189" s="1">
        <v>0</v>
      </c>
    </row>
    <row r="190" spans="7:41" x14ac:dyDescent="0.35">
      <c r="G190">
        <v>188</v>
      </c>
      <c r="H190">
        <v>1</v>
      </c>
      <c r="I190">
        <v>2</v>
      </c>
      <c r="J190">
        <v>0</v>
      </c>
      <c r="K190">
        <v>4</v>
      </c>
      <c r="L190">
        <v>2</v>
      </c>
      <c r="M190" s="1">
        <v>540</v>
      </c>
      <c r="N190">
        <v>188</v>
      </c>
      <c r="O190">
        <v>0</v>
      </c>
      <c r="P190">
        <v>0</v>
      </c>
      <c r="Q190">
        <v>3</v>
      </c>
      <c r="R190">
        <v>0</v>
      </c>
      <c r="S190">
        <v>1</v>
      </c>
      <c r="T190" s="1">
        <v>320</v>
      </c>
      <c r="U190">
        <v>188</v>
      </c>
      <c r="V190">
        <v>0</v>
      </c>
      <c r="W190">
        <v>0</v>
      </c>
      <c r="X190">
        <v>0</v>
      </c>
      <c r="Y190">
        <v>0</v>
      </c>
      <c r="Z190">
        <v>0</v>
      </c>
      <c r="AA190" s="1">
        <v>0</v>
      </c>
      <c r="AB190">
        <v>188</v>
      </c>
      <c r="AC190">
        <v>0</v>
      </c>
      <c r="AD190">
        <v>0</v>
      </c>
      <c r="AE190">
        <v>0</v>
      </c>
      <c r="AF190">
        <v>1</v>
      </c>
      <c r="AG190">
        <v>0</v>
      </c>
      <c r="AH190" s="1">
        <v>120</v>
      </c>
      <c r="AI190">
        <v>188</v>
      </c>
      <c r="AJ190">
        <v>0</v>
      </c>
      <c r="AK190">
        <v>0</v>
      </c>
      <c r="AL190">
        <v>3</v>
      </c>
      <c r="AM190">
        <v>0</v>
      </c>
      <c r="AN190">
        <v>0</v>
      </c>
      <c r="AO190" s="1">
        <v>450</v>
      </c>
    </row>
    <row r="191" spans="7:41" x14ac:dyDescent="0.35">
      <c r="G191">
        <v>189</v>
      </c>
      <c r="H191">
        <v>1</v>
      </c>
      <c r="I191">
        <v>1</v>
      </c>
      <c r="J191">
        <v>0</v>
      </c>
      <c r="K191">
        <v>3</v>
      </c>
      <c r="L191">
        <v>1</v>
      </c>
      <c r="M191" s="1">
        <v>360</v>
      </c>
      <c r="N191">
        <v>189</v>
      </c>
      <c r="O191">
        <v>0</v>
      </c>
      <c r="P191">
        <v>0</v>
      </c>
      <c r="Q191">
        <v>0</v>
      </c>
      <c r="R191">
        <v>1</v>
      </c>
      <c r="S191">
        <v>0</v>
      </c>
      <c r="T191" s="1">
        <v>80</v>
      </c>
      <c r="U191">
        <v>189</v>
      </c>
      <c r="V191">
        <v>0</v>
      </c>
      <c r="W191">
        <v>0</v>
      </c>
      <c r="X191">
        <v>0</v>
      </c>
      <c r="Y191">
        <v>0</v>
      </c>
      <c r="Z191">
        <v>1</v>
      </c>
      <c r="AA191" s="1">
        <v>100</v>
      </c>
      <c r="AB191">
        <v>189</v>
      </c>
      <c r="AC191">
        <v>0</v>
      </c>
      <c r="AD191">
        <v>0</v>
      </c>
      <c r="AE191">
        <v>0</v>
      </c>
      <c r="AF191">
        <v>0</v>
      </c>
      <c r="AG191">
        <v>1</v>
      </c>
      <c r="AH191" s="1">
        <v>120</v>
      </c>
      <c r="AI191">
        <v>189</v>
      </c>
      <c r="AJ191">
        <v>0</v>
      </c>
      <c r="AK191">
        <v>0</v>
      </c>
      <c r="AL191">
        <v>0</v>
      </c>
      <c r="AM191">
        <v>0</v>
      </c>
      <c r="AN191">
        <v>0</v>
      </c>
      <c r="AO191" s="1">
        <v>0</v>
      </c>
    </row>
    <row r="192" spans="7:41" x14ac:dyDescent="0.35">
      <c r="G192">
        <v>190</v>
      </c>
      <c r="H192">
        <v>1</v>
      </c>
      <c r="I192">
        <v>0</v>
      </c>
      <c r="J192">
        <v>2</v>
      </c>
      <c r="K192">
        <v>4</v>
      </c>
      <c r="L192">
        <v>2</v>
      </c>
      <c r="M192" s="1">
        <v>540</v>
      </c>
      <c r="N192">
        <v>190</v>
      </c>
      <c r="O192">
        <v>0</v>
      </c>
      <c r="P192">
        <v>1</v>
      </c>
      <c r="Q192">
        <v>0</v>
      </c>
      <c r="R192">
        <v>0</v>
      </c>
      <c r="S192">
        <v>1</v>
      </c>
      <c r="T192" s="1">
        <v>160</v>
      </c>
      <c r="U192">
        <v>190</v>
      </c>
      <c r="V192">
        <v>0</v>
      </c>
      <c r="W192">
        <v>0</v>
      </c>
      <c r="X192">
        <v>0</v>
      </c>
      <c r="Y192">
        <v>1</v>
      </c>
      <c r="Z192">
        <v>0</v>
      </c>
      <c r="AA192" s="1">
        <v>100</v>
      </c>
      <c r="AB192">
        <v>190</v>
      </c>
      <c r="AC192">
        <v>0</v>
      </c>
      <c r="AD192">
        <v>0</v>
      </c>
      <c r="AE192">
        <v>0</v>
      </c>
      <c r="AF192">
        <v>0</v>
      </c>
      <c r="AG192">
        <v>0</v>
      </c>
      <c r="AH192" s="1">
        <v>0</v>
      </c>
      <c r="AI192">
        <v>190</v>
      </c>
      <c r="AJ192">
        <v>0</v>
      </c>
      <c r="AK192">
        <v>0</v>
      </c>
      <c r="AL192">
        <v>0</v>
      </c>
      <c r="AM192">
        <v>0</v>
      </c>
      <c r="AN192">
        <v>0</v>
      </c>
      <c r="AO192" s="1">
        <v>0</v>
      </c>
    </row>
    <row r="193" spans="7:41" x14ac:dyDescent="0.35">
      <c r="G193">
        <v>191</v>
      </c>
      <c r="H193">
        <v>0</v>
      </c>
      <c r="I193">
        <v>0</v>
      </c>
      <c r="J193">
        <v>1</v>
      </c>
      <c r="K193">
        <v>0</v>
      </c>
      <c r="L193">
        <v>1</v>
      </c>
      <c r="M193" s="1">
        <v>120</v>
      </c>
      <c r="N193">
        <v>191</v>
      </c>
      <c r="O193">
        <v>0</v>
      </c>
      <c r="P193">
        <v>0</v>
      </c>
      <c r="Q193">
        <v>0</v>
      </c>
      <c r="R193">
        <v>0</v>
      </c>
      <c r="S193">
        <v>1</v>
      </c>
      <c r="T193" s="1">
        <v>80</v>
      </c>
      <c r="U193">
        <v>191</v>
      </c>
      <c r="V193">
        <v>0</v>
      </c>
      <c r="W193">
        <v>0</v>
      </c>
      <c r="X193">
        <v>0</v>
      </c>
      <c r="Y193">
        <v>0</v>
      </c>
      <c r="Z193">
        <v>0</v>
      </c>
      <c r="AA193" s="1">
        <v>0</v>
      </c>
      <c r="AB193">
        <v>191</v>
      </c>
      <c r="AC193">
        <v>0</v>
      </c>
      <c r="AD193">
        <v>0</v>
      </c>
      <c r="AE193">
        <v>0</v>
      </c>
      <c r="AF193">
        <v>0</v>
      </c>
      <c r="AG193">
        <v>0</v>
      </c>
      <c r="AH193" s="1">
        <v>0</v>
      </c>
      <c r="AI193">
        <v>191</v>
      </c>
      <c r="AJ193">
        <v>0</v>
      </c>
      <c r="AK193">
        <v>0</v>
      </c>
      <c r="AL193">
        <v>1</v>
      </c>
      <c r="AM193">
        <v>0</v>
      </c>
      <c r="AN193">
        <v>0</v>
      </c>
      <c r="AO193" s="1">
        <v>150</v>
      </c>
    </row>
    <row r="194" spans="7:41" x14ac:dyDescent="0.35">
      <c r="G194">
        <v>192</v>
      </c>
      <c r="H194">
        <v>0</v>
      </c>
      <c r="I194">
        <v>2</v>
      </c>
      <c r="J194">
        <v>1</v>
      </c>
      <c r="K194">
        <v>4</v>
      </c>
      <c r="L194">
        <v>0</v>
      </c>
      <c r="M194" s="1">
        <v>420</v>
      </c>
      <c r="N194">
        <v>192</v>
      </c>
      <c r="O194">
        <v>0</v>
      </c>
      <c r="P194">
        <v>0</v>
      </c>
      <c r="Q194">
        <v>1</v>
      </c>
      <c r="R194">
        <v>0</v>
      </c>
      <c r="S194">
        <v>0</v>
      </c>
      <c r="T194" s="1">
        <v>80</v>
      </c>
      <c r="U194">
        <v>192</v>
      </c>
      <c r="V194">
        <v>0</v>
      </c>
      <c r="W194">
        <v>0</v>
      </c>
      <c r="X194">
        <v>1</v>
      </c>
      <c r="Y194">
        <v>0</v>
      </c>
      <c r="Z194">
        <v>0</v>
      </c>
      <c r="AA194" s="1">
        <v>100</v>
      </c>
      <c r="AB194">
        <v>192</v>
      </c>
      <c r="AC194">
        <v>0</v>
      </c>
      <c r="AD194">
        <v>0</v>
      </c>
      <c r="AE194">
        <v>0</v>
      </c>
      <c r="AF194">
        <v>0</v>
      </c>
      <c r="AG194">
        <v>0</v>
      </c>
      <c r="AH194" s="1">
        <v>0</v>
      </c>
      <c r="AI194">
        <v>192</v>
      </c>
      <c r="AJ194">
        <v>0</v>
      </c>
      <c r="AK194">
        <v>0</v>
      </c>
      <c r="AL194">
        <v>0</v>
      </c>
      <c r="AM194">
        <v>0</v>
      </c>
      <c r="AN194">
        <v>0</v>
      </c>
      <c r="AO194" s="1">
        <v>0</v>
      </c>
    </row>
    <row r="195" spans="7:41" x14ac:dyDescent="0.35">
      <c r="G195">
        <v>193</v>
      </c>
      <c r="H195">
        <v>0</v>
      </c>
      <c r="I195">
        <v>2</v>
      </c>
      <c r="J195">
        <v>0</v>
      </c>
      <c r="K195">
        <v>1</v>
      </c>
      <c r="L195">
        <v>0</v>
      </c>
      <c r="M195" s="1">
        <v>180</v>
      </c>
      <c r="N195">
        <v>193</v>
      </c>
      <c r="O195">
        <v>0</v>
      </c>
      <c r="P195">
        <v>0</v>
      </c>
      <c r="Q195">
        <v>0</v>
      </c>
      <c r="R195">
        <v>1</v>
      </c>
      <c r="S195">
        <v>0</v>
      </c>
      <c r="T195" s="1">
        <v>80</v>
      </c>
      <c r="U195">
        <v>193</v>
      </c>
      <c r="V195">
        <v>0</v>
      </c>
      <c r="W195">
        <v>0</v>
      </c>
      <c r="X195">
        <v>0</v>
      </c>
      <c r="Y195">
        <v>0</v>
      </c>
      <c r="Z195">
        <v>1</v>
      </c>
      <c r="AA195" s="1">
        <v>100</v>
      </c>
      <c r="AB195">
        <v>193</v>
      </c>
      <c r="AC195">
        <v>0</v>
      </c>
      <c r="AD195">
        <v>0</v>
      </c>
      <c r="AE195">
        <v>0</v>
      </c>
      <c r="AF195">
        <v>0</v>
      </c>
      <c r="AG195">
        <v>0</v>
      </c>
      <c r="AH195" s="1">
        <v>0</v>
      </c>
      <c r="AI195">
        <v>193</v>
      </c>
      <c r="AJ195">
        <v>0</v>
      </c>
      <c r="AK195">
        <v>0</v>
      </c>
      <c r="AL195">
        <v>3</v>
      </c>
      <c r="AM195">
        <v>0</v>
      </c>
      <c r="AN195">
        <v>0</v>
      </c>
      <c r="AO195" s="1">
        <v>450</v>
      </c>
    </row>
    <row r="196" spans="7:41" x14ac:dyDescent="0.35">
      <c r="G196">
        <v>194</v>
      </c>
      <c r="H196">
        <v>0</v>
      </c>
      <c r="I196">
        <v>0</v>
      </c>
      <c r="J196">
        <v>1</v>
      </c>
      <c r="K196">
        <v>0</v>
      </c>
      <c r="L196">
        <v>0</v>
      </c>
      <c r="M196" s="1">
        <v>60</v>
      </c>
      <c r="N196">
        <v>194</v>
      </c>
      <c r="O196">
        <v>0</v>
      </c>
      <c r="P196">
        <v>1</v>
      </c>
      <c r="Q196">
        <v>1</v>
      </c>
      <c r="R196">
        <v>0</v>
      </c>
      <c r="S196">
        <v>0</v>
      </c>
      <c r="T196" s="1">
        <v>160</v>
      </c>
      <c r="U196">
        <v>194</v>
      </c>
      <c r="V196">
        <v>0</v>
      </c>
      <c r="W196">
        <v>0</v>
      </c>
      <c r="X196">
        <v>0</v>
      </c>
      <c r="Y196">
        <v>0</v>
      </c>
      <c r="Z196">
        <v>0</v>
      </c>
      <c r="AA196" s="1">
        <v>0</v>
      </c>
      <c r="AB196">
        <v>194</v>
      </c>
      <c r="AC196">
        <v>0</v>
      </c>
      <c r="AD196">
        <v>0</v>
      </c>
      <c r="AE196">
        <v>0</v>
      </c>
      <c r="AF196">
        <v>0</v>
      </c>
      <c r="AG196">
        <v>0</v>
      </c>
      <c r="AH196" s="1">
        <v>0</v>
      </c>
      <c r="AI196">
        <v>194</v>
      </c>
      <c r="AJ196">
        <v>0</v>
      </c>
      <c r="AK196">
        <v>0</v>
      </c>
      <c r="AL196">
        <v>2</v>
      </c>
      <c r="AM196">
        <v>0</v>
      </c>
      <c r="AN196">
        <v>0</v>
      </c>
      <c r="AO196" s="1">
        <v>300</v>
      </c>
    </row>
    <row r="197" spans="7:41" x14ac:dyDescent="0.35">
      <c r="G197">
        <v>195</v>
      </c>
      <c r="H197">
        <v>0</v>
      </c>
      <c r="I197">
        <v>1</v>
      </c>
      <c r="J197">
        <v>3</v>
      </c>
      <c r="K197">
        <v>3</v>
      </c>
      <c r="L197">
        <v>1</v>
      </c>
      <c r="M197" s="1">
        <v>480</v>
      </c>
      <c r="N197">
        <v>195</v>
      </c>
      <c r="O197">
        <v>1</v>
      </c>
      <c r="P197">
        <v>1</v>
      </c>
      <c r="Q197">
        <v>0</v>
      </c>
      <c r="R197">
        <v>0</v>
      </c>
      <c r="S197">
        <v>0</v>
      </c>
      <c r="T197" s="1">
        <v>160</v>
      </c>
      <c r="U197">
        <v>195</v>
      </c>
      <c r="V197">
        <v>0</v>
      </c>
      <c r="W197">
        <v>0</v>
      </c>
      <c r="X197">
        <v>0</v>
      </c>
      <c r="Y197">
        <v>1</v>
      </c>
      <c r="Z197">
        <v>0</v>
      </c>
      <c r="AA197" s="1">
        <v>100</v>
      </c>
      <c r="AB197">
        <v>195</v>
      </c>
      <c r="AC197">
        <v>0</v>
      </c>
      <c r="AD197">
        <v>0</v>
      </c>
      <c r="AE197">
        <v>0</v>
      </c>
      <c r="AF197">
        <v>0</v>
      </c>
      <c r="AG197">
        <v>0</v>
      </c>
      <c r="AH197" s="1">
        <v>0</v>
      </c>
      <c r="AI197">
        <v>195</v>
      </c>
      <c r="AJ197">
        <v>0</v>
      </c>
      <c r="AK197">
        <v>0</v>
      </c>
      <c r="AL197">
        <v>0</v>
      </c>
      <c r="AM197">
        <v>0</v>
      </c>
      <c r="AN197">
        <v>0</v>
      </c>
      <c r="AO197" s="1">
        <v>0</v>
      </c>
    </row>
    <row r="198" spans="7:41" x14ac:dyDescent="0.35">
      <c r="G198">
        <v>196</v>
      </c>
      <c r="H198">
        <v>0</v>
      </c>
      <c r="I198">
        <v>1</v>
      </c>
      <c r="J198">
        <v>1</v>
      </c>
      <c r="K198">
        <v>4</v>
      </c>
      <c r="L198">
        <v>0</v>
      </c>
      <c r="M198" s="1">
        <v>360</v>
      </c>
      <c r="N198">
        <v>196</v>
      </c>
      <c r="O198">
        <v>1</v>
      </c>
      <c r="P198">
        <v>0</v>
      </c>
      <c r="Q198">
        <v>0</v>
      </c>
      <c r="R198">
        <v>0</v>
      </c>
      <c r="S198">
        <v>0</v>
      </c>
      <c r="T198" s="1">
        <v>80</v>
      </c>
      <c r="U198">
        <v>196</v>
      </c>
      <c r="V198">
        <v>0</v>
      </c>
      <c r="W198">
        <v>0</v>
      </c>
      <c r="X198">
        <v>1</v>
      </c>
      <c r="Y198">
        <v>0</v>
      </c>
      <c r="Z198">
        <v>0</v>
      </c>
      <c r="AA198" s="1">
        <v>100</v>
      </c>
      <c r="AB198">
        <v>196</v>
      </c>
      <c r="AC198">
        <v>1</v>
      </c>
      <c r="AD198">
        <v>0</v>
      </c>
      <c r="AE198">
        <v>0</v>
      </c>
      <c r="AF198">
        <v>0</v>
      </c>
      <c r="AG198">
        <v>0</v>
      </c>
      <c r="AH198" s="1">
        <v>120</v>
      </c>
      <c r="AI198">
        <v>196</v>
      </c>
      <c r="AJ198">
        <v>0</v>
      </c>
      <c r="AK198">
        <v>0</v>
      </c>
      <c r="AL198">
        <v>3</v>
      </c>
      <c r="AM198">
        <v>0</v>
      </c>
      <c r="AN198">
        <v>0</v>
      </c>
      <c r="AO198" s="1">
        <v>450</v>
      </c>
    </row>
    <row r="199" spans="7:41" x14ac:dyDescent="0.35">
      <c r="G199">
        <v>197</v>
      </c>
      <c r="H199">
        <v>0</v>
      </c>
      <c r="I199">
        <v>2</v>
      </c>
      <c r="J199">
        <v>0</v>
      </c>
      <c r="K199">
        <v>0</v>
      </c>
      <c r="L199">
        <v>0</v>
      </c>
      <c r="M199" s="1">
        <v>120</v>
      </c>
      <c r="N199">
        <v>197</v>
      </c>
      <c r="O199">
        <v>1</v>
      </c>
      <c r="P199">
        <v>0</v>
      </c>
      <c r="Q199">
        <v>1</v>
      </c>
      <c r="R199">
        <v>0</v>
      </c>
      <c r="S199">
        <v>0</v>
      </c>
      <c r="T199" s="1">
        <v>160</v>
      </c>
      <c r="U199">
        <v>197</v>
      </c>
      <c r="V199">
        <v>0</v>
      </c>
      <c r="W199">
        <v>0</v>
      </c>
      <c r="X199">
        <v>0</v>
      </c>
      <c r="Y199">
        <v>0</v>
      </c>
      <c r="Z199">
        <v>0</v>
      </c>
      <c r="AA199" s="1">
        <v>0</v>
      </c>
      <c r="AB199">
        <v>197</v>
      </c>
      <c r="AC199">
        <v>0</v>
      </c>
      <c r="AD199">
        <v>0</v>
      </c>
      <c r="AE199">
        <v>0</v>
      </c>
      <c r="AF199">
        <v>0</v>
      </c>
      <c r="AG199">
        <v>0</v>
      </c>
      <c r="AH199" s="1">
        <v>0</v>
      </c>
      <c r="AI199">
        <v>197</v>
      </c>
      <c r="AJ199">
        <v>0</v>
      </c>
      <c r="AK199">
        <v>0</v>
      </c>
      <c r="AL199">
        <v>1</v>
      </c>
      <c r="AM199">
        <v>0</v>
      </c>
      <c r="AN199">
        <v>0</v>
      </c>
      <c r="AO199" s="1">
        <v>150</v>
      </c>
    </row>
    <row r="200" spans="7:41" x14ac:dyDescent="0.35">
      <c r="G200">
        <v>198</v>
      </c>
      <c r="H200">
        <v>0</v>
      </c>
      <c r="I200">
        <v>1</v>
      </c>
      <c r="J200">
        <v>1</v>
      </c>
      <c r="K200">
        <v>0</v>
      </c>
      <c r="L200">
        <v>1</v>
      </c>
      <c r="M200" s="1">
        <v>180</v>
      </c>
      <c r="N200">
        <v>198</v>
      </c>
      <c r="O200">
        <v>0</v>
      </c>
      <c r="P200">
        <v>0</v>
      </c>
      <c r="Q200">
        <v>1</v>
      </c>
      <c r="R200">
        <v>0</v>
      </c>
      <c r="S200">
        <v>1</v>
      </c>
      <c r="T200" s="1">
        <v>160</v>
      </c>
      <c r="U200">
        <v>198</v>
      </c>
      <c r="V200">
        <v>0</v>
      </c>
      <c r="W200">
        <v>0</v>
      </c>
      <c r="X200">
        <v>1</v>
      </c>
      <c r="Y200">
        <v>0</v>
      </c>
      <c r="Z200">
        <v>1</v>
      </c>
      <c r="AA200" s="1">
        <v>200</v>
      </c>
      <c r="AB200">
        <v>198</v>
      </c>
      <c r="AC200">
        <v>0</v>
      </c>
      <c r="AD200">
        <v>0</v>
      </c>
      <c r="AE200">
        <v>0</v>
      </c>
      <c r="AF200">
        <v>0</v>
      </c>
      <c r="AG200">
        <v>0</v>
      </c>
      <c r="AH200" s="1">
        <v>0</v>
      </c>
      <c r="AI200">
        <v>198</v>
      </c>
      <c r="AJ200">
        <v>0</v>
      </c>
      <c r="AK200">
        <v>0</v>
      </c>
      <c r="AL200">
        <v>0</v>
      </c>
      <c r="AM200">
        <v>0</v>
      </c>
      <c r="AN200">
        <v>0</v>
      </c>
      <c r="AO200" s="1">
        <v>0</v>
      </c>
    </row>
    <row r="201" spans="7:41" x14ac:dyDescent="0.35">
      <c r="G201">
        <v>199</v>
      </c>
      <c r="H201">
        <v>0</v>
      </c>
      <c r="I201">
        <v>0</v>
      </c>
      <c r="J201">
        <v>5</v>
      </c>
      <c r="K201">
        <v>0</v>
      </c>
      <c r="L201">
        <v>0</v>
      </c>
      <c r="M201" s="1">
        <v>300</v>
      </c>
      <c r="N201">
        <v>199</v>
      </c>
      <c r="O201">
        <v>0</v>
      </c>
      <c r="P201">
        <v>0</v>
      </c>
      <c r="Q201">
        <v>1</v>
      </c>
      <c r="R201">
        <v>0</v>
      </c>
      <c r="S201">
        <v>0</v>
      </c>
      <c r="T201" s="1">
        <v>80</v>
      </c>
      <c r="U201">
        <v>199</v>
      </c>
      <c r="V201">
        <v>0</v>
      </c>
      <c r="W201">
        <v>1</v>
      </c>
      <c r="X201">
        <v>0</v>
      </c>
      <c r="Y201">
        <v>0</v>
      </c>
      <c r="Z201">
        <v>0</v>
      </c>
      <c r="AA201" s="1">
        <v>100</v>
      </c>
      <c r="AB201">
        <v>199</v>
      </c>
      <c r="AC201">
        <v>0</v>
      </c>
      <c r="AD201">
        <v>0</v>
      </c>
      <c r="AE201">
        <v>0</v>
      </c>
      <c r="AF201">
        <v>0</v>
      </c>
      <c r="AG201">
        <v>1</v>
      </c>
      <c r="AH201" s="1">
        <v>120</v>
      </c>
      <c r="AI201">
        <v>199</v>
      </c>
      <c r="AJ201">
        <v>0</v>
      </c>
      <c r="AK201">
        <v>0</v>
      </c>
      <c r="AL201">
        <v>0</v>
      </c>
      <c r="AM201">
        <v>0</v>
      </c>
      <c r="AN201">
        <v>0</v>
      </c>
      <c r="AO201" s="1">
        <v>0</v>
      </c>
    </row>
    <row r="202" spans="7:41" x14ac:dyDescent="0.35">
      <c r="G202">
        <v>200</v>
      </c>
      <c r="H202">
        <v>1</v>
      </c>
      <c r="I202">
        <v>1</v>
      </c>
      <c r="J202">
        <v>0</v>
      </c>
      <c r="K202">
        <v>0</v>
      </c>
      <c r="L202">
        <v>1</v>
      </c>
      <c r="M202" s="1">
        <v>180</v>
      </c>
      <c r="N202">
        <v>200</v>
      </c>
      <c r="O202">
        <v>0</v>
      </c>
      <c r="P202">
        <v>0</v>
      </c>
      <c r="Q202">
        <v>0</v>
      </c>
      <c r="R202">
        <v>1</v>
      </c>
      <c r="S202">
        <v>0</v>
      </c>
      <c r="T202" s="1">
        <v>80</v>
      </c>
      <c r="U202">
        <v>200</v>
      </c>
      <c r="V202">
        <v>0</v>
      </c>
      <c r="W202">
        <v>2</v>
      </c>
      <c r="X202">
        <v>0</v>
      </c>
      <c r="Y202">
        <v>0</v>
      </c>
      <c r="Z202">
        <v>0</v>
      </c>
      <c r="AA202" s="1">
        <v>200</v>
      </c>
      <c r="AB202">
        <v>200</v>
      </c>
      <c r="AC202">
        <v>0</v>
      </c>
      <c r="AD202">
        <v>0</v>
      </c>
      <c r="AE202">
        <v>0</v>
      </c>
      <c r="AF202">
        <v>0</v>
      </c>
      <c r="AG202">
        <v>0</v>
      </c>
      <c r="AH202" s="1">
        <v>0</v>
      </c>
      <c r="AI202">
        <v>200</v>
      </c>
      <c r="AJ202">
        <v>0</v>
      </c>
      <c r="AK202">
        <v>0</v>
      </c>
      <c r="AL202">
        <v>1</v>
      </c>
      <c r="AM202">
        <v>0</v>
      </c>
      <c r="AN202">
        <v>0</v>
      </c>
      <c r="AO202" s="1">
        <v>150</v>
      </c>
    </row>
    <row r="203" spans="7:41" x14ac:dyDescent="0.35">
      <c r="G203">
        <v>201</v>
      </c>
      <c r="H203">
        <v>1</v>
      </c>
      <c r="I203">
        <v>0</v>
      </c>
      <c r="J203">
        <v>1</v>
      </c>
      <c r="K203">
        <v>0</v>
      </c>
      <c r="L203">
        <v>0</v>
      </c>
      <c r="M203" s="1">
        <v>120</v>
      </c>
      <c r="N203">
        <v>201</v>
      </c>
      <c r="O203">
        <v>0</v>
      </c>
      <c r="P203">
        <v>0</v>
      </c>
      <c r="Q203">
        <v>1</v>
      </c>
      <c r="R203">
        <v>0</v>
      </c>
      <c r="S203">
        <v>0</v>
      </c>
      <c r="T203" s="1">
        <v>80</v>
      </c>
      <c r="U203">
        <v>201</v>
      </c>
      <c r="V203">
        <v>0</v>
      </c>
      <c r="W203">
        <v>1</v>
      </c>
      <c r="X203">
        <v>0</v>
      </c>
      <c r="Y203">
        <v>0</v>
      </c>
      <c r="Z203">
        <v>0</v>
      </c>
      <c r="AA203" s="1">
        <v>100</v>
      </c>
      <c r="AB203">
        <v>201</v>
      </c>
      <c r="AC203">
        <v>0</v>
      </c>
      <c r="AD203">
        <v>0</v>
      </c>
      <c r="AE203">
        <v>0</v>
      </c>
      <c r="AF203">
        <v>0</v>
      </c>
      <c r="AG203">
        <v>0</v>
      </c>
      <c r="AH203" s="1">
        <v>0</v>
      </c>
      <c r="AI203">
        <v>201</v>
      </c>
      <c r="AJ203">
        <v>0</v>
      </c>
      <c r="AK203">
        <v>0</v>
      </c>
      <c r="AL203">
        <v>0</v>
      </c>
      <c r="AM203">
        <v>0</v>
      </c>
      <c r="AN203">
        <v>0</v>
      </c>
      <c r="AO203" s="1">
        <v>0</v>
      </c>
    </row>
    <row r="204" spans="7:41" x14ac:dyDescent="0.35">
      <c r="G204">
        <v>202</v>
      </c>
      <c r="H204">
        <v>0</v>
      </c>
      <c r="I204">
        <v>2</v>
      </c>
      <c r="J204">
        <v>0</v>
      </c>
      <c r="K204">
        <v>2</v>
      </c>
      <c r="L204">
        <v>0</v>
      </c>
      <c r="M204" s="1">
        <v>240</v>
      </c>
      <c r="N204">
        <v>202</v>
      </c>
      <c r="O204">
        <v>1</v>
      </c>
      <c r="P204">
        <v>0</v>
      </c>
      <c r="Q204">
        <v>1</v>
      </c>
      <c r="R204">
        <v>0</v>
      </c>
      <c r="S204">
        <v>0</v>
      </c>
      <c r="T204" s="1">
        <v>160</v>
      </c>
      <c r="U204">
        <v>202</v>
      </c>
      <c r="V204">
        <v>0</v>
      </c>
      <c r="W204">
        <v>0</v>
      </c>
      <c r="X204">
        <v>0</v>
      </c>
      <c r="Y204">
        <v>0</v>
      </c>
      <c r="Z204">
        <v>0</v>
      </c>
      <c r="AA204" s="1">
        <v>0</v>
      </c>
      <c r="AB204">
        <v>202</v>
      </c>
      <c r="AC204">
        <v>0</v>
      </c>
      <c r="AD204">
        <v>0</v>
      </c>
      <c r="AE204">
        <v>0</v>
      </c>
      <c r="AF204">
        <v>0</v>
      </c>
      <c r="AG204">
        <v>0</v>
      </c>
      <c r="AH204" s="1">
        <v>0</v>
      </c>
      <c r="AI204">
        <v>202</v>
      </c>
      <c r="AJ204">
        <v>0</v>
      </c>
      <c r="AK204">
        <v>0</v>
      </c>
      <c r="AL204">
        <v>0</v>
      </c>
      <c r="AM204">
        <v>0</v>
      </c>
      <c r="AN204">
        <v>0</v>
      </c>
      <c r="AO204" s="1">
        <v>0</v>
      </c>
    </row>
    <row r="205" spans="7:41" x14ac:dyDescent="0.35">
      <c r="G205">
        <v>203</v>
      </c>
      <c r="H205">
        <v>0</v>
      </c>
      <c r="I205">
        <v>0</v>
      </c>
      <c r="J205">
        <v>1</v>
      </c>
      <c r="K205">
        <v>0</v>
      </c>
      <c r="L205">
        <v>1</v>
      </c>
      <c r="M205" s="1">
        <v>120</v>
      </c>
      <c r="N205">
        <v>203</v>
      </c>
      <c r="O205">
        <v>0</v>
      </c>
      <c r="P205">
        <v>1</v>
      </c>
      <c r="Q205">
        <v>0</v>
      </c>
      <c r="R205">
        <v>1</v>
      </c>
      <c r="S205">
        <v>0</v>
      </c>
      <c r="T205" s="1">
        <v>160</v>
      </c>
      <c r="U205">
        <v>203</v>
      </c>
      <c r="V205">
        <v>1</v>
      </c>
      <c r="W205">
        <v>0</v>
      </c>
      <c r="X205">
        <v>1</v>
      </c>
      <c r="Y205">
        <v>0</v>
      </c>
      <c r="Z205">
        <v>0</v>
      </c>
      <c r="AA205" s="1">
        <v>200</v>
      </c>
      <c r="AB205">
        <v>203</v>
      </c>
      <c r="AC205">
        <v>1</v>
      </c>
      <c r="AD205">
        <v>0</v>
      </c>
      <c r="AE205">
        <v>0</v>
      </c>
      <c r="AF205">
        <v>0</v>
      </c>
      <c r="AG205">
        <v>0</v>
      </c>
      <c r="AH205" s="1">
        <v>120</v>
      </c>
      <c r="AI205">
        <v>203</v>
      </c>
      <c r="AJ205">
        <v>0</v>
      </c>
      <c r="AK205">
        <v>0</v>
      </c>
      <c r="AL205">
        <v>0</v>
      </c>
      <c r="AM205">
        <v>0</v>
      </c>
      <c r="AN205">
        <v>0</v>
      </c>
      <c r="AO205" s="1">
        <v>0</v>
      </c>
    </row>
    <row r="206" spans="7:41" x14ac:dyDescent="0.35">
      <c r="G206">
        <v>204</v>
      </c>
      <c r="H206">
        <v>0</v>
      </c>
      <c r="I206">
        <v>1</v>
      </c>
      <c r="J206">
        <v>1</v>
      </c>
      <c r="K206">
        <v>4</v>
      </c>
      <c r="L206">
        <v>1</v>
      </c>
      <c r="M206" s="1">
        <v>420</v>
      </c>
      <c r="N206">
        <v>204</v>
      </c>
      <c r="O206">
        <v>0</v>
      </c>
      <c r="P206">
        <v>0</v>
      </c>
      <c r="Q206">
        <v>2</v>
      </c>
      <c r="R206">
        <v>0</v>
      </c>
      <c r="S206">
        <v>0</v>
      </c>
      <c r="T206" s="1">
        <v>160</v>
      </c>
      <c r="U206">
        <v>204</v>
      </c>
      <c r="V206">
        <v>0</v>
      </c>
      <c r="W206">
        <v>0</v>
      </c>
      <c r="X206">
        <v>0</v>
      </c>
      <c r="Y206">
        <v>0</v>
      </c>
      <c r="Z206">
        <v>0</v>
      </c>
      <c r="AA206" s="1">
        <v>0</v>
      </c>
      <c r="AB206">
        <v>204</v>
      </c>
      <c r="AC206">
        <v>0</v>
      </c>
      <c r="AD206">
        <v>0</v>
      </c>
      <c r="AE206">
        <v>0</v>
      </c>
      <c r="AF206">
        <v>1</v>
      </c>
      <c r="AG206">
        <v>0</v>
      </c>
      <c r="AH206" s="1">
        <v>120</v>
      </c>
      <c r="AI206">
        <v>204</v>
      </c>
      <c r="AJ206">
        <v>0</v>
      </c>
      <c r="AK206">
        <v>0</v>
      </c>
      <c r="AL206">
        <v>0</v>
      </c>
      <c r="AM206">
        <v>0</v>
      </c>
      <c r="AN206">
        <v>0</v>
      </c>
      <c r="AO206" s="1">
        <v>0</v>
      </c>
    </row>
    <row r="207" spans="7:41" x14ac:dyDescent="0.35">
      <c r="G207">
        <v>205</v>
      </c>
      <c r="H207">
        <v>0</v>
      </c>
      <c r="I207">
        <v>0</v>
      </c>
      <c r="J207">
        <v>2</v>
      </c>
      <c r="K207">
        <v>2</v>
      </c>
      <c r="L207">
        <v>0</v>
      </c>
      <c r="M207" s="1">
        <v>240</v>
      </c>
      <c r="N207">
        <v>205</v>
      </c>
      <c r="O207">
        <v>0</v>
      </c>
      <c r="P207">
        <v>0</v>
      </c>
      <c r="Q207">
        <v>0</v>
      </c>
      <c r="R207">
        <v>2</v>
      </c>
      <c r="S207">
        <v>0</v>
      </c>
      <c r="T207" s="1">
        <v>160</v>
      </c>
      <c r="U207">
        <v>205</v>
      </c>
      <c r="V207">
        <v>1</v>
      </c>
      <c r="W207">
        <v>0</v>
      </c>
      <c r="X207">
        <v>1</v>
      </c>
      <c r="Y207">
        <v>0</v>
      </c>
      <c r="Z207">
        <v>0</v>
      </c>
      <c r="AA207" s="1">
        <v>200</v>
      </c>
      <c r="AB207">
        <v>205</v>
      </c>
      <c r="AC207">
        <v>0</v>
      </c>
      <c r="AD207">
        <v>0</v>
      </c>
      <c r="AE207">
        <v>0</v>
      </c>
      <c r="AF207">
        <v>0</v>
      </c>
      <c r="AG207">
        <v>0</v>
      </c>
      <c r="AH207" s="1">
        <v>0</v>
      </c>
      <c r="AI207">
        <v>205</v>
      </c>
      <c r="AJ207">
        <v>0</v>
      </c>
      <c r="AK207">
        <v>0</v>
      </c>
      <c r="AL207">
        <v>0</v>
      </c>
      <c r="AM207">
        <v>0</v>
      </c>
      <c r="AN207">
        <v>0</v>
      </c>
      <c r="AO207" s="1">
        <v>0</v>
      </c>
    </row>
    <row r="208" spans="7:41" x14ac:dyDescent="0.35">
      <c r="G208">
        <v>206</v>
      </c>
      <c r="H208">
        <v>0</v>
      </c>
      <c r="I208">
        <v>0</v>
      </c>
      <c r="J208">
        <v>0</v>
      </c>
      <c r="K208">
        <v>4</v>
      </c>
      <c r="L208">
        <v>0</v>
      </c>
      <c r="M208" s="1">
        <v>240</v>
      </c>
      <c r="N208">
        <v>206</v>
      </c>
      <c r="O208">
        <v>0</v>
      </c>
      <c r="P208">
        <v>1</v>
      </c>
      <c r="Q208">
        <v>0</v>
      </c>
      <c r="R208">
        <v>1</v>
      </c>
      <c r="S208">
        <v>1</v>
      </c>
      <c r="T208" s="1">
        <v>240</v>
      </c>
      <c r="U208">
        <v>206</v>
      </c>
      <c r="V208">
        <v>0</v>
      </c>
      <c r="W208">
        <v>1</v>
      </c>
      <c r="X208">
        <v>0</v>
      </c>
      <c r="Y208">
        <v>0</v>
      </c>
      <c r="Z208">
        <v>1</v>
      </c>
      <c r="AA208" s="1">
        <v>200</v>
      </c>
      <c r="AB208">
        <v>206</v>
      </c>
      <c r="AC208">
        <v>0</v>
      </c>
      <c r="AD208">
        <v>0</v>
      </c>
      <c r="AE208">
        <v>0</v>
      </c>
      <c r="AF208">
        <v>0</v>
      </c>
      <c r="AG208">
        <v>1</v>
      </c>
      <c r="AH208" s="1">
        <v>120</v>
      </c>
      <c r="AI208">
        <v>206</v>
      </c>
      <c r="AJ208">
        <v>0</v>
      </c>
      <c r="AK208">
        <v>0</v>
      </c>
      <c r="AL208">
        <v>2</v>
      </c>
      <c r="AM208">
        <v>0</v>
      </c>
      <c r="AN208">
        <v>0</v>
      </c>
      <c r="AO208" s="1">
        <v>300</v>
      </c>
    </row>
    <row r="209" spans="7:41" x14ac:dyDescent="0.35">
      <c r="G209">
        <v>207</v>
      </c>
      <c r="H209">
        <v>0</v>
      </c>
      <c r="I209">
        <v>0</v>
      </c>
      <c r="J209">
        <v>2</v>
      </c>
      <c r="K209">
        <v>0</v>
      </c>
      <c r="L209">
        <v>0</v>
      </c>
      <c r="M209" s="1">
        <v>120</v>
      </c>
      <c r="N209">
        <v>207</v>
      </c>
      <c r="O209">
        <v>2</v>
      </c>
      <c r="P209">
        <v>1</v>
      </c>
      <c r="Q209">
        <v>0</v>
      </c>
      <c r="R209">
        <v>0</v>
      </c>
      <c r="S209">
        <v>1</v>
      </c>
      <c r="T209" s="1">
        <v>320</v>
      </c>
      <c r="U209">
        <v>207</v>
      </c>
      <c r="V209">
        <v>0</v>
      </c>
      <c r="W209">
        <v>0</v>
      </c>
      <c r="X209">
        <v>0</v>
      </c>
      <c r="Y209">
        <v>0</v>
      </c>
      <c r="Z209">
        <v>1</v>
      </c>
      <c r="AA209" s="1">
        <v>100</v>
      </c>
      <c r="AB209">
        <v>207</v>
      </c>
      <c r="AC209">
        <v>0</v>
      </c>
      <c r="AD209">
        <v>0</v>
      </c>
      <c r="AE209">
        <v>0</v>
      </c>
      <c r="AF209">
        <v>0</v>
      </c>
      <c r="AG209">
        <v>0</v>
      </c>
      <c r="AH209" s="1">
        <v>0</v>
      </c>
      <c r="AI209">
        <v>207</v>
      </c>
      <c r="AJ209">
        <v>0</v>
      </c>
      <c r="AK209">
        <v>0</v>
      </c>
      <c r="AL209">
        <v>0</v>
      </c>
      <c r="AM209">
        <v>0</v>
      </c>
      <c r="AN209">
        <v>0</v>
      </c>
      <c r="AO209" s="1">
        <v>0</v>
      </c>
    </row>
    <row r="210" spans="7:41" x14ac:dyDescent="0.35">
      <c r="G210">
        <v>208</v>
      </c>
      <c r="H210">
        <v>0</v>
      </c>
      <c r="I210">
        <v>0</v>
      </c>
      <c r="J210">
        <v>3</v>
      </c>
      <c r="K210">
        <v>0</v>
      </c>
      <c r="L210">
        <v>1</v>
      </c>
      <c r="M210" s="1">
        <v>240</v>
      </c>
      <c r="N210">
        <v>208</v>
      </c>
      <c r="O210">
        <v>0</v>
      </c>
      <c r="P210">
        <v>0</v>
      </c>
      <c r="Q210">
        <v>0</v>
      </c>
      <c r="R210">
        <v>0</v>
      </c>
      <c r="S210">
        <v>0</v>
      </c>
      <c r="T210" s="1">
        <v>0</v>
      </c>
      <c r="U210">
        <v>208</v>
      </c>
      <c r="V210">
        <v>0</v>
      </c>
      <c r="W210">
        <v>0</v>
      </c>
      <c r="X210">
        <v>0</v>
      </c>
      <c r="Y210">
        <v>0</v>
      </c>
      <c r="Z210">
        <v>0</v>
      </c>
      <c r="AA210" s="1">
        <v>0</v>
      </c>
      <c r="AB210">
        <v>208</v>
      </c>
      <c r="AC210">
        <v>0</v>
      </c>
      <c r="AD210">
        <v>0</v>
      </c>
      <c r="AE210">
        <v>0</v>
      </c>
      <c r="AF210">
        <v>0</v>
      </c>
      <c r="AG210">
        <v>0</v>
      </c>
      <c r="AH210" s="1">
        <v>0</v>
      </c>
      <c r="AI210">
        <v>208</v>
      </c>
      <c r="AJ210">
        <v>0</v>
      </c>
      <c r="AK210">
        <v>0</v>
      </c>
      <c r="AL210">
        <v>1</v>
      </c>
      <c r="AM210">
        <v>0</v>
      </c>
      <c r="AN210">
        <v>0</v>
      </c>
      <c r="AO210" s="1">
        <v>150</v>
      </c>
    </row>
    <row r="211" spans="7:41" x14ac:dyDescent="0.35">
      <c r="G211">
        <v>209</v>
      </c>
      <c r="H211">
        <v>0</v>
      </c>
      <c r="I211">
        <v>0</v>
      </c>
      <c r="J211">
        <v>0</v>
      </c>
      <c r="K211">
        <v>0</v>
      </c>
      <c r="L211">
        <v>2</v>
      </c>
      <c r="M211" s="1">
        <v>120</v>
      </c>
      <c r="N211">
        <v>209</v>
      </c>
      <c r="O211">
        <v>0</v>
      </c>
      <c r="P211">
        <v>0</v>
      </c>
      <c r="Q211">
        <v>0</v>
      </c>
      <c r="R211">
        <v>0</v>
      </c>
      <c r="S211">
        <v>0</v>
      </c>
      <c r="T211" s="1">
        <v>0</v>
      </c>
      <c r="U211">
        <v>209</v>
      </c>
      <c r="V211">
        <v>1</v>
      </c>
      <c r="W211">
        <v>0</v>
      </c>
      <c r="X211">
        <v>0</v>
      </c>
      <c r="Y211">
        <v>0</v>
      </c>
      <c r="Z211">
        <v>0</v>
      </c>
      <c r="AA211" s="1">
        <v>100</v>
      </c>
      <c r="AB211">
        <v>209</v>
      </c>
      <c r="AC211">
        <v>0</v>
      </c>
      <c r="AD211">
        <v>0</v>
      </c>
      <c r="AE211">
        <v>1</v>
      </c>
      <c r="AF211">
        <v>0</v>
      </c>
      <c r="AG211">
        <v>0</v>
      </c>
      <c r="AH211" s="1">
        <v>120</v>
      </c>
      <c r="AI211">
        <v>209</v>
      </c>
      <c r="AJ211">
        <v>0</v>
      </c>
      <c r="AK211">
        <v>0</v>
      </c>
      <c r="AL211">
        <v>2</v>
      </c>
      <c r="AM211">
        <v>0</v>
      </c>
      <c r="AN211">
        <v>0</v>
      </c>
      <c r="AO211" s="1">
        <v>300</v>
      </c>
    </row>
    <row r="212" spans="7:41" x14ac:dyDescent="0.35">
      <c r="G212">
        <v>210</v>
      </c>
      <c r="H212">
        <v>0</v>
      </c>
      <c r="I212">
        <v>0</v>
      </c>
      <c r="J212">
        <v>1</v>
      </c>
      <c r="K212">
        <v>1</v>
      </c>
      <c r="L212">
        <v>0</v>
      </c>
      <c r="M212" s="1">
        <v>120</v>
      </c>
      <c r="N212">
        <v>210</v>
      </c>
      <c r="O212">
        <v>0</v>
      </c>
      <c r="P212">
        <v>2</v>
      </c>
      <c r="Q212">
        <v>0</v>
      </c>
      <c r="R212">
        <v>1</v>
      </c>
      <c r="S212">
        <v>0</v>
      </c>
      <c r="T212" s="1">
        <v>240</v>
      </c>
      <c r="U212">
        <v>210</v>
      </c>
      <c r="V212">
        <v>1</v>
      </c>
      <c r="W212">
        <v>1</v>
      </c>
      <c r="X212">
        <v>0</v>
      </c>
      <c r="Y212">
        <v>0</v>
      </c>
      <c r="Z212">
        <v>0</v>
      </c>
      <c r="AA212" s="1">
        <v>200</v>
      </c>
      <c r="AB212">
        <v>210</v>
      </c>
      <c r="AC212">
        <v>0</v>
      </c>
      <c r="AD212">
        <v>0</v>
      </c>
      <c r="AE212">
        <v>0</v>
      </c>
      <c r="AF212">
        <v>0</v>
      </c>
      <c r="AG212">
        <v>0</v>
      </c>
      <c r="AH212" s="1">
        <v>0</v>
      </c>
      <c r="AI212">
        <v>210</v>
      </c>
      <c r="AJ212">
        <v>0</v>
      </c>
      <c r="AK212">
        <v>0</v>
      </c>
      <c r="AL212">
        <v>0</v>
      </c>
      <c r="AM212">
        <v>0</v>
      </c>
      <c r="AN212">
        <v>0</v>
      </c>
      <c r="AO212" s="1">
        <v>0</v>
      </c>
    </row>
    <row r="213" spans="7:41" x14ac:dyDescent="0.35">
      <c r="G213">
        <v>211</v>
      </c>
      <c r="H213">
        <v>2</v>
      </c>
      <c r="I213">
        <v>1</v>
      </c>
      <c r="J213">
        <v>1</v>
      </c>
      <c r="K213">
        <v>4</v>
      </c>
      <c r="L213">
        <v>1</v>
      </c>
      <c r="M213" s="1">
        <v>540</v>
      </c>
      <c r="N213">
        <v>211</v>
      </c>
      <c r="O213">
        <v>0</v>
      </c>
      <c r="P213">
        <v>1</v>
      </c>
      <c r="Q213">
        <v>0</v>
      </c>
      <c r="R213">
        <v>0</v>
      </c>
      <c r="S213">
        <v>0</v>
      </c>
      <c r="T213" s="1">
        <v>80</v>
      </c>
      <c r="U213">
        <v>211</v>
      </c>
      <c r="V213">
        <v>0</v>
      </c>
      <c r="W213">
        <v>0</v>
      </c>
      <c r="X213">
        <v>0</v>
      </c>
      <c r="Y213">
        <v>0</v>
      </c>
      <c r="Z213">
        <v>0</v>
      </c>
      <c r="AA213" s="1">
        <v>0</v>
      </c>
      <c r="AB213">
        <v>211</v>
      </c>
      <c r="AC213">
        <v>0</v>
      </c>
      <c r="AD213">
        <v>0</v>
      </c>
      <c r="AE213">
        <v>0</v>
      </c>
      <c r="AF213">
        <v>0</v>
      </c>
      <c r="AG213">
        <v>0</v>
      </c>
      <c r="AH213" s="1">
        <v>0</v>
      </c>
      <c r="AI213">
        <v>211</v>
      </c>
      <c r="AJ213">
        <v>0</v>
      </c>
      <c r="AK213">
        <v>0</v>
      </c>
      <c r="AL213">
        <v>0</v>
      </c>
      <c r="AM213">
        <v>0</v>
      </c>
      <c r="AN213">
        <v>0</v>
      </c>
      <c r="AO213" s="1">
        <v>0</v>
      </c>
    </row>
    <row r="214" spans="7:41" x14ac:dyDescent="0.35">
      <c r="G214">
        <v>212</v>
      </c>
      <c r="H214">
        <v>3</v>
      </c>
      <c r="I214">
        <v>0</v>
      </c>
      <c r="J214">
        <v>1</v>
      </c>
      <c r="K214">
        <v>0</v>
      </c>
      <c r="L214">
        <v>0</v>
      </c>
      <c r="M214" s="1">
        <v>240</v>
      </c>
      <c r="N214">
        <v>212</v>
      </c>
      <c r="O214">
        <v>0</v>
      </c>
      <c r="P214">
        <v>0</v>
      </c>
      <c r="Q214">
        <v>1</v>
      </c>
      <c r="R214">
        <v>0</v>
      </c>
      <c r="S214">
        <v>1</v>
      </c>
      <c r="T214" s="1">
        <v>160</v>
      </c>
      <c r="U214">
        <v>212</v>
      </c>
      <c r="V214">
        <v>0</v>
      </c>
      <c r="W214">
        <v>0</v>
      </c>
      <c r="X214">
        <v>0</v>
      </c>
      <c r="Y214">
        <v>0</v>
      </c>
      <c r="Z214">
        <v>0</v>
      </c>
      <c r="AA214" s="1">
        <v>0</v>
      </c>
      <c r="AB214">
        <v>212</v>
      </c>
      <c r="AC214">
        <v>0</v>
      </c>
      <c r="AD214">
        <v>0</v>
      </c>
      <c r="AE214">
        <v>0</v>
      </c>
      <c r="AF214">
        <v>0</v>
      </c>
      <c r="AG214">
        <v>0</v>
      </c>
      <c r="AH214" s="1">
        <v>0</v>
      </c>
      <c r="AI214">
        <v>212</v>
      </c>
      <c r="AJ214">
        <v>0</v>
      </c>
      <c r="AK214">
        <v>0</v>
      </c>
      <c r="AL214">
        <v>1</v>
      </c>
      <c r="AM214">
        <v>0</v>
      </c>
      <c r="AN214">
        <v>0</v>
      </c>
      <c r="AO214" s="1">
        <v>150</v>
      </c>
    </row>
    <row r="215" spans="7:41" x14ac:dyDescent="0.35">
      <c r="G215">
        <v>213</v>
      </c>
      <c r="H215">
        <v>0</v>
      </c>
      <c r="I215">
        <v>0</v>
      </c>
      <c r="J215">
        <v>1</v>
      </c>
      <c r="K215">
        <v>0</v>
      </c>
      <c r="L215">
        <v>0</v>
      </c>
      <c r="M215" s="1">
        <v>60</v>
      </c>
      <c r="N215">
        <v>213</v>
      </c>
      <c r="O215">
        <v>0</v>
      </c>
      <c r="P215">
        <v>0</v>
      </c>
      <c r="Q215">
        <v>1</v>
      </c>
      <c r="R215">
        <v>0</v>
      </c>
      <c r="S215">
        <v>0</v>
      </c>
      <c r="T215" s="1">
        <v>80</v>
      </c>
      <c r="U215">
        <v>213</v>
      </c>
      <c r="V215">
        <v>0</v>
      </c>
      <c r="W215">
        <v>0</v>
      </c>
      <c r="X215">
        <v>0</v>
      </c>
      <c r="Y215">
        <v>0</v>
      </c>
      <c r="Z215">
        <v>1</v>
      </c>
      <c r="AA215" s="1">
        <v>100</v>
      </c>
      <c r="AB215">
        <v>213</v>
      </c>
      <c r="AC215">
        <v>0</v>
      </c>
      <c r="AD215">
        <v>0</v>
      </c>
      <c r="AE215">
        <v>0</v>
      </c>
      <c r="AF215">
        <v>0</v>
      </c>
      <c r="AG215">
        <v>0</v>
      </c>
      <c r="AH215" s="1">
        <v>0</v>
      </c>
      <c r="AI215">
        <v>213</v>
      </c>
      <c r="AJ215">
        <v>0</v>
      </c>
      <c r="AK215">
        <v>0</v>
      </c>
      <c r="AL215">
        <v>0</v>
      </c>
      <c r="AM215">
        <v>0</v>
      </c>
      <c r="AN215">
        <v>0</v>
      </c>
      <c r="AO215" s="1">
        <v>0</v>
      </c>
    </row>
    <row r="216" spans="7:41" x14ac:dyDescent="0.35">
      <c r="G216">
        <v>214</v>
      </c>
      <c r="H216">
        <v>0</v>
      </c>
      <c r="I216">
        <v>2</v>
      </c>
      <c r="J216">
        <v>0</v>
      </c>
      <c r="K216">
        <v>2</v>
      </c>
      <c r="L216">
        <v>0</v>
      </c>
      <c r="M216" s="1">
        <v>240</v>
      </c>
      <c r="N216">
        <v>214</v>
      </c>
      <c r="O216">
        <v>2</v>
      </c>
      <c r="P216">
        <v>0</v>
      </c>
      <c r="Q216">
        <v>0</v>
      </c>
      <c r="R216">
        <v>0</v>
      </c>
      <c r="S216">
        <v>0</v>
      </c>
      <c r="T216" s="1">
        <v>160</v>
      </c>
      <c r="U216">
        <v>214</v>
      </c>
      <c r="V216">
        <v>0</v>
      </c>
      <c r="W216">
        <v>1</v>
      </c>
      <c r="X216">
        <v>0</v>
      </c>
      <c r="Y216">
        <v>0</v>
      </c>
      <c r="Z216">
        <v>0</v>
      </c>
      <c r="AA216" s="1">
        <v>100</v>
      </c>
      <c r="AB216">
        <v>214</v>
      </c>
      <c r="AC216">
        <v>0</v>
      </c>
      <c r="AD216">
        <v>0</v>
      </c>
      <c r="AE216">
        <v>0</v>
      </c>
      <c r="AF216">
        <v>0</v>
      </c>
      <c r="AG216">
        <v>0</v>
      </c>
      <c r="AH216" s="1">
        <v>0</v>
      </c>
      <c r="AI216">
        <v>214</v>
      </c>
      <c r="AJ216">
        <v>0</v>
      </c>
      <c r="AK216">
        <v>0</v>
      </c>
      <c r="AL216">
        <v>3</v>
      </c>
      <c r="AM216">
        <v>0</v>
      </c>
      <c r="AN216">
        <v>0</v>
      </c>
      <c r="AO216" s="1">
        <v>450</v>
      </c>
    </row>
    <row r="217" spans="7:41" x14ac:dyDescent="0.35">
      <c r="G217">
        <v>215</v>
      </c>
      <c r="H217">
        <v>1</v>
      </c>
      <c r="I217">
        <v>0</v>
      </c>
      <c r="J217">
        <v>0</v>
      </c>
      <c r="K217">
        <v>0</v>
      </c>
      <c r="L217">
        <v>2</v>
      </c>
      <c r="M217" s="1">
        <v>180</v>
      </c>
      <c r="N217">
        <v>215</v>
      </c>
      <c r="O217">
        <v>0</v>
      </c>
      <c r="P217">
        <v>0</v>
      </c>
      <c r="Q217">
        <v>0</v>
      </c>
      <c r="R217">
        <v>0</v>
      </c>
      <c r="S217">
        <v>1</v>
      </c>
      <c r="T217" s="1">
        <v>80</v>
      </c>
      <c r="U217">
        <v>215</v>
      </c>
      <c r="V217">
        <v>0</v>
      </c>
      <c r="W217">
        <v>0</v>
      </c>
      <c r="X217">
        <v>0</v>
      </c>
      <c r="Y217">
        <v>0</v>
      </c>
      <c r="Z217">
        <v>0</v>
      </c>
      <c r="AA217" s="1">
        <v>0</v>
      </c>
      <c r="AB217">
        <v>215</v>
      </c>
      <c r="AC217">
        <v>0</v>
      </c>
      <c r="AD217">
        <v>0</v>
      </c>
      <c r="AE217">
        <v>0</v>
      </c>
      <c r="AF217">
        <v>1</v>
      </c>
      <c r="AG217">
        <v>0</v>
      </c>
      <c r="AH217" s="1">
        <v>120</v>
      </c>
      <c r="AI217">
        <v>215</v>
      </c>
      <c r="AJ217">
        <v>0</v>
      </c>
      <c r="AK217">
        <v>0</v>
      </c>
      <c r="AL217">
        <v>0</v>
      </c>
      <c r="AM217">
        <v>0</v>
      </c>
      <c r="AN217">
        <v>0</v>
      </c>
      <c r="AO217" s="1">
        <v>0</v>
      </c>
    </row>
    <row r="218" spans="7:41" x14ac:dyDescent="0.35">
      <c r="G218">
        <v>216</v>
      </c>
      <c r="H218">
        <v>0</v>
      </c>
      <c r="I218">
        <v>1</v>
      </c>
      <c r="J218">
        <v>1</v>
      </c>
      <c r="K218">
        <v>0</v>
      </c>
      <c r="L218">
        <v>0</v>
      </c>
      <c r="M218" s="1">
        <v>120</v>
      </c>
      <c r="N218">
        <v>216</v>
      </c>
      <c r="O218">
        <v>0</v>
      </c>
      <c r="P218">
        <v>1</v>
      </c>
      <c r="Q218">
        <v>0</v>
      </c>
      <c r="R218">
        <v>0</v>
      </c>
      <c r="S218">
        <v>1</v>
      </c>
      <c r="T218" s="1">
        <v>160</v>
      </c>
      <c r="U218">
        <v>216</v>
      </c>
      <c r="V218">
        <v>0</v>
      </c>
      <c r="W218">
        <v>3</v>
      </c>
      <c r="X218">
        <v>0</v>
      </c>
      <c r="Y218">
        <v>0</v>
      </c>
      <c r="Z218">
        <v>0</v>
      </c>
      <c r="AA218" s="1">
        <v>300</v>
      </c>
      <c r="AB218">
        <v>216</v>
      </c>
      <c r="AC218">
        <v>0</v>
      </c>
      <c r="AD218">
        <v>0</v>
      </c>
      <c r="AE218">
        <v>0</v>
      </c>
      <c r="AF218">
        <v>0</v>
      </c>
      <c r="AG218">
        <v>0</v>
      </c>
      <c r="AH218" s="1">
        <v>0</v>
      </c>
      <c r="AI218">
        <v>216</v>
      </c>
      <c r="AJ218">
        <v>0</v>
      </c>
      <c r="AK218">
        <v>0</v>
      </c>
      <c r="AL218">
        <v>1</v>
      </c>
      <c r="AM218">
        <v>0</v>
      </c>
      <c r="AN218">
        <v>0</v>
      </c>
      <c r="AO218" s="1">
        <v>150</v>
      </c>
    </row>
    <row r="219" spans="7:41" x14ac:dyDescent="0.35">
      <c r="G219">
        <v>217</v>
      </c>
      <c r="H219">
        <v>1</v>
      </c>
      <c r="I219">
        <v>1</v>
      </c>
      <c r="J219">
        <v>1</v>
      </c>
      <c r="K219">
        <v>2</v>
      </c>
      <c r="L219">
        <v>1</v>
      </c>
      <c r="M219" s="1">
        <v>360</v>
      </c>
      <c r="N219">
        <v>217</v>
      </c>
      <c r="O219">
        <v>0</v>
      </c>
      <c r="P219">
        <v>1</v>
      </c>
      <c r="Q219">
        <v>2</v>
      </c>
      <c r="R219">
        <v>0</v>
      </c>
      <c r="S219">
        <v>0</v>
      </c>
      <c r="T219" s="1">
        <v>240</v>
      </c>
      <c r="U219">
        <v>217</v>
      </c>
      <c r="V219">
        <v>0</v>
      </c>
      <c r="W219">
        <v>0</v>
      </c>
      <c r="X219">
        <v>0</v>
      </c>
      <c r="Y219">
        <v>0</v>
      </c>
      <c r="Z219">
        <v>0</v>
      </c>
      <c r="AA219" s="1">
        <v>0</v>
      </c>
      <c r="AB219">
        <v>217</v>
      </c>
      <c r="AC219">
        <v>0</v>
      </c>
      <c r="AD219">
        <v>0</v>
      </c>
      <c r="AE219">
        <v>0</v>
      </c>
      <c r="AF219">
        <v>0</v>
      </c>
      <c r="AG219">
        <v>0</v>
      </c>
      <c r="AH219" s="1">
        <v>0</v>
      </c>
      <c r="AI219">
        <v>217</v>
      </c>
      <c r="AJ219">
        <v>0</v>
      </c>
      <c r="AK219">
        <v>0</v>
      </c>
      <c r="AL219">
        <v>0</v>
      </c>
      <c r="AM219">
        <v>0</v>
      </c>
      <c r="AN219">
        <v>0</v>
      </c>
      <c r="AO219" s="1">
        <v>0</v>
      </c>
    </row>
    <row r="220" spans="7:41" x14ac:dyDescent="0.35">
      <c r="G220">
        <v>218</v>
      </c>
      <c r="H220">
        <v>0</v>
      </c>
      <c r="I220">
        <v>0</v>
      </c>
      <c r="J220">
        <v>0</v>
      </c>
      <c r="K220">
        <v>3</v>
      </c>
      <c r="L220">
        <v>0</v>
      </c>
      <c r="M220" s="1">
        <v>180</v>
      </c>
      <c r="N220">
        <v>218</v>
      </c>
      <c r="O220">
        <v>0</v>
      </c>
      <c r="P220">
        <v>0</v>
      </c>
      <c r="Q220">
        <v>1</v>
      </c>
      <c r="R220">
        <v>0</v>
      </c>
      <c r="S220">
        <v>0</v>
      </c>
      <c r="T220" s="1">
        <v>80</v>
      </c>
      <c r="U220">
        <v>218</v>
      </c>
      <c r="V220">
        <v>0</v>
      </c>
      <c r="W220">
        <v>0</v>
      </c>
      <c r="X220">
        <v>0</v>
      </c>
      <c r="Y220">
        <v>0</v>
      </c>
      <c r="Z220">
        <v>0</v>
      </c>
      <c r="AA220" s="1">
        <v>0</v>
      </c>
      <c r="AB220">
        <v>218</v>
      </c>
      <c r="AC220">
        <v>0</v>
      </c>
      <c r="AD220">
        <v>0</v>
      </c>
      <c r="AE220">
        <v>0</v>
      </c>
      <c r="AF220">
        <v>0</v>
      </c>
      <c r="AG220">
        <v>0</v>
      </c>
      <c r="AH220" s="1">
        <v>0</v>
      </c>
      <c r="AI220">
        <v>218</v>
      </c>
      <c r="AJ220">
        <v>0</v>
      </c>
      <c r="AK220">
        <v>0</v>
      </c>
      <c r="AL220">
        <v>0</v>
      </c>
      <c r="AM220">
        <v>0</v>
      </c>
      <c r="AN220">
        <v>0</v>
      </c>
      <c r="AO220" s="1">
        <v>0</v>
      </c>
    </row>
    <row r="221" spans="7:41" x14ac:dyDescent="0.35">
      <c r="G221">
        <v>219</v>
      </c>
      <c r="H221">
        <v>0</v>
      </c>
      <c r="I221">
        <v>0</v>
      </c>
      <c r="J221">
        <v>0</v>
      </c>
      <c r="K221">
        <v>3</v>
      </c>
      <c r="L221">
        <v>2</v>
      </c>
      <c r="M221" s="1">
        <v>300</v>
      </c>
      <c r="N221">
        <v>219</v>
      </c>
      <c r="O221">
        <v>0</v>
      </c>
      <c r="P221">
        <v>0</v>
      </c>
      <c r="Q221">
        <v>1</v>
      </c>
      <c r="R221">
        <v>0</v>
      </c>
      <c r="S221">
        <v>0</v>
      </c>
      <c r="T221" s="1">
        <v>80</v>
      </c>
      <c r="U221">
        <v>219</v>
      </c>
      <c r="V221">
        <v>0</v>
      </c>
      <c r="W221">
        <v>2</v>
      </c>
      <c r="X221">
        <v>0</v>
      </c>
      <c r="Y221">
        <v>1</v>
      </c>
      <c r="Z221">
        <v>0</v>
      </c>
      <c r="AA221" s="1">
        <v>300</v>
      </c>
      <c r="AB221">
        <v>219</v>
      </c>
      <c r="AC221">
        <v>0</v>
      </c>
      <c r="AD221">
        <v>0</v>
      </c>
      <c r="AE221">
        <v>0</v>
      </c>
      <c r="AF221">
        <v>0</v>
      </c>
      <c r="AG221">
        <v>0</v>
      </c>
      <c r="AH221" s="1">
        <v>0</v>
      </c>
      <c r="AI221">
        <v>219</v>
      </c>
      <c r="AJ221">
        <v>0</v>
      </c>
      <c r="AK221">
        <v>0</v>
      </c>
      <c r="AL221">
        <v>2</v>
      </c>
      <c r="AM221">
        <v>0</v>
      </c>
      <c r="AN221">
        <v>0</v>
      </c>
      <c r="AO221" s="1">
        <v>300</v>
      </c>
    </row>
    <row r="222" spans="7:41" x14ac:dyDescent="0.35">
      <c r="G222">
        <v>220</v>
      </c>
      <c r="H222">
        <v>0</v>
      </c>
      <c r="I222">
        <v>1</v>
      </c>
      <c r="J222">
        <v>0</v>
      </c>
      <c r="K222">
        <v>4</v>
      </c>
      <c r="L222">
        <v>0</v>
      </c>
      <c r="M222" s="1">
        <v>300</v>
      </c>
      <c r="N222">
        <v>220</v>
      </c>
      <c r="O222">
        <v>0</v>
      </c>
      <c r="P222">
        <v>0</v>
      </c>
      <c r="Q222">
        <v>1</v>
      </c>
      <c r="R222">
        <v>0</v>
      </c>
      <c r="S222">
        <v>1</v>
      </c>
      <c r="T222" s="1">
        <v>160</v>
      </c>
      <c r="U222">
        <v>220</v>
      </c>
      <c r="V222">
        <v>0</v>
      </c>
      <c r="W222">
        <v>1</v>
      </c>
      <c r="X222">
        <v>0</v>
      </c>
      <c r="Y222">
        <v>0</v>
      </c>
      <c r="Z222">
        <v>0</v>
      </c>
      <c r="AA222" s="1">
        <v>100</v>
      </c>
      <c r="AB222">
        <v>220</v>
      </c>
      <c r="AC222">
        <v>0</v>
      </c>
      <c r="AD222">
        <v>0</v>
      </c>
      <c r="AE222">
        <v>0</v>
      </c>
      <c r="AF222">
        <v>0</v>
      </c>
      <c r="AG222">
        <v>0</v>
      </c>
      <c r="AH222" s="1">
        <v>0</v>
      </c>
      <c r="AI222">
        <v>220</v>
      </c>
      <c r="AJ222">
        <v>0</v>
      </c>
      <c r="AK222">
        <v>0</v>
      </c>
      <c r="AL222">
        <v>0</v>
      </c>
      <c r="AM222">
        <v>0</v>
      </c>
      <c r="AN222">
        <v>0</v>
      </c>
      <c r="AO222" s="1">
        <v>0</v>
      </c>
    </row>
    <row r="223" spans="7:41" x14ac:dyDescent="0.35">
      <c r="G223">
        <v>221</v>
      </c>
      <c r="H223">
        <v>0</v>
      </c>
      <c r="I223">
        <v>0</v>
      </c>
      <c r="J223">
        <v>0</v>
      </c>
      <c r="K223">
        <v>0</v>
      </c>
      <c r="L223">
        <v>2</v>
      </c>
      <c r="M223" s="1">
        <v>120</v>
      </c>
      <c r="N223">
        <v>221</v>
      </c>
      <c r="O223">
        <v>0</v>
      </c>
      <c r="P223">
        <v>0</v>
      </c>
      <c r="Q223">
        <v>0</v>
      </c>
      <c r="R223">
        <v>0</v>
      </c>
      <c r="S223">
        <v>1</v>
      </c>
      <c r="T223" s="1">
        <v>80</v>
      </c>
      <c r="U223">
        <v>221</v>
      </c>
      <c r="V223">
        <v>0</v>
      </c>
      <c r="W223">
        <v>1</v>
      </c>
      <c r="X223">
        <v>0</v>
      </c>
      <c r="Y223">
        <v>0</v>
      </c>
      <c r="Z223">
        <v>0</v>
      </c>
      <c r="AA223" s="1">
        <v>100</v>
      </c>
      <c r="AB223">
        <v>221</v>
      </c>
      <c r="AC223">
        <v>0</v>
      </c>
      <c r="AD223">
        <v>0</v>
      </c>
      <c r="AE223">
        <v>0</v>
      </c>
      <c r="AF223">
        <v>0</v>
      </c>
      <c r="AG223">
        <v>0</v>
      </c>
      <c r="AH223" s="1">
        <v>0</v>
      </c>
      <c r="AI223">
        <v>221</v>
      </c>
      <c r="AJ223">
        <v>0</v>
      </c>
      <c r="AK223">
        <v>0</v>
      </c>
      <c r="AL223">
        <v>3</v>
      </c>
      <c r="AM223">
        <v>0</v>
      </c>
      <c r="AN223">
        <v>0</v>
      </c>
      <c r="AO223" s="1">
        <v>450</v>
      </c>
    </row>
    <row r="224" spans="7:41" x14ac:dyDescent="0.35">
      <c r="G224">
        <v>222</v>
      </c>
      <c r="H224">
        <v>0</v>
      </c>
      <c r="I224">
        <v>1</v>
      </c>
      <c r="J224">
        <v>0</v>
      </c>
      <c r="K224">
        <v>0</v>
      </c>
      <c r="L224">
        <v>0</v>
      </c>
      <c r="M224" s="1">
        <v>60</v>
      </c>
      <c r="N224">
        <v>222</v>
      </c>
      <c r="O224">
        <v>0</v>
      </c>
      <c r="P224">
        <v>1</v>
      </c>
      <c r="Q224">
        <v>0</v>
      </c>
      <c r="R224">
        <v>0</v>
      </c>
      <c r="S224">
        <v>0</v>
      </c>
      <c r="T224" s="1">
        <v>80</v>
      </c>
      <c r="U224">
        <v>222</v>
      </c>
      <c r="V224">
        <v>0</v>
      </c>
      <c r="W224">
        <v>0</v>
      </c>
      <c r="X224">
        <v>0</v>
      </c>
      <c r="Y224">
        <v>0</v>
      </c>
      <c r="Z224">
        <v>0</v>
      </c>
      <c r="AA224" s="1">
        <v>0</v>
      </c>
      <c r="AB224">
        <v>222</v>
      </c>
      <c r="AC224">
        <v>0</v>
      </c>
      <c r="AD224">
        <v>0</v>
      </c>
      <c r="AE224">
        <v>0</v>
      </c>
      <c r="AF224">
        <v>0</v>
      </c>
      <c r="AG224">
        <v>0</v>
      </c>
      <c r="AH224" s="1">
        <v>0</v>
      </c>
      <c r="AI224">
        <v>222</v>
      </c>
      <c r="AJ224">
        <v>0</v>
      </c>
      <c r="AK224">
        <v>0</v>
      </c>
      <c r="AL224">
        <v>0</v>
      </c>
      <c r="AM224">
        <v>0</v>
      </c>
      <c r="AN224">
        <v>0</v>
      </c>
      <c r="AO224" s="1">
        <v>0</v>
      </c>
    </row>
    <row r="225" spans="7:41" x14ac:dyDescent="0.35">
      <c r="G225">
        <v>223</v>
      </c>
      <c r="H225">
        <v>1</v>
      </c>
      <c r="I225">
        <v>0</v>
      </c>
      <c r="J225">
        <v>0</v>
      </c>
      <c r="K225">
        <v>4</v>
      </c>
      <c r="L225">
        <v>0</v>
      </c>
      <c r="M225" s="1">
        <v>300</v>
      </c>
      <c r="N225">
        <v>223</v>
      </c>
      <c r="O225">
        <v>0</v>
      </c>
      <c r="P225">
        <v>0</v>
      </c>
      <c r="Q225">
        <v>0</v>
      </c>
      <c r="R225">
        <v>0</v>
      </c>
      <c r="S225">
        <v>0</v>
      </c>
      <c r="T225" s="1">
        <v>0</v>
      </c>
      <c r="U225">
        <v>223</v>
      </c>
      <c r="V225">
        <v>0</v>
      </c>
      <c r="W225">
        <v>0</v>
      </c>
      <c r="X225">
        <v>0</v>
      </c>
      <c r="Y225">
        <v>0</v>
      </c>
      <c r="Z225">
        <v>0</v>
      </c>
      <c r="AA225" s="1">
        <v>0</v>
      </c>
      <c r="AB225">
        <v>223</v>
      </c>
      <c r="AC225">
        <v>0</v>
      </c>
      <c r="AD225">
        <v>0</v>
      </c>
      <c r="AE225">
        <v>0</v>
      </c>
      <c r="AF225">
        <v>0</v>
      </c>
      <c r="AG225">
        <v>0</v>
      </c>
      <c r="AH225" s="1">
        <v>0</v>
      </c>
      <c r="AI225">
        <v>223</v>
      </c>
      <c r="AJ225">
        <v>0</v>
      </c>
      <c r="AK225">
        <v>0</v>
      </c>
      <c r="AL225">
        <v>0</v>
      </c>
      <c r="AM225">
        <v>0</v>
      </c>
      <c r="AN225">
        <v>0</v>
      </c>
      <c r="AO225" s="1">
        <v>0</v>
      </c>
    </row>
    <row r="226" spans="7:41" x14ac:dyDescent="0.35">
      <c r="G226">
        <v>224</v>
      </c>
      <c r="H226">
        <v>0</v>
      </c>
      <c r="I226">
        <v>1</v>
      </c>
      <c r="J226">
        <v>0</v>
      </c>
      <c r="K226">
        <v>0</v>
      </c>
      <c r="L226">
        <v>0</v>
      </c>
      <c r="M226" s="1">
        <v>60</v>
      </c>
      <c r="N226">
        <v>224</v>
      </c>
      <c r="O226">
        <v>0</v>
      </c>
      <c r="P226">
        <v>1</v>
      </c>
      <c r="Q226">
        <v>0</v>
      </c>
      <c r="R226">
        <v>0</v>
      </c>
      <c r="S226">
        <v>0</v>
      </c>
      <c r="T226" s="1">
        <v>80</v>
      </c>
      <c r="U226">
        <v>224</v>
      </c>
      <c r="V226">
        <v>1</v>
      </c>
      <c r="W226">
        <v>0</v>
      </c>
      <c r="X226">
        <v>0</v>
      </c>
      <c r="Y226">
        <v>0</v>
      </c>
      <c r="Z226">
        <v>0</v>
      </c>
      <c r="AA226" s="1">
        <v>100</v>
      </c>
      <c r="AB226">
        <v>224</v>
      </c>
      <c r="AC226">
        <v>0</v>
      </c>
      <c r="AD226">
        <v>0</v>
      </c>
      <c r="AE226">
        <v>0</v>
      </c>
      <c r="AF226">
        <v>0</v>
      </c>
      <c r="AG226">
        <v>0</v>
      </c>
      <c r="AH226" s="1">
        <v>0</v>
      </c>
      <c r="AI226">
        <v>224</v>
      </c>
      <c r="AJ226">
        <v>0</v>
      </c>
      <c r="AK226">
        <v>0</v>
      </c>
      <c r="AL226">
        <v>0</v>
      </c>
      <c r="AM226">
        <v>0</v>
      </c>
      <c r="AN226">
        <v>1</v>
      </c>
      <c r="AO226" s="1">
        <v>150</v>
      </c>
    </row>
    <row r="227" spans="7:41" x14ac:dyDescent="0.35">
      <c r="G227">
        <v>225</v>
      </c>
      <c r="H227">
        <v>0</v>
      </c>
      <c r="I227">
        <v>3</v>
      </c>
      <c r="J227">
        <v>1</v>
      </c>
      <c r="K227">
        <v>2</v>
      </c>
      <c r="L227">
        <v>0</v>
      </c>
      <c r="M227" s="1">
        <v>360</v>
      </c>
      <c r="N227">
        <v>225</v>
      </c>
      <c r="O227">
        <v>0</v>
      </c>
      <c r="P227">
        <v>1</v>
      </c>
      <c r="Q227">
        <v>0</v>
      </c>
      <c r="R227">
        <v>0</v>
      </c>
      <c r="S227">
        <v>1</v>
      </c>
      <c r="T227" s="1">
        <v>160</v>
      </c>
      <c r="U227">
        <v>225</v>
      </c>
      <c r="V227">
        <v>0</v>
      </c>
      <c r="W227">
        <v>3</v>
      </c>
      <c r="X227">
        <v>0</v>
      </c>
      <c r="Y227">
        <v>0</v>
      </c>
      <c r="Z227">
        <v>0</v>
      </c>
      <c r="AA227" s="1">
        <v>300</v>
      </c>
      <c r="AB227">
        <v>225</v>
      </c>
      <c r="AC227">
        <v>0</v>
      </c>
      <c r="AD227">
        <v>0</v>
      </c>
      <c r="AE227">
        <v>0</v>
      </c>
      <c r="AF227">
        <v>0</v>
      </c>
      <c r="AG227">
        <v>0</v>
      </c>
      <c r="AH227" s="1">
        <v>0</v>
      </c>
      <c r="AI227">
        <v>225</v>
      </c>
      <c r="AJ227">
        <v>0</v>
      </c>
      <c r="AK227">
        <v>1</v>
      </c>
      <c r="AL227">
        <v>0</v>
      </c>
      <c r="AM227">
        <v>0</v>
      </c>
      <c r="AN227">
        <v>0</v>
      </c>
      <c r="AO227" s="1">
        <v>150</v>
      </c>
    </row>
    <row r="228" spans="7:41" x14ac:dyDescent="0.35">
      <c r="G228">
        <v>226</v>
      </c>
      <c r="H228">
        <v>0</v>
      </c>
      <c r="I228">
        <v>0</v>
      </c>
      <c r="J228">
        <v>1</v>
      </c>
      <c r="K228">
        <v>2</v>
      </c>
      <c r="L228">
        <v>1</v>
      </c>
      <c r="M228" s="1">
        <v>240</v>
      </c>
      <c r="N228">
        <v>226</v>
      </c>
      <c r="O228">
        <v>1</v>
      </c>
      <c r="P228">
        <v>0</v>
      </c>
      <c r="Q228">
        <v>0</v>
      </c>
      <c r="R228">
        <v>0</v>
      </c>
      <c r="S228">
        <v>0</v>
      </c>
      <c r="T228" s="1">
        <v>80</v>
      </c>
      <c r="U228">
        <v>226</v>
      </c>
      <c r="V228">
        <v>0</v>
      </c>
      <c r="W228">
        <v>1</v>
      </c>
      <c r="X228">
        <v>0</v>
      </c>
      <c r="Y228">
        <v>1</v>
      </c>
      <c r="Z228">
        <v>0</v>
      </c>
      <c r="AA228" s="1">
        <v>200</v>
      </c>
      <c r="AB228">
        <v>226</v>
      </c>
      <c r="AC228">
        <v>0</v>
      </c>
      <c r="AD228">
        <v>0</v>
      </c>
      <c r="AE228">
        <v>0</v>
      </c>
      <c r="AF228">
        <v>0</v>
      </c>
      <c r="AG228">
        <v>0</v>
      </c>
      <c r="AH228" s="1">
        <v>0</v>
      </c>
      <c r="AI228">
        <v>226</v>
      </c>
      <c r="AJ228">
        <v>0</v>
      </c>
      <c r="AK228">
        <v>0</v>
      </c>
      <c r="AL228">
        <v>0</v>
      </c>
      <c r="AM228">
        <v>0</v>
      </c>
      <c r="AN228">
        <v>0</v>
      </c>
      <c r="AO228" s="1">
        <v>0</v>
      </c>
    </row>
    <row r="229" spans="7:41" x14ac:dyDescent="0.35">
      <c r="G229">
        <v>227</v>
      </c>
      <c r="H229">
        <v>1</v>
      </c>
      <c r="I229">
        <v>1</v>
      </c>
      <c r="J229">
        <v>2</v>
      </c>
      <c r="K229">
        <v>2</v>
      </c>
      <c r="L229">
        <v>2</v>
      </c>
      <c r="M229" s="1">
        <v>480</v>
      </c>
      <c r="N229">
        <v>227</v>
      </c>
      <c r="O229">
        <v>0</v>
      </c>
      <c r="P229">
        <v>0</v>
      </c>
      <c r="Q229">
        <v>0</v>
      </c>
      <c r="R229">
        <v>1</v>
      </c>
      <c r="S229">
        <v>1</v>
      </c>
      <c r="T229" s="1">
        <v>160</v>
      </c>
      <c r="U229">
        <v>227</v>
      </c>
      <c r="V229">
        <v>0</v>
      </c>
      <c r="W229">
        <v>0</v>
      </c>
      <c r="X229">
        <v>0</v>
      </c>
      <c r="Y229">
        <v>0</v>
      </c>
      <c r="Z229">
        <v>0</v>
      </c>
      <c r="AA229" s="1">
        <v>0</v>
      </c>
      <c r="AB229">
        <v>227</v>
      </c>
      <c r="AC229">
        <v>0</v>
      </c>
      <c r="AD229">
        <v>0</v>
      </c>
      <c r="AE229">
        <v>0</v>
      </c>
      <c r="AF229">
        <v>1</v>
      </c>
      <c r="AG229">
        <v>0</v>
      </c>
      <c r="AH229" s="1">
        <v>120</v>
      </c>
      <c r="AI229">
        <v>227</v>
      </c>
      <c r="AJ229">
        <v>0</v>
      </c>
      <c r="AK229">
        <v>0</v>
      </c>
      <c r="AL229">
        <v>0</v>
      </c>
      <c r="AM229">
        <v>0</v>
      </c>
      <c r="AN229">
        <v>0</v>
      </c>
      <c r="AO229" s="1">
        <v>0</v>
      </c>
    </row>
    <row r="230" spans="7:41" x14ac:dyDescent="0.35">
      <c r="G230">
        <v>228</v>
      </c>
      <c r="H230">
        <v>3</v>
      </c>
      <c r="I230">
        <v>1</v>
      </c>
      <c r="J230">
        <v>2</v>
      </c>
      <c r="K230">
        <v>2</v>
      </c>
      <c r="L230">
        <v>2</v>
      </c>
      <c r="M230" s="1">
        <v>600</v>
      </c>
      <c r="N230">
        <v>228</v>
      </c>
      <c r="O230">
        <v>2</v>
      </c>
      <c r="P230">
        <v>0</v>
      </c>
      <c r="Q230">
        <v>0</v>
      </c>
      <c r="R230">
        <v>2</v>
      </c>
      <c r="S230">
        <v>0</v>
      </c>
      <c r="T230" s="1">
        <v>320</v>
      </c>
      <c r="U230">
        <v>228</v>
      </c>
      <c r="V230">
        <v>0</v>
      </c>
      <c r="W230">
        <v>1</v>
      </c>
      <c r="X230">
        <v>0</v>
      </c>
      <c r="Y230">
        <v>0</v>
      </c>
      <c r="Z230">
        <v>0</v>
      </c>
      <c r="AA230" s="1">
        <v>100</v>
      </c>
      <c r="AB230">
        <v>228</v>
      </c>
      <c r="AC230">
        <v>0</v>
      </c>
      <c r="AD230">
        <v>0</v>
      </c>
      <c r="AE230">
        <v>0</v>
      </c>
      <c r="AF230">
        <v>0</v>
      </c>
      <c r="AG230">
        <v>0</v>
      </c>
      <c r="AH230" s="1">
        <v>0</v>
      </c>
      <c r="AI230">
        <v>228</v>
      </c>
      <c r="AJ230">
        <v>0</v>
      </c>
      <c r="AK230">
        <v>0</v>
      </c>
      <c r="AL230">
        <v>1</v>
      </c>
      <c r="AM230">
        <v>0</v>
      </c>
      <c r="AN230">
        <v>0</v>
      </c>
      <c r="AO230" s="1">
        <v>150</v>
      </c>
    </row>
    <row r="231" spans="7:41" x14ac:dyDescent="0.35">
      <c r="G231">
        <v>229</v>
      </c>
      <c r="H231">
        <v>0</v>
      </c>
      <c r="I231">
        <v>0</v>
      </c>
      <c r="J231">
        <v>0</v>
      </c>
      <c r="K231">
        <v>0</v>
      </c>
      <c r="L231">
        <v>0</v>
      </c>
      <c r="M231" s="1">
        <v>0</v>
      </c>
      <c r="N231">
        <v>229</v>
      </c>
      <c r="O231">
        <v>0</v>
      </c>
      <c r="P231">
        <v>0</v>
      </c>
      <c r="Q231">
        <v>0</v>
      </c>
      <c r="R231">
        <v>1</v>
      </c>
      <c r="S231">
        <v>0</v>
      </c>
      <c r="T231" s="1">
        <v>80</v>
      </c>
      <c r="U231">
        <v>229</v>
      </c>
      <c r="V231">
        <v>0</v>
      </c>
      <c r="W231">
        <v>0</v>
      </c>
      <c r="X231">
        <v>0</v>
      </c>
      <c r="Y231">
        <v>0</v>
      </c>
      <c r="Z231">
        <v>0</v>
      </c>
      <c r="AA231" s="1">
        <v>0</v>
      </c>
      <c r="AB231">
        <v>229</v>
      </c>
      <c r="AC231">
        <v>2</v>
      </c>
      <c r="AD231">
        <v>0</v>
      </c>
      <c r="AE231">
        <v>0</v>
      </c>
      <c r="AF231">
        <v>0</v>
      </c>
      <c r="AG231">
        <v>1</v>
      </c>
      <c r="AH231" s="1">
        <v>360</v>
      </c>
      <c r="AI231">
        <v>229</v>
      </c>
      <c r="AJ231">
        <v>0</v>
      </c>
      <c r="AK231">
        <v>0</v>
      </c>
      <c r="AL231">
        <v>0</v>
      </c>
      <c r="AM231">
        <v>0</v>
      </c>
      <c r="AN231">
        <v>0</v>
      </c>
      <c r="AO231" s="1">
        <v>0</v>
      </c>
    </row>
    <row r="232" spans="7:41" x14ac:dyDescent="0.35">
      <c r="G232">
        <v>230</v>
      </c>
      <c r="H232">
        <v>0</v>
      </c>
      <c r="I232">
        <v>1</v>
      </c>
      <c r="J232">
        <v>2</v>
      </c>
      <c r="K232">
        <v>1</v>
      </c>
      <c r="L232">
        <v>2</v>
      </c>
      <c r="M232" s="1">
        <v>360</v>
      </c>
      <c r="N232">
        <v>230</v>
      </c>
      <c r="O232">
        <v>0</v>
      </c>
      <c r="P232">
        <v>0</v>
      </c>
      <c r="Q232">
        <v>1</v>
      </c>
      <c r="R232">
        <v>1</v>
      </c>
      <c r="S232">
        <v>0</v>
      </c>
      <c r="T232" s="1">
        <v>160</v>
      </c>
      <c r="U232">
        <v>230</v>
      </c>
      <c r="V232">
        <v>1</v>
      </c>
      <c r="W232">
        <v>1</v>
      </c>
      <c r="X232">
        <v>0</v>
      </c>
      <c r="Y232">
        <v>0</v>
      </c>
      <c r="Z232">
        <v>0</v>
      </c>
      <c r="AA232" s="1">
        <v>200</v>
      </c>
      <c r="AB232">
        <v>230</v>
      </c>
      <c r="AC232">
        <v>0</v>
      </c>
      <c r="AD232">
        <v>0</v>
      </c>
      <c r="AE232">
        <v>0</v>
      </c>
      <c r="AF232">
        <v>0</v>
      </c>
      <c r="AG232">
        <v>0</v>
      </c>
      <c r="AH232" s="1">
        <v>0</v>
      </c>
      <c r="AI232">
        <v>230</v>
      </c>
      <c r="AJ232">
        <v>0</v>
      </c>
      <c r="AK232">
        <v>0</v>
      </c>
      <c r="AL232">
        <v>0</v>
      </c>
      <c r="AM232">
        <v>0</v>
      </c>
      <c r="AN232">
        <v>0</v>
      </c>
      <c r="AO232" s="1">
        <v>0</v>
      </c>
    </row>
    <row r="233" spans="7:41" x14ac:dyDescent="0.35">
      <c r="G233">
        <v>231</v>
      </c>
      <c r="H233">
        <v>1</v>
      </c>
      <c r="I233">
        <v>0</v>
      </c>
      <c r="J233">
        <v>2</v>
      </c>
      <c r="K233">
        <v>1</v>
      </c>
      <c r="L233">
        <v>1</v>
      </c>
      <c r="M233" s="1">
        <v>300</v>
      </c>
      <c r="N233">
        <v>231</v>
      </c>
      <c r="O233">
        <v>2</v>
      </c>
      <c r="P233">
        <v>0</v>
      </c>
      <c r="Q233">
        <v>0</v>
      </c>
      <c r="R233">
        <v>0</v>
      </c>
      <c r="S233">
        <v>0</v>
      </c>
      <c r="T233" s="1">
        <v>160</v>
      </c>
      <c r="U233">
        <v>231</v>
      </c>
      <c r="V233">
        <v>0</v>
      </c>
      <c r="W233">
        <v>0</v>
      </c>
      <c r="X233">
        <v>1</v>
      </c>
      <c r="Y233">
        <v>0</v>
      </c>
      <c r="Z233">
        <v>0</v>
      </c>
      <c r="AA233" s="1">
        <v>100</v>
      </c>
      <c r="AB233">
        <v>231</v>
      </c>
      <c r="AC233">
        <v>0</v>
      </c>
      <c r="AD233">
        <v>0</v>
      </c>
      <c r="AE233">
        <v>0</v>
      </c>
      <c r="AF233">
        <v>0</v>
      </c>
      <c r="AG233">
        <v>0</v>
      </c>
      <c r="AH233" s="1">
        <v>0</v>
      </c>
      <c r="AI233">
        <v>231</v>
      </c>
      <c r="AJ233">
        <v>0</v>
      </c>
      <c r="AK233">
        <v>1</v>
      </c>
      <c r="AL233">
        <v>0</v>
      </c>
      <c r="AM233">
        <v>0</v>
      </c>
      <c r="AN233">
        <v>0</v>
      </c>
      <c r="AO233" s="1">
        <v>150</v>
      </c>
    </row>
    <row r="234" spans="7:41" x14ac:dyDescent="0.35">
      <c r="G234">
        <v>232</v>
      </c>
      <c r="H234">
        <v>2</v>
      </c>
      <c r="I234">
        <v>0</v>
      </c>
      <c r="J234">
        <v>1</v>
      </c>
      <c r="K234">
        <v>0</v>
      </c>
      <c r="L234">
        <v>2</v>
      </c>
      <c r="M234" s="1">
        <v>300</v>
      </c>
      <c r="N234">
        <v>232</v>
      </c>
      <c r="O234">
        <v>0</v>
      </c>
      <c r="P234">
        <v>1</v>
      </c>
      <c r="Q234">
        <v>0</v>
      </c>
      <c r="R234">
        <v>1</v>
      </c>
      <c r="S234">
        <v>0</v>
      </c>
      <c r="T234" s="1">
        <v>160</v>
      </c>
      <c r="U234">
        <v>232</v>
      </c>
      <c r="V234">
        <v>0</v>
      </c>
      <c r="W234">
        <v>0</v>
      </c>
      <c r="X234">
        <v>0</v>
      </c>
      <c r="Y234">
        <v>0</v>
      </c>
      <c r="Z234">
        <v>0</v>
      </c>
      <c r="AA234" s="1">
        <v>0</v>
      </c>
      <c r="AB234">
        <v>232</v>
      </c>
      <c r="AC234">
        <v>0</v>
      </c>
      <c r="AD234">
        <v>0</v>
      </c>
      <c r="AE234">
        <v>0</v>
      </c>
      <c r="AF234">
        <v>0</v>
      </c>
      <c r="AG234">
        <v>0</v>
      </c>
      <c r="AH234" s="1">
        <v>0</v>
      </c>
      <c r="AI234">
        <v>232</v>
      </c>
      <c r="AJ234">
        <v>0</v>
      </c>
      <c r="AK234">
        <v>0</v>
      </c>
      <c r="AL234">
        <v>0</v>
      </c>
      <c r="AM234">
        <v>0</v>
      </c>
      <c r="AN234">
        <v>0</v>
      </c>
      <c r="AO234" s="1">
        <v>0</v>
      </c>
    </row>
    <row r="235" spans="7:41" x14ac:dyDescent="0.35">
      <c r="G235">
        <v>233</v>
      </c>
      <c r="H235">
        <v>3</v>
      </c>
      <c r="I235">
        <v>0</v>
      </c>
      <c r="J235">
        <v>2</v>
      </c>
      <c r="K235">
        <v>0</v>
      </c>
      <c r="L235">
        <v>0</v>
      </c>
      <c r="M235" s="1">
        <v>300</v>
      </c>
      <c r="N235">
        <v>233</v>
      </c>
      <c r="O235">
        <v>0</v>
      </c>
      <c r="P235">
        <v>1</v>
      </c>
      <c r="Q235">
        <v>0</v>
      </c>
      <c r="R235">
        <v>0</v>
      </c>
      <c r="S235">
        <v>1</v>
      </c>
      <c r="T235" s="1">
        <v>160</v>
      </c>
      <c r="U235">
        <v>233</v>
      </c>
      <c r="V235">
        <v>0</v>
      </c>
      <c r="W235">
        <v>0</v>
      </c>
      <c r="X235">
        <v>1</v>
      </c>
      <c r="Y235">
        <v>0</v>
      </c>
      <c r="Z235">
        <v>0</v>
      </c>
      <c r="AA235" s="1">
        <v>100</v>
      </c>
      <c r="AB235">
        <v>233</v>
      </c>
      <c r="AC235">
        <v>0</v>
      </c>
      <c r="AD235">
        <v>0</v>
      </c>
      <c r="AE235">
        <v>0</v>
      </c>
      <c r="AF235">
        <v>0</v>
      </c>
      <c r="AG235">
        <v>0</v>
      </c>
      <c r="AH235" s="1">
        <v>0</v>
      </c>
      <c r="AI235">
        <v>233</v>
      </c>
      <c r="AJ235">
        <v>0</v>
      </c>
      <c r="AK235">
        <v>0</v>
      </c>
      <c r="AL235">
        <v>0</v>
      </c>
      <c r="AM235">
        <v>0</v>
      </c>
      <c r="AN235">
        <v>0</v>
      </c>
      <c r="AO235" s="1">
        <v>0</v>
      </c>
    </row>
    <row r="236" spans="7:41" x14ac:dyDescent="0.35">
      <c r="G236">
        <v>234</v>
      </c>
      <c r="H236">
        <v>0</v>
      </c>
      <c r="I236">
        <v>1</v>
      </c>
      <c r="J236">
        <v>0</v>
      </c>
      <c r="K236">
        <v>2</v>
      </c>
      <c r="L236">
        <v>1</v>
      </c>
      <c r="M236" s="1">
        <v>240</v>
      </c>
      <c r="N236">
        <v>234</v>
      </c>
      <c r="O236">
        <v>0</v>
      </c>
      <c r="P236">
        <v>1</v>
      </c>
      <c r="Q236">
        <v>0</v>
      </c>
      <c r="R236">
        <v>0</v>
      </c>
      <c r="S236">
        <v>0</v>
      </c>
      <c r="T236" s="1">
        <v>80</v>
      </c>
      <c r="U236">
        <v>234</v>
      </c>
      <c r="V236">
        <v>0</v>
      </c>
      <c r="W236">
        <v>0</v>
      </c>
      <c r="X236">
        <v>0</v>
      </c>
      <c r="Y236">
        <v>0</v>
      </c>
      <c r="Z236">
        <v>0</v>
      </c>
      <c r="AA236" s="1">
        <v>0</v>
      </c>
      <c r="AB236">
        <v>234</v>
      </c>
      <c r="AC236">
        <v>1</v>
      </c>
      <c r="AD236">
        <v>0</v>
      </c>
      <c r="AE236">
        <v>0</v>
      </c>
      <c r="AF236">
        <v>0</v>
      </c>
      <c r="AG236">
        <v>0</v>
      </c>
      <c r="AH236" s="1">
        <v>120</v>
      </c>
      <c r="AI236">
        <v>234</v>
      </c>
      <c r="AJ236">
        <v>0</v>
      </c>
      <c r="AK236">
        <v>0</v>
      </c>
      <c r="AL236">
        <v>1</v>
      </c>
      <c r="AM236">
        <v>0</v>
      </c>
      <c r="AN236">
        <v>0</v>
      </c>
      <c r="AO236" s="1">
        <v>150</v>
      </c>
    </row>
    <row r="237" spans="7:41" x14ac:dyDescent="0.35">
      <c r="G237">
        <v>235</v>
      </c>
      <c r="H237">
        <v>0</v>
      </c>
      <c r="I237">
        <v>0</v>
      </c>
      <c r="J237">
        <v>0</v>
      </c>
      <c r="K237">
        <v>0</v>
      </c>
      <c r="L237">
        <v>1</v>
      </c>
      <c r="M237" s="1">
        <v>60</v>
      </c>
      <c r="N237">
        <v>235</v>
      </c>
      <c r="O237">
        <v>0</v>
      </c>
      <c r="P237">
        <v>0</v>
      </c>
      <c r="Q237">
        <v>1</v>
      </c>
      <c r="R237">
        <v>2</v>
      </c>
      <c r="S237">
        <v>0</v>
      </c>
      <c r="T237" s="1">
        <v>240</v>
      </c>
      <c r="U237">
        <v>235</v>
      </c>
      <c r="V237">
        <v>0</v>
      </c>
      <c r="W237">
        <v>2</v>
      </c>
      <c r="X237">
        <v>0</v>
      </c>
      <c r="Y237">
        <v>0</v>
      </c>
      <c r="Z237">
        <v>1</v>
      </c>
      <c r="AA237" s="1">
        <v>300</v>
      </c>
      <c r="AB237">
        <v>235</v>
      </c>
      <c r="AC237">
        <v>0</v>
      </c>
      <c r="AD237">
        <v>0</v>
      </c>
      <c r="AE237">
        <v>0</v>
      </c>
      <c r="AF237">
        <v>0</v>
      </c>
      <c r="AG237">
        <v>0</v>
      </c>
      <c r="AH237" s="1">
        <v>0</v>
      </c>
      <c r="AI237">
        <v>235</v>
      </c>
      <c r="AJ237">
        <v>0</v>
      </c>
      <c r="AK237">
        <v>0</v>
      </c>
      <c r="AL237">
        <v>0</v>
      </c>
      <c r="AM237">
        <v>0</v>
      </c>
      <c r="AN237">
        <v>0</v>
      </c>
      <c r="AO237" s="1">
        <v>0</v>
      </c>
    </row>
    <row r="238" spans="7:41" x14ac:dyDescent="0.35">
      <c r="G238">
        <v>236</v>
      </c>
      <c r="H238">
        <v>0</v>
      </c>
      <c r="I238">
        <v>1</v>
      </c>
      <c r="J238">
        <v>1</v>
      </c>
      <c r="K238">
        <v>0</v>
      </c>
      <c r="L238">
        <v>0</v>
      </c>
      <c r="M238" s="1">
        <v>120</v>
      </c>
      <c r="N238">
        <v>236</v>
      </c>
      <c r="O238">
        <v>0</v>
      </c>
      <c r="P238">
        <v>0</v>
      </c>
      <c r="Q238">
        <v>1</v>
      </c>
      <c r="R238">
        <v>2</v>
      </c>
      <c r="S238">
        <v>1</v>
      </c>
      <c r="T238" s="1">
        <v>320</v>
      </c>
      <c r="U238">
        <v>236</v>
      </c>
      <c r="V238">
        <v>0</v>
      </c>
      <c r="W238">
        <v>3</v>
      </c>
      <c r="X238">
        <v>0</v>
      </c>
      <c r="Y238">
        <v>0</v>
      </c>
      <c r="Z238">
        <v>0</v>
      </c>
      <c r="AA238" s="1">
        <v>300</v>
      </c>
      <c r="AB238">
        <v>236</v>
      </c>
      <c r="AC238">
        <v>0</v>
      </c>
      <c r="AD238">
        <v>0</v>
      </c>
      <c r="AE238">
        <v>0</v>
      </c>
      <c r="AF238">
        <v>1</v>
      </c>
      <c r="AG238">
        <v>0</v>
      </c>
      <c r="AH238" s="1">
        <v>120</v>
      </c>
      <c r="AI238">
        <v>236</v>
      </c>
      <c r="AJ238">
        <v>0</v>
      </c>
      <c r="AK238">
        <v>0</v>
      </c>
      <c r="AL238">
        <v>3</v>
      </c>
      <c r="AM238">
        <v>0</v>
      </c>
      <c r="AN238">
        <v>0</v>
      </c>
      <c r="AO238" s="1">
        <v>450</v>
      </c>
    </row>
    <row r="239" spans="7:41" x14ac:dyDescent="0.35">
      <c r="G239">
        <v>237</v>
      </c>
      <c r="H239">
        <v>0</v>
      </c>
      <c r="I239">
        <v>1</v>
      </c>
      <c r="J239">
        <v>0</v>
      </c>
      <c r="K239">
        <v>1</v>
      </c>
      <c r="L239">
        <v>1</v>
      </c>
      <c r="M239" s="1">
        <v>180</v>
      </c>
      <c r="N239">
        <v>237</v>
      </c>
      <c r="O239">
        <v>0</v>
      </c>
      <c r="P239">
        <v>0</v>
      </c>
      <c r="Q239">
        <v>1</v>
      </c>
      <c r="R239">
        <v>0</v>
      </c>
      <c r="S239">
        <v>1</v>
      </c>
      <c r="T239" s="1">
        <v>160</v>
      </c>
      <c r="U239">
        <v>237</v>
      </c>
      <c r="V239">
        <v>0</v>
      </c>
      <c r="W239">
        <v>0</v>
      </c>
      <c r="X239">
        <v>0</v>
      </c>
      <c r="Y239">
        <v>0</v>
      </c>
      <c r="Z239">
        <v>0</v>
      </c>
      <c r="AA239" s="1">
        <v>0</v>
      </c>
      <c r="AB239">
        <v>237</v>
      </c>
      <c r="AC239">
        <v>0</v>
      </c>
      <c r="AD239">
        <v>0</v>
      </c>
      <c r="AE239">
        <v>0</v>
      </c>
      <c r="AF239">
        <v>1</v>
      </c>
      <c r="AG239">
        <v>0</v>
      </c>
      <c r="AH239" s="1">
        <v>120</v>
      </c>
      <c r="AI239">
        <v>237</v>
      </c>
      <c r="AJ239">
        <v>0</v>
      </c>
      <c r="AK239">
        <v>0</v>
      </c>
      <c r="AL239">
        <v>2</v>
      </c>
      <c r="AM239">
        <v>0</v>
      </c>
      <c r="AN239">
        <v>0</v>
      </c>
      <c r="AO239" s="1">
        <v>300</v>
      </c>
    </row>
    <row r="240" spans="7:41" x14ac:dyDescent="0.35">
      <c r="G240">
        <v>238</v>
      </c>
      <c r="H240">
        <v>0</v>
      </c>
      <c r="I240">
        <v>2</v>
      </c>
      <c r="J240">
        <v>1</v>
      </c>
      <c r="K240">
        <v>1</v>
      </c>
      <c r="L240">
        <v>0</v>
      </c>
      <c r="M240" s="1">
        <v>240</v>
      </c>
      <c r="N240">
        <v>238</v>
      </c>
      <c r="O240">
        <v>0</v>
      </c>
      <c r="P240">
        <v>0</v>
      </c>
      <c r="Q240">
        <v>0</v>
      </c>
      <c r="R240">
        <v>0</v>
      </c>
      <c r="S240">
        <v>1</v>
      </c>
      <c r="T240" s="1">
        <v>80</v>
      </c>
      <c r="U240">
        <v>238</v>
      </c>
      <c r="V240">
        <v>0</v>
      </c>
      <c r="W240">
        <v>3</v>
      </c>
      <c r="X240">
        <v>1</v>
      </c>
      <c r="Y240">
        <v>0</v>
      </c>
      <c r="Z240">
        <v>0</v>
      </c>
      <c r="AA240" s="1">
        <v>400</v>
      </c>
      <c r="AB240">
        <v>238</v>
      </c>
      <c r="AC240">
        <v>0</v>
      </c>
      <c r="AD240">
        <v>0</v>
      </c>
      <c r="AE240">
        <v>0</v>
      </c>
      <c r="AF240">
        <v>0</v>
      </c>
      <c r="AG240">
        <v>0</v>
      </c>
      <c r="AH240" s="1">
        <v>0</v>
      </c>
      <c r="AI240">
        <v>238</v>
      </c>
      <c r="AJ240">
        <v>0</v>
      </c>
      <c r="AK240">
        <v>0</v>
      </c>
      <c r="AL240">
        <v>0</v>
      </c>
      <c r="AM240">
        <v>0</v>
      </c>
      <c r="AN240">
        <v>0</v>
      </c>
      <c r="AO240" s="1">
        <v>0</v>
      </c>
    </row>
    <row r="241" spans="7:41" x14ac:dyDescent="0.35">
      <c r="G241">
        <v>239</v>
      </c>
      <c r="H241">
        <v>0</v>
      </c>
      <c r="I241">
        <v>1</v>
      </c>
      <c r="J241">
        <v>1</v>
      </c>
      <c r="K241">
        <v>2</v>
      </c>
      <c r="L241">
        <v>1</v>
      </c>
      <c r="M241" s="1">
        <v>300</v>
      </c>
      <c r="N241">
        <v>239</v>
      </c>
      <c r="O241">
        <v>0</v>
      </c>
      <c r="P241">
        <v>0</v>
      </c>
      <c r="Q241">
        <v>0</v>
      </c>
      <c r="R241">
        <v>0</v>
      </c>
      <c r="S241">
        <v>0</v>
      </c>
      <c r="T241" s="1">
        <v>0</v>
      </c>
      <c r="U241">
        <v>239</v>
      </c>
      <c r="V241">
        <v>0</v>
      </c>
      <c r="W241">
        <v>0</v>
      </c>
      <c r="X241">
        <v>0</v>
      </c>
      <c r="Y241">
        <v>0</v>
      </c>
      <c r="Z241">
        <v>0</v>
      </c>
      <c r="AA241" s="1">
        <v>0</v>
      </c>
      <c r="AB241">
        <v>239</v>
      </c>
      <c r="AC241">
        <v>1</v>
      </c>
      <c r="AD241">
        <v>0</v>
      </c>
      <c r="AE241">
        <v>0</v>
      </c>
      <c r="AF241">
        <v>0</v>
      </c>
      <c r="AG241">
        <v>0</v>
      </c>
      <c r="AH241" s="1">
        <v>120</v>
      </c>
      <c r="AI241">
        <v>239</v>
      </c>
      <c r="AJ241">
        <v>0</v>
      </c>
      <c r="AK241">
        <v>0</v>
      </c>
      <c r="AL241">
        <v>0</v>
      </c>
      <c r="AM241">
        <v>0</v>
      </c>
      <c r="AN241">
        <v>0</v>
      </c>
      <c r="AO241" s="1">
        <v>0</v>
      </c>
    </row>
    <row r="242" spans="7:41" x14ac:dyDescent="0.35">
      <c r="G242">
        <v>240</v>
      </c>
      <c r="H242">
        <v>1</v>
      </c>
      <c r="I242">
        <v>0</v>
      </c>
      <c r="J242">
        <v>2</v>
      </c>
      <c r="K242">
        <v>0</v>
      </c>
      <c r="L242">
        <v>0</v>
      </c>
      <c r="M242" s="1">
        <v>180</v>
      </c>
      <c r="N242">
        <v>240</v>
      </c>
      <c r="O242">
        <v>2</v>
      </c>
      <c r="P242">
        <v>0</v>
      </c>
      <c r="Q242">
        <v>0</v>
      </c>
      <c r="R242">
        <v>1</v>
      </c>
      <c r="S242">
        <v>0</v>
      </c>
      <c r="T242" s="1">
        <v>240</v>
      </c>
      <c r="U242">
        <v>240</v>
      </c>
      <c r="V242">
        <v>0</v>
      </c>
      <c r="W242">
        <v>0</v>
      </c>
      <c r="X242">
        <v>0</v>
      </c>
      <c r="Y242">
        <v>0</v>
      </c>
      <c r="Z242">
        <v>0</v>
      </c>
      <c r="AA242" s="1">
        <v>0</v>
      </c>
      <c r="AB242">
        <v>240</v>
      </c>
      <c r="AC242">
        <v>0</v>
      </c>
      <c r="AD242">
        <v>0</v>
      </c>
      <c r="AE242">
        <v>0</v>
      </c>
      <c r="AF242">
        <v>1</v>
      </c>
      <c r="AG242">
        <v>0</v>
      </c>
      <c r="AH242" s="1">
        <v>120</v>
      </c>
      <c r="AI242">
        <v>240</v>
      </c>
      <c r="AJ242">
        <v>0</v>
      </c>
      <c r="AK242">
        <v>0</v>
      </c>
      <c r="AL242">
        <v>0</v>
      </c>
      <c r="AM242">
        <v>0</v>
      </c>
      <c r="AN242">
        <v>0</v>
      </c>
      <c r="AO242" s="1">
        <v>0</v>
      </c>
    </row>
    <row r="243" spans="7:41" x14ac:dyDescent="0.35">
      <c r="G243">
        <v>241</v>
      </c>
      <c r="H243">
        <v>1</v>
      </c>
      <c r="I243">
        <v>3</v>
      </c>
      <c r="J243">
        <v>0</v>
      </c>
      <c r="K243">
        <v>0</v>
      </c>
      <c r="L243">
        <v>2</v>
      </c>
      <c r="M243" s="1">
        <v>360</v>
      </c>
      <c r="N243">
        <v>241</v>
      </c>
      <c r="O243">
        <v>0</v>
      </c>
      <c r="P243">
        <v>1</v>
      </c>
      <c r="Q243">
        <v>0</v>
      </c>
      <c r="R243">
        <v>0</v>
      </c>
      <c r="S243">
        <v>1</v>
      </c>
      <c r="T243" s="1">
        <v>160</v>
      </c>
      <c r="U243">
        <v>241</v>
      </c>
      <c r="V243">
        <v>0</v>
      </c>
      <c r="W243">
        <v>0</v>
      </c>
      <c r="X243">
        <v>0</v>
      </c>
      <c r="Y243">
        <v>0</v>
      </c>
      <c r="Z243">
        <v>0</v>
      </c>
      <c r="AA243" s="1">
        <v>0</v>
      </c>
      <c r="AB243">
        <v>241</v>
      </c>
      <c r="AC243">
        <v>0</v>
      </c>
      <c r="AD243">
        <v>0</v>
      </c>
      <c r="AE243">
        <v>0</v>
      </c>
      <c r="AF243">
        <v>0</v>
      </c>
      <c r="AG243">
        <v>0</v>
      </c>
      <c r="AH243" s="1">
        <v>0</v>
      </c>
      <c r="AI243">
        <v>241</v>
      </c>
      <c r="AJ243">
        <v>0</v>
      </c>
      <c r="AK243">
        <v>0</v>
      </c>
      <c r="AL243">
        <v>0</v>
      </c>
      <c r="AM243">
        <v>0</v>
      </c>
      <c r="AN243">
        <v>0</v>
      </c>
      <c r="AO243" s="1">
        <v>0</v>
      </c>
    </row>
    <row r="244" spans="7:41" x14ac:dyDescent="0.35">
      <c r="G244">
        <v>242</v>
      </c>
      <c r="H244">
        <v>0</v>
      </c>
      <c r="I244">
        <v>1</v>
      </c>
      <c r="J244">
        <v>1</v>
      </c>
      <c r="K244">
        <v>2</v>
      </c>
      <c r="L244">
        <v>0</v>
      </c>
      <c r="M244" s="1">
        <v>240</v>
      </c>
      <c r="N244">
        <v>242</v>
      </c>
      <c r="O244">
        <v>0</v>
      </c>
      <c r="P244">
        <v>2</v>
      </c>
      <c r="Q244">
        <v>0</v>
      </c>
      <c r="R244">
        <v>0</v>
      </c>
      <c r="S244">
        <v>0</v>
      </c>
      <c r="T244" s="1">
        <v>160</v>
      </c>
      <c r="U244">
        <v>242</v>
      </c>
      <c r="V244">
        <v>1</v>
      </c>
      <c r="W244">
        <v>0</v>
      </c>
      <c r="X244">
        <v>0</v>
      </c>
      <c r="Y244">
        <v>0</v>
      </c>
      <c r="Z244">
        <v>1</v>
      </c>
      <c r="AA244" s="1">
        <v>200</v>
      </c>
      <c r="AB244">
        <v>242</v>
      </c>
      <c r="AC244">
        <v>0</v>
      </c>
      <c r="AD244">
        <v>0</v>
      </c>
      <c r="AE244">
        <v>1</v>
      </c>
      <c r="AF244">
        <v>0</v>
      </c>
      <c r="AG244">
        <v>0</v>
      </c>
      <c r="AH244" s="1">
        <v>120</v>
      </c>
      <c r="AI244">
        <v>242</v>
      </c>
      <c r="AJ244">
        <v>0</v>
      </c>
      <c r="AK244">
        <v>0</v>
      </c>
      <c r="AL244">
        <v>0</v>
      </c>
      <c r="AM244">
        <v>0</v>
      </c>
      <c r="AN244">
        <v>0</v>
      </c>
      <c r="AO244" s="1">
        <v>0</v>
      </c>
    </row>
    <row r="245" spans="7:41" x14ac:dyDescent="0.35">
      <c r="G245">
        <v>243</v>
      </c>
      <c r="H245">
        <v>0</v>
      </c>
      <c r="I245">
        <v>1</v>
      </c>
      <c r="J245">
        <v>2</v>
      </c>
      <c r="K245">
        <v>2</v>
      </c>
      <c r="L245">
        <v>1</v>
      </c>
      <c r="M245" s="1">
        <v>360</v>
      </c>
      <c r="N245">
        <v>243</v>
      </c>
      <c r="O245">
        <v>0</v>
      </c>
      <c r="P245">
        <v>1</v>
      </c>
      <c r="Q245">
        <v>0</v>
      </c>
      <c r="R245">
        <v>1</v>
      </c>
      <c r="S245">
        <v>1</v>
      </c>
      <c r="T245" s="1">
        <v>240</v>
      </c>
      <c r="U245">
        <v>243</v>
      </c>
      <c r="V245">
        <v>0</v>
      </c>
      <c r="W245">
        <v>0</v>
      </c>
      <c r="X245">
        <v>0</v>
      </c>
      <c r="Y245">
        <v>0</v>
      </c>
      <c r="Z245">
        <v>0</v>
      </c>
      <c r="AA245" s="1">
        <v>0</v>
      </c>
      <c r="AB245">
        <v>243</v>
      </c>
      <c r="AC245">
        <v>0</v>
      </c>
      <c r="AD245">
        <v>0</v>
      </c>
      <c r="AE245">
        <v>0</v>
      </c>
      <c r="AF245">
        <v>0</v>
      </c>
      <c r="AG245">
        <v>0</v>
      </c>
      <c r="AH245" s="1">
        <v>0</v>
      </c>
      <c r="AI245">
        <v>243</v>
      </c>
      <c r="AJ245">
        <v>0</v>
      </c>
      <c r="AK245">
        <v>0</v>
      </c>
      <c r="AL245">
        <v>0</v>
      </c>
      <c r="AM245">
        <v>0</v>
      </c>
      <c r="AN245">
        <v>0</v>
      </c>
      <c r="AO245" s="1">
        <v>0</v>
      </c>
    </row>
    <row r="246" spans="7:41" x14ac:dyDescent="0.35">
      <c r="G246">
        <v>244</v>
      </c>
      <c r="H246">
        <v>0</v>
      </c>
      <c r="I246">
        <v>3</v>
      </c>
      <c r="J246">
        <v>0</v>
      </c>
      <c r="K246">
        <v>3</v>
      </c>
      <c r="L246">
        <v>3</v>
      </c>
      <c r="M246" s="1">
        <v>540</v>
      </c>
      <c r="N246">
        <v>244</v>
      </c>
      <c r="O246">
        <v>0</v>
      </c>
      <c r="P246">
        <v>1</v>
      </c>
      <c r="Q246">
        <v>2</v>
      </c>
      <c r="R246">
        <v>0</v>
      </c>
      <c r="S246">
        <v>1</v>
      </c>
      <c r="T246" s="1">
        <v>320</v>
      </c>
      <c r="U246">
        <v>244</v>
      </c>
      <c r="V246">
        <v>0</v>
      </c>
      <c r="W246">
        <v>0</v>
      </c>
      <c r="X246">
        <v>0</v>
      </c>
      <c r="Y246">
        <v>0</v>
      </c>
      <c r="Z246">
        <v>0</v>
      </c>
      <c r="AA246" s="1">
        <v>0</v>
      </c>
      <c r="AB246">
        <v>244</v>
      </c>
      <c r="AC246">
        <v>0</v>
      </c>
      <c r="AD246">
        <v>0</v>
      </c>
      <c r="AE246">
        <v>0</v>
      </c>
      <c r="AF246">
        <v>1</v>
      </c>
      <c r="AG246">
        <v>0</v>
      </c>
      <c r="AH246" s="1">
        <v>120</v>
      </c>
      <c r="AI246">
        <v>244</v>
      </c>
      <c r="AJ246">
        <v>0</v>
      </c>
      <c r="AK246">
        <v>0</v>
      </c>
      <c r="AL246">
        <v>0</v>
      </c>
      <c r="AM246">
        <v>0</v>
      </c>
      <c r="AN246">
        <v>0</v>
      </c>
      <c r="AO246" s="1">
        <v>0</v>
      </c>
    </row>
    <row r="247" spans="7:41" x14ac:dyDescent="0.35">
      <c r="G247">
        <v>245</v>
      </c>
      <c r="H247">
        <v>0</v>
      </c>
      <c r="I247">
        <v>1</v>
      </c>
      <c r="J247">
        <v>3</v>
      </c>
      <c r="K247">
        <v>4</v>
      </c>
      <c r="L247">
        <v>0</v>
      </c>
      <c r="M247" s="1">
        <v>480</v>
      </c>
      <c r="N247">
        <v>245</v>
      </c>
      <c r="O247">
        <v>0</v>
      </c>
      <c r="P247">
        <v>1</v>
      </c>
      <c r="Q247">
        <v>2</v>
      </c>
      <c r="R247">
        <v>0</v>
      </c>
      <c r="S247">
        <v>1</v>
      </c>
      <c r="T247" s="1">
        <v>320</v>
      </c>
      <c r="U247">
        <v>245</v>
      </c>
      <c r="V247">
        <v>0</v>
      </c>
      <c r="W247">
        <v>0</v>
      </c>
      <c r="X247">
        <v>0</v>
      </c>
      <c r="Y247">
        <v>0</v>
      </c>
      <c r="Z247">
        <v>1</v>
      </c>
      <c r="AA247" s="1">
        <v>100</v>
      </c>
      <c r="AB247">
        <v>245</v>
      </c>
      <c r="AC247">
        <v>2</v>
      </c>
      <c r="AD247">
        <v>0</v>
      </c>
      <c r="AE247">
        <v>0</v>
      </c>
      <c r="AF247">
        <v>0</v>
      </c>
      <c r="AG247">
        <v>0</v>
      </c>
      <c r="AH247" s="1">
        <v>240</v>
      </c>
      <c r="AI247">
        <v>245</v>
      </c>
      <c r="AJ247">
        <v>0</v>
      </c>
      <c r="AK247">
        <v>0</v>
      </c>
      <c r="AL247">
        <v>0</v>
      </c>
      <c r="AM247">
        <v>0</v>
      </c>
      <c r="AN247">
        <v>0</v>
      </c>
      <c r="AO247" s="1">
        <v>0</v>
      </c>
    </row>
    <row r="248" spans="7:41" x14ac:dyDescent="0.35">
      <c r="G248">
        <v>246</v>
      </c>
      <c r="H248">
        <v>0</v>
      </c>
      <c r="I248">
        <v>2</v>
      </c>
      <c r="J248">
        <v>3</v>
      </c>
      <c r="K248">
        <v>0</v>
      </c>
      <c r="L248">
        <v>0</v>
      </c>
      <c r="M248" s="1">
        <v>300</v>
      </c>
      <c r="N248">
        <v>246</v>
      </c>
      <c r="O248">
        <v>0</v>
      </c>
      <c r="P248">
        <v>0</v>
      </c>
      <c r="Q248">
        <v>0</v>
      </c>
      <c r="R248">
        <v>0</v>
      </c>
      <c r="S248">
        <v>0</v>
      </c>
      <c r="T248" s="1">
        <v>0</v>
      </c>
      <c r="U248">
        <v>246</v>
      </c>
      <c r="V248">
        <v>0</v>
      </c>
      <c r="W248">
        <v>0</v>
      </c>
      <c r="X248">
        <v>0</v>
      </c>
      <c r="Y248">
        <v>0</v>
      </c>
      <c r="Z248">
        <v>1</v>
      </c>
      <c r="AA248" s="1">
        <v>100</v>
      </c>
      <c r="AB248">
        <v>246</v>
      </c>
      <c r="AC248">
        <v>0</v>
      </c>
      <c r="AD248">
        <v>0</v>
      </c>
      <c r="AE248">
        <v>0</v>
      </c>
      <c r="AF248">
        <v>0</v>
      </c>
      <c r="AG248">
        <v>1</v>
      </c>
      <c r="AH248" s="1">
        <v>120</v>
      </c>
      <c r="AI248">
        <v>246</v>
      </c>
      <c r="AJ248">
        <v>0</v>
      </c>
      <c r="AK248">
        <v>0</v>
      </c>
      <c r="AL248">
        <v>3</v>
      </c>
      <c r="AM248">
        <v>0</v>
      </c>
      <c r="AN248">
        <v>0</v>
      </c>
      <c r="AO248" s="1">
        <v>450</v>
      </c>
    </row>
    <row r="249" spans="7:41" x14ac:dyDescent="0.35">
      <c r="G249">
        <v>247</v>
      </c>
      <c r="H249">
        <v>1</v>
      </c>
      <c r="I249">
        <v>2</v>
      </c>
      <c r="J249">
        <v>1</v>
      </c>
      <c r="K249">
        <v>3</v>
      </c>
      <c r="L249">
        <v>1</v>
      </c>
      <c r="M249" s="1">
        <v>480</v>
      </c>
      <c r="N249">
        <v>247</v>
      </c>
      <c r="O249">
        <v>0</v>
      </c>
      <c r="P249">
        <v>1</v>
      </c>
      <c r="Q249">
        <v>0</v>
      </c>
      <c r="R249">
        <v>0</v>
      </c>
      <c r="S249">
        <v>0</v>
      </c>
      <c r="T249" s="1">
        <v>80</v>
      </c>
      <c r="U249">
        <v>247</v>
      </c>
      <c r="V249">
        <v>0</v>
      </c>
      <c r="W249">
        <v>0</v>
      </c>
      <c r="X249">
        <v>0</v>
      </c>
      <c r="Y249">
        <v>0</v>
      </c>
      <c r="Z249">
        <v>0</v>
      </c>
      <c r="AA249" s="1">
        <v>0</v>
      </c>
      <c r="AB249">
        <v>247</v>
      </c>
      <c r="AC249">
        <v>0</v>
      </c>
      <c r="AD249">
        <v>1</v>
      </c>
      <c r="AE249">
        <v>0</v>
      </c>
      <c r="AF249">
        <v>0</v>
      </c>
      <c r="AG249">
        <v>0</v>
      </c>
      <c r="AH249" s="1">
        <v>120</v>
      </c>
      <c r="AI249">
        <v>247</v>
      </c>
      <c r="AJ249">
        <v>0</v>
      </c>
      <c r="AK249">
        <v>0</v>
      </c>
      <c r="AL249">
        <v>1</v>
      </c>
      <c r="AM249">
        <v>0</v>
      </c>
      <c r="AN249">
        <v>0</v>
      </c>
      <c r="AO249" s="1">
        <v>150</v>
      </c>
    </row>
    <row r="250" spans="7:41" x14ac:dyDescent="0.35">
      <c r="G250">
        <v>248</v>
      </c>
      <c r="H250">
        <v>2</v>
      </c>
      <c r="I250">
        <v>3</v>
      </c>
      <c r="J250">
        <v>0</v>
      </c>
      <c r="K250">
        <v>4</v>
      </c>
      <c r="L250">
        <v>0</v>
      </c>
      <c r="M250" s="1">
        <v>540</v>
      </c>
      <c r="N250">
        <v>248</v>
      </c>
      <c r="O250">
        <v>0</v>
      </c>
      <c r="P250">
        <v>1</v>
      </c>
      <c r="Q250">
        <v>2</v>
      </c>
      <c r="R250">
        <v>1</v>
      </c>
      <c r="S250">
        <v>0</v>
      </c>
      <c r="T250" s="1">
        <v>320</v>
      </c>
      <c r="U250">
        <v>248</v>
      </c>
      <c r="V250">
        <v>0</v>
      </c>
      <c r="W250">
        <v>0</v>
      </c>
      <c r="X250">
        <v>0</v>
      </c>
      <c r="Y250">
        <v>1</v>
      </c>
      <c r="Z250">
        <v>0</v>
      </c>
      <c r="AA250" s="1">
        <v>100</v>
      </c>
      <c r="AB250">
        <v>248</v>
      </c>
      <c r="AC250">
        <v>0</v>
      </c>
      <c r="AD250">
        <v>0</v>
      </c>
      <c r="AE250">
        <v>0</v>
      </c>
      <c r="AF250">
        <v>0</v>
      </c>
      <c r="AG250">
        <v>0</v>
      </c>
      <c r="AH250" s="1">
        <v>0</v>
      </c>
      <c r="AI250">
        <v>248</v>
      </c>
      <c r="AJ250">
        <v>0</v>
      </c>
      <c r="AK250">
        <v>0</v>
      </c>
      <c r="AL250">
        <v>0</v>
      </c>
      <c r="AM250">
        <v>0</v>
      </c>
      <c r="AN250">
        <v>0</v>
      </c>
      <c r="AO250" s="1">
        <v>0</v>
      </c>
    </row>
    <row r="251" spans="7:41" x14ac:dyDescent="0.35">
      <c r="G251">
        <v>249</v>
      </c>
      <c r="H251">
        <v>0</v>
      </c>
      <c r="I251">
        <v>0</v>
      </c>
      <c r="J251">
        <v>0</v>
      </c>
      <c r="K251">
        <v>0</v>
      </c>
      <c r="L251">
        <v>2</v>
      </c>
      <c r="M251" s="1">
        <v>120</v>
      </c>
      <c r="N251">
        <v>249</v>
      </c>
      <c r="O251">
        <v>0</v>
      </c>
      <c r="P251">
        <v>0</v>
      </c>
      <c r="Q251">
        <v>1</v>
      </c>
      <c r="R251">
        <v>0</v>
      </c>
      <c r="S251">
        <v>0</v>
      </c>
      <c r="T251" s="1">
        <v>80</v>
      </c>
      <c r="U251">
        <v>249</v>
      </c>
      <c r="V251">
        <v>1</v>
      </c>
      <c r="W251">
        <v>0</v>
      </c>
      <c r="X251">
        <v>0</v>
      </c>
      <c r="Y251">
        <v>0</v>
      </c>
      <c r="Z251">
        <v>0</v>
      </c>
      <c r="AA251" s="1">
        <v>100</v>
      </c>
      <c r="AB251">
        <v>249</v>
      </c>
      <c r="AC251">
        <v>0</v>
      </c>
      <c r="AD251">
        <v>0</v>
      </c>
      <c r="AE251">
        <v>0</v>
      </c>
      <c r="AF251">
        <v>0</v>
      </c>
      <c r="AG251">
        <v>1</v>
      </c>
      <c r="AH251" s="1">
        <v>120</v>
      </c>
      <c r="AI251">
        <v>249</v>
      </c>
      <c r="AJ251">
        <v>0</v>
      </c>
      <c r="AK251">
        <v>0</v>
      </c>
      <c r="AL251">
        <v>1</v>
      </c>
      <c r="AM251">
        <v>0</v>
      </c>
      <c r="AN251">
        <v>0</v>
      </c>
      <c r="AO251" s="1">
        <v>150</v>
      </c>
    </row>
    <row r="252" spans="7:41" x14ac:dyDescent="0.35">
      <c r="G252">
        <v>250</v>
      </c>
      <c r="H252">
        <v>0</v>
      </c>
      <c r="I252">
        <v>0</v>
      </c>
      <c r="J252">
        <v>1</v>
      </c>
      <c r="K252">
        <v>0</v>
      </c>
      <c r="L252">
        <v>1</v>
      </c>
      <c r="M252" s="1">
        <v>120</v>
      </c>
      <c r="N252">
        <v>250</v>
      </c>
      <c r="O252">
        <v>1</v>
      </c>
      <c r="P252">
        <v>1</v>
      </c>
      <c r="Q252">
        <v>0</v>
      </c>
      <c r="R252">
        <v>0</v>
      </c>
      <c r="S252">
        <v>0</v>
      </c>
      <c r="T252" s="1">
        <v>160</v>
      </c>
      <c r="U252">
        <v>250</v>
      </c>
      <c r="V252">
        <v>0</v>
      </c>
      <c r="W252">
        <v>0</v>
      </c>
      <c r="X252">
        <v>0</v>
      </c>
      <c r="Y252">
        <v>0</v>
      </c>
      <c r="Z252">
        <v>0</v>
      </c>
      <c r="AA252" s="1">
        <v>0</v>
      </c>
      <c r="AB252">
        <v>250</v>
      </c>
      <c r="AC252">
        <v>0</v>
      </c>
      <c r="AD252">
        <v>0</v>
      </c>
      <c r="AE252">
        <v>0</v>
      </c>
      <c r="AF252">
        <v>0</v>
      </c>
      <c r="AG252">
        <v>0</v>
      </c>
      <c r="AH252" s="1">
        <v>0</v>
      </c>
      <c r="AI252">
        <v>250</v>
      </c>
      <c r="AJ252">
        <v>0</v>
      </c>
      <c r="AK252">
        <v>0</v>
      </c>
      <c r="AL252">
        <v>0</v>
      </c>
      <c r="AM252">
        <v>0</v>
      </c>
      <c r="AN252">
        <v>0</v>
      </c>
      <c r="AO252" s="1">
        <v>0</v>
      </c>
    </row>
    <row r="253" spans="7:41" x14ac:dyDescent="0.35">
      <c r="G253">
        <v>251</v>
      </c>
      <c r="H253">
        <v>0</v>
      </c>
      <c r="I253">
        <v>1</v>
      </c>
      <c r="J253">
        <v>1</v>
      </c>
      <c r="K253">
        <v>2</v>
      </c>
      <c r="L253">
        <v>0</v>
      </c>
      <c r="M253" s="1">
        <v>240</v>
      </c>
      <c r="N253">
        <v>251</v>
      </c>
      <c r="O253">
        <v>0</v>
      </c>
      <c r="P253">
        <v>0</v>
      </c>
      <c r="Q253">
        <v>1</v>
      </c>
      <c r="R253">
        <v>2</v>
      </c>
      <c r="S253">
        <v>0</v>
      </c>
      <c r="T253" s="1">
        <v>240</v>
      </c>
      <c r="U253">
        <v>251</v>
      </c>
      <c r="V253">
        <v>0</v>
      </c>
      <c r="W253">
        <v>0</v>
      </c>
      <c r="X253">
        <v>0</v>
      </c>
      <c r="Y253">
        <v>0</v>
      </c>
      <c r="Z253">
        <v>0</v>
      </c>
      <c r="AA253" s="1">
        <v>0</v>
      </c>
      <c r="AB253">
        <v>251</v>
      </c>
      <c r="AC253">
        <v>0</v>
      </c>
      <c r="AD253">
        <v>0</v>
      </c>
      <c r="AE253">
        <v>0</v>
      </c>
      <c r="AF253">
        <v>0</v>
      </c>
      <c r="AG253">
        <v>0</v>
      </c>
      <c r="AH253" s="1">
        <v>0</v>
      </c>
      <c r="AI253">
        <v>251</v>
      </c>
      <c r="AJ253">
        <v>0</v>
      </c>
      <c r="AK253">
        <v>0</v>
      </c>
      <c r="AL253">
        <v>2</v>
      </c>
      <c r="AM253">
        <v>0</v>
      </c>
      <c r="AN253">
        <v>0</v>
      </c>
      <c r="AO253" s="1">
        <v>300</v>
      </c>
    </row>
    <row r="254" spans="7:41" x14ac:dyDescent="0.35">
      <c r="G254">
        <v>252</v>
      </c>
      <c r="H254">
        <v>0</v>
      </c>
      <c r="I254">
        <v>0</v>
      </c>
      <c r="J254">
        <v>0</v>
      </c>
      <c r="K254">
        <v>2</v>
      </c>
      <c r="L254">
        <v>4</v>
      </c>
      <c r="M254" s="1">
        <v>360</v>
      </c>
      <c r="N254">
        <v>252</v>
      </c>
      <c r="O254">
        <v>0</v>
      </c>
      <c r="P254">
        <v>0</v>
      </c>
      <c r="Q254">
        <v>0</v>
      </c>
      <c r="R254">
        <v>0</v>
      </c>
      <c r="S254">
        <v>0</v>
      </c>
      <c r="T254" s="1">
        <v>0</v>
      </c>
      <c r="U254">
        <v>252</v>
      </c>
      <c r="V254">
        <v>0</v>
      </c>
      <c r="W254">
        <v>0</v>
      </c>
      <c r="X254">
        <v>0</v>
      </c>
      <c r="Y254">
        <v>0</v>
      </c>
      <c r="Z254">
        <v>0</v>
      </c>
      <c r="AA254" s="1">
        <v>0</v>
      </c>
      <c r="AB254">
        <v>252</v>
      </c>
      <c r="AC254">
        <v>0</v>
      </c>
      <c r="AD254">
        <v>0</v>
      </c>
      <c r="AE254">
        <v>0</v>
      </c>
      <c r="AF254">
        <v>1</v>
      </c>
      <c r="AG254">
        <v>0</v>
      </c>
      <c r="AH254" s="1">
        <v>120</v>
      </c>
      <c r="AI254">
        <v>252</v>
      </c>
      <c r="AJ254">
        <v>0</v>
      </c>
      <c r="AK254">
        <v>0</v>
      </c>
      <c r="AL254">
        <v>2</v>
      </c>
      <c r="AM254">
        <v>0</v>
      </c>
      <c r="AN254">
        <v>0</v>
      </c>
      <c r="AO254" s="1">
        <v>300</v>
      </c>
    </row>
    <row r="255" spans="7:41" x14ac:dyDescent="0.35">
      <c r="G255">
        <v>253</v>
      </c>
      <c r="H255">
        <v>0</v>
      </c>
      <c r="I255">
        <v>1</v>
      </c>
      <c r="J255">
        <v>1</v>
      </c>
      <c r="K255">
        <v>0</v>
      </c>
      <c r="L255">
        <v>0</v>
      </c>
      <c r="M255" s="1">
        <v>120</v>
      </c>
      <c r="N255">
        <v>253</v>
      </c>
      <c r="O255">
        <v>1</v>
      </c>
      <c r="P255">
        <v>1</v>
      </c>
      <c r="Q255">
        <v>0</v>
      </c>
      <c r="R255">
        <v>0</v>
      </c>
      <c r="S255">
        <v>0</v>
      </c>
      <c r="T255" s="1">
        <v>160</v>
      </c>
      <c r="U255">
        <v>253</v>
      </c>
      <c r="V255">
        <v>0</v>
      </c>
      <c r="W255">
        <v>3</v>
      </c>
      <c r="X255">
        <v>0</v>
      </c>
      <c r="Y255">
        <v>0</v>
      </c>
      <c r="Z255">
        <v>1</v>
      </c>
      <c r="AA255" s="1">
        <v>400</v>
      </c>
      <c r="AB255">
        <v>253</v>
      </c>
      <c r="AC255">
        <v>0</v>
      </c>
      <c r="AD255">
        <v>0</v>
      </c>
      <c r="AE255">
        <v>0</v>
      </c>
      <c r="AF255">
        <v>0</v>
      </c>
      <c r="AG255">
        <v>0</v>
      </c>
      <c r="AH255" s="1">
        <v>0</v>
      </c>
      <c r="AI255">
        <v>253</v>
      </c>
      <c r="AJ255">
        <v>0</v>
      </c>
      <c r="AK255">
        <v>0</v>
      </c>
      <c r="AL255">
        <v>0</v>
      </c>
      <c r="AM255">
        <v>0</v>
      </c>
      <c r="AN255">
        <v>0</v>
      </c>
      <c r="AO255" s="1">
        <v>0</v>
      </c>
    </row>
    <row r="256" spans="7:41" x14ac:dyDescent="0.35">
      <c r="G256">
        <v>254</v>
      </c>
      <c r="H256">
        <v>2</v>
      </c>
      <c r="I256">
        <v>0</v>
      </c>
      <c r="J256">
        <v>1</v>
      </c>
      <c r="K256">
        <v>2</v>
      </c>
      <c r="L256">
        <v>2</v>
      </c>
      <c r="M256" s="1">
        <v>420</v>
      </c>
      <c r="N256">
        <v>254</v>
      </c>
      <c r="O256">
        <v>0</v>
      </c>
      <c r="P256">
        <v>2</v>
      </c>
      <c r="Q256">
        <v>0</v>
      </c>
      <c r="R256">
        <v>0</v>
      </c>
      <c r="S256">
        <v>0</v>
      </c>
      <c r="T256" s="1">
        <v>160</v>
      </c>
      <c r="U256">
        <v>254</v>
      </c>
      <c r="V256">
        <v>0</v>
      </c>
      <c r="W256">
        <v>2</v>
      </c>
      <c r="X256">
        <v>0</v>
      </c>
      <c r="Y256">
        <v>0</v>
      </c>
      <c r="Z256">
        <v>0</v>
      </c>
      <c r="AA256" s="1">
        <v>200</v>
      </c>
      <c r="AB256">
        <v>254</v>
      </c>
      <c r="AC256">
        <v>0</v>
      </c>
      <c r="AD256">
        <v>0</v>
      </c>
      <c r="AE256">
        <v>0</v>
      </c>
      <c r="AF256">
        <v>0</v>
      </c>
      <c r="AG256">
        <v>0</v>
      </c>
      <c r="AH256" s="1">
        <v>0</v>
      </c>
      <c r="AI256">
        <v>254</v>
      </c>
      <c r="AJ256">
        <v>0</v>
      </c>
      <c r="AK256">
        <v>0</v>
      </c>
      <c r="AL256">
        <v>0</v>
      </c>
      <c r="AM256">
        <v>0</v>
      </c>
      <c r="AN256">
        <v>0</v>
      </c>
      <c r="AO256" s="1">
        <v>0</v>
      </c>
    </row>
    <row r="257" spans="7:41" x14ac:dyDescent="0.35">
      <c r="G257">
        <v>255</v>
      </c>
      <c r="H257">
        <v>0</v>
      </c>
      <c r="I257">
        <v>1</v>
      </c>
      <c r="J257">
        <v>2</v>
      </c>
      <c r="K257">
        <v>0</v>
      </c>
      <c r="L257">
        <v>0</v>
      </c>
      <c r="M257" s="1">
        <v>180</v>
      </c>
      <c r="N257">
        <v>255</v>
      </c>
      <c r="O257">
        <v>1</v>
      </c>
      <c r="P257">
        <v>0</v>
      </c>
      <c r="Q257">
        <v>0</v>
      </c>
      <c r="R257">
        <v>0</v>
      </c>
      <c r="S257">
        <v>0</v>
      </c>
      <c r="T257" s="1">
        <v>80</v>
      </c>
      <c r="U257">
        <v>255</v>
      </c>
      <c r="V257">
        <v>0</v>
      </c>
      <c r="W257">
        <v>1</v>
      </c>
      <c r="X257">
        <v>0</v>
      </c>
      <c r="Y257">
        <v>0</v>
      </c>
      <c r="Z257">
        <v>0</v>
      </c>
      <c r="AA257" s="1">
        <v>100</v>
      </c>
      <c r="AB257">
        <v>255</v>
      </c>
      <c r="AC257">
        <v>0</v>
      </c>
      <c r="AD257">
        <v>1</v>
      </c>
      <c r="AE257">
        <v>0</v>
      </c>
      <c r="AF257">
        <v>0</v>
      </c>
      <c r="AG257">
        <v>0</v>
      </c>
      <c r="AH257" s="1">
        <v>120</v>
      </c>
      <c r="AI257">
        <v>255</v>
      </c>
      <c r="AJ257">
        <v>0</v>
      </c>
      <c r="AK257">
        <v>0</v>
      </c>
      <c r="AL257">
        <v>0</v>
      </c>
      <c r="AM257">
        <v>0</v>
      </c>
      <c r="AN257">
        <v>0</v>
      </c>
      <c r="AO257" s="1">
        <v>0</v>
      </c>
    </row>
    <row r="258" spans="7:41" x14ac:dyDescent="0.35">
      <c r="G258">
        <v>256</v>
      </c>
      <c r="H258">
        <v>0</v>
      </c>
      <c r="I258">
        <v>2</v>
      </c>
      <c r="J258">
        <v>1</v>
      </c>
      <c r="K258">
        <v>0</v>
      </c>
      <c r="L258">
        <v>0</v>
      </c>
      <c r="M258" s="1">
        <v>180</v>
      </c>
      <c r="N258">
        <v>256</v>
      </c>
      <c r="O258">
        <v>0</v>
      </c>
      <c r="P258">
        <v>0</v>
      </c>
      <c r="Q258">
        <v>0</v>
      </c>
      <c r="R258">
        <v>0</v>
      </c>
      <c r="S258">
        <v>0</v>
      </c>
      <c r="T258" s="1">
        <v>0</v>
      </c>
      <c r="U258">
        <v>256</v>
      </c>
      <c r="V258">
        <v>0</v>
      </c>
      <c r="W258">
        <v>0</v>
      </c>
      <c r="X258">
        <v>0</v>
      </c>
      <c r="Y258">
        <v>0</v>
      </c>
      <c r="Z258">
        <v>0</v>
      </c>
      <c r="AA258" s="1">
        <v>0</v>
      </c>
      <c r="AB258">
        <v>256</v>
      </c>
      <c r="AC258">
        <v>0</v>
      </c>
      <c r="AD258">
        <v>0</v>
      </c>
      <c r="AE258">
        <v>0</v>
      </c>
      <c r="AF258">
        <v>0</v>
      </c>
      <c r="AG258">
        <v>0</v>
      </c>
      <c r="AH258" s="1">
        <v>0</v>
      </c>
      <c r="AI258">
        <v>256</v>
      </c>
      <c r="AJ258">
        <v>0</v>
      </c>
      <c r="AK258">
        <v>0</v>
      </c>
      <c r="AL258">
        <v>1</v>
      </c>
      <c r="AM258">
        <v>0</v>
      </c>
      <c r="AN258">
        <v>0</v>
      </c>
      <c r="AO258" s="1">
        <v>150</v>
      </c>
    </row>
    <row r="259" spans="7:41" x14ac:dyDescent="0.35">
      <c r="G259">
        <v>257</v>
      </c>
      <c r="H259">
        <v>0</v>
      </c>
      <c r="I259">
        <v>0</v>
      </c>
      <c r="J259">
        <v>1</v>
      </c>
      <c r="K259">
        <v>2</v>
      </c>
      <c r="L259">
        <v>2</v>
      </c>
      <c r="M259" s="1">
        <v>300</v>
      </c>
      <c r="N259">
        <v>257</v>
      </c>
      <c r="O259">
        <v>0</v>
      </c>
      <c r="P259">
        <v>0</v>
      </c>
      <c r="Q259">
        <v>1</v>
      </c>
      <c r="R259">
        <v>0</v>
      </c>
      <c r="S259">
        <v>0</v>
      </c>
      <c r="T259" s="1">
        <v>80</v>
      </c>
      <c r="U259">
        <v>257</v>
      </c>
      <c r="V259">
        <v>0</v>
      </c>
      <c r="W259">
        <v>2</v>
      </c>
      <c r="X259">
        <v>0</v>
      </c>
      <c r="Y259">
        <v>2</v>
      </c>
      <c r="Z259">
        <v>1</v>
      </c>
      <c r="AA259" s="1">
        <v>500</v>
      </c>
      <c r="AB259">
        <v>257</v>
      </c>
      <c r="AC259">
        <v>0</v>
      </c>
      <c r="AD259">
        <v>0</v>
      </c>
      <c r="AE259">
        <v>0</v>
      </c>
      <c r="AF259">
        <v>0</v>
      </c>
      <c r="AG259">
        <v>0</v>
      </c>
      <c r="AH259" s="1">
        <v>0</v>
      </c>
      <c r="AI259">
        <v>257</v>
      </c>
      <c r="AJ259">
        <v>0</v>
      </c>
      <c r="AK259">
        <v>0</v>
      </c>
      <c r="AL259">
        <v>0</v>
      </c>
      <c r="AM259">
        <v>0</v>
      </c>
      <c r="AN259">
        <v>0</v>
      </c>
      <c r="AO259" s="1">
        <v>0</v>
      </c>
    </row>
    <row r="260" spans="7:41" x14ac:dyDescent="0.35">
      <c r="G260">
        <v>258</v>
      </c>
      <c r="H260">
        <v>0</v>
      </c>
      <c r="I260">
        <v>1</v>
      </c>
      <c r="J260">
        <v>3</v>
      </c>
      <c r="K260">
        <v>0</v>
      </c>
      <c r="L260">
        <v>1</v>
      </c>
      <c r="M260" s="1">
        <v>300</v>
      </c>
      <c r="N260">
        <v>258</v>
      </c>
      <c r="O260">
        <v>0</v>
      </c>
      <c r="P260">
        <v>0</v>
      </c>
      <c r="Q260">
        <v>3</v>
      </c>
      <c r="R260">
        <v>0</v>
      </c>
      <c r="S260">
        <v>0</v>
      </c>
      <c r="T260" s="1">
        <v>240</v>
      </c>
      <c r="U260">
        <v>258</v>
      </c>
      <c r="V260">
        <v>0</v>
      </c>
      <c r="W260">
        <v>1</v>
      </c>
      <c r="X260">
        <v>0</v>
      </c>
      <c r="Y260">
        <v>0</v>
      </c>
      <c r="Z260">
        <v>0</v>
      </c>
      <c r="AA260" s="1">
        <v>100</v>
      </c>
      <c r="AB260">
        <v>258</v>
      </c>
      <c r="AC260">
        <v>0</v>
      </c>
      <c r="AD260">
        <v>1</v>
      </c>
      <c r="AE260">
        <v>0</v>
      </c>
      <c r="AF260">
        <v>0</v>
      </c>
      <c r="AG260">
        <v>0</v>
      </c>
      <c r="AH260" s="1">
        <v>120</v>
      </c>
      <c r="AI260">
        <v>258</v>
      </c>
      <c r="AJ260">
        <v>0</v>
      </c>
      <c r="AK260">
        <v>0</v>
      </c>
      <c r="AL260">
        <v>0</v>
      </c>
      <c r="AM260">
        <v>0</v>
      </c>
      <c r="AN260">
        <v>0</v>
      </c>
      <c r="AO260" s="1">
        <v>0</v>
      </c>
    </row>
    <row r="261" spans="7:41" x14ac:dyDescent="0.35">
      <c r="G261">
        <v>259</v>
      </c>
      <c r="H261">
        <v>0</v>
      </c>
      <c r="I261">
        <v>0</v>
      </c>
      <c r="J261">
        <v>1</v>
      </c>
      <c r="K261">
        <v>0</v>
      </c>
      <c r="L261">
        <v>0</v>
      </c>
      <c r="M261" s="1">
        <v>60</v>
      </c>
      <c r="N261">
        <v>259</v>
      </c>
      <c r="O261">
        <v>0</v>
      </c>
      <c r="P261">
        <v>0</v>
      </c>
      <c r="Q261">
        <v>1</v>
      </c>
      <c r="R261">
        <v>0</v>
      </c>
      <c r="S261">
        <v>0</v>
      </c>
      <c r="T261" s="1">
        <v>80</v>
      </c>
      <c r="U261">
        <v>259</v>
      </c>
      <c r="V261">
        <v>0</v>
      </c>
      <c r="W261">
        <v>1</v>
      </c>
      <c r="X261">
        <v>0</v>
      </c>
      <c r="Y261">
        <v>0</v>
      </c>
      <c r="Z261">
        <v>0</v>
      </c>
      <c r="AA261" s="1">
        <v>100</v>
      </c>
      <c r="AB261">
        <v>259</v>
      </c>
      <c r="AC261">
        <v>0</v>
      </c>
      <c r="AD261">
        <v>0</v>
      </c>
      <c r="AE261">
        <v>0</v>
      </c>
      <c r="AF261">
        <v>0</v>
      </c>
      <c r="AG261">
        <v>0</v>
      </c>
      <c r="AH261" s="1">
        <v>0</v>
      </c>
      <c r="AI261">
        <v>259</v>
      </c>
      <c r="AJ261">
        <v>0</v>
      </c>
      <c r="AK261">
        <v>0</v>
      </c>
      <c r="AL261">
        <v>1</v>
      </c>
      <c r="AM261">
        <v>0</v>
      </c>
      <c r="AN261">
        <v>0</v>
      </c>
      <c r="AO261" s="1">
        <v>150</v>
      </c>
    </row>
    <row r="262" spans="7:41" x14ac:dyDescent="0.35">
      <c r="G262">
        <v>260</v>
      </c>
      <c r="H262">
        <v>0</v>
      </c>
      <c r="I262">
        <v>0</v>
      </c>
      <c r="J262">
        <v>0</v>
      </c>
      <c r="K262">
        <v>0</v>
      </c>
      <c r="L262">
        <v>2</v>
      </c>
      <c r="M262" s="1">
        <v>120</v>
      </c>
      <c r="N262">
        <v>260</v>
      </c>
      <c r="O262">
        <v>0</v>
      </c>
      <c r="P262">
        <v>0</v>
      </c>
      <c r="Q262">
        <v>2</v>
      </c>
      <c r="R262">
        <v>0</v>
      </c>
      <c r="S262">
        <v>0</v>
      </c>
      <c r="T262" s="1">
        <v>160</v>
      </c>
      <c r="U262">
        <v>260</v>
      </c>
      <c r="V262">
        <v>0</v>
      </c>
      <c r="W262">
        <v>0</v>
      </c>
      <c r="X262">
        <v>1</v>
      </c>
      <c r="Y262">
        <v>2</v>
      </c>
      <c r="Z262">
        <v>0</v>
      </c>
      <c r="AA262" s="1">
        <v>300</v>
      </c>
      <c r="AB262">
        <v>260</v>
      </c>
      <c r="AC262">
        <v>0</v>
      </c>
      <c r="AD262">
        <v>0</v>
      </c>
      <c r="AE262">
        <v>0</v>
      </c>
      <c r="AF262">
        <v>0</v>
      </c>
      <c r="AG262">
        <v>0</v>
      </c>
      <c r="AH262" s="1">
        <v>0</v>
      </c>
      <c r="AI262">
        <v>260</v>
      </c>
      <c r="AJ262">
        <v>0</v>
      </c>
      <c r="AK262">
        <v>0</v>
      </c>
      <c r="AL262">
        <v>0</v>
      </c>
      <c r="AM262">
        <v>0</v>
      </c>
      <c r="AN262">
        <v>0</v>
      </c>
      <c r="AO262" s="1">
        <v>0</v>
      </c>
    </row>
    <row r="263" spans="7:41" x14ac:dyDescent="0.35">
      <c r="G263">
        <v>261</v>
      </c>
      <c r="H263">
        <v>0</v>
      </c>
      <c r="I263">
        <v>1</v>
      </c>
      <c r="J263">
        <v>2</v>
      </c>
      <c r="K263">
        <v>0</v>
      </c>
      <c r="L263">
        <v>0</v>
      </c>
      <c r="M263" s="1">
        <v>180</v>
      </c>
      <c r="N263">
        <v>261</v>
      </c>
      <c r="O263">
        <v>0</v>
      </c>
      <c r="P263">
        <v>2</v>
      </c>
      <c r="Q263">
        <v>0</v>
      </c>
      <c r="R263">
        <v>2</v>
      </c>
      <c r="S263">
        <v>1</v>
      </c>
      <c r="T263" s="1">
        <v>400</v>
      </c>
      <c r="U263">
        <v>261</v>
      </c>
      <c r="V263">
        <v>0</v>
      </c>
      <c r="W263">
        <v>0</v>
      </c>
      <c r="X263">
        <v>0</v>
      </c>
      <c r="Y263">
        <v>0</v>
      </c>
      <c r="Z263">
        <v>0</v>
      </c>
      <c r="AA263" s="1">
        <v>0</v>
      </c>
      <c r="AB263">
        <v>261</v>
      </c>
      <c r="AC263">
        <v>0</v>
      </c>
      <c r="AD263">
        <v>0</v>
      </c>
      <c r="AE263">
        <v>0</v>
      </c>
      <c r="AF263">
        <v>0</v>
      </c>
      <c r="AG263">
        <v>0</v>
      </c>
      <c r="AH263" s="1">
        <v>0</v>
      </c>
      <c r="AI263">
        <v>261</v>
      </c>
      <c r="AJ263">
        <v>0</v>
      </c>
      <c r="AK263">
        <v>0</v>
      </c>
      <c r="AL263">
        <v>0</v>
      </c>
      <c r="AM263">
        <v>0</v>
      </c>
      <c r="AN263">
        <v>0</v>
      </c>
      <c r="AO263" s="1">
        <v>0</v>
      </c>
    </row>
    <row r="264" spans="7:41" x14ac:dyDescent="0.35">
      <c r="G264">
        <v>262</v>
      </c>
      <c r="H264">
        <v>1</v>
      </c>
      <c r="I264">
        <v>0</v>
      </c>
      <c r="J264">
        <v>1</v>
      </c>
      <c r="K264">
        <v>2</v>
      </c>
      <c r="L264">
        <v>1</v>
      </c>
      <c r="M264" s="1">
        <v>300</v>
      </c>
      <c r="N264">
        <v>262</v>
      </c>
      <c r="O264">
        <v>0</v>
      </c>
      <c r="P264">
        <v>0</v>
      </c>
      <c r="Q264">
        <v>3</v>
      </c>
      <c r="R264">
        <v>0</v>
      </c>
      <c r="S264">
        <v>0</v>
      </c>
      <c r="T264" s="1">
        <v>240</v>
      </c>
      <c r="U264">
        <v>262</v>
      </c>
      <c r="V264">
        <v>1</v>
      </c>
      <c r="W264">
        <v>1</v>
      </c>
      <c r="X264">
        <v>1</v>
      </c>
      <c r="Y264">
        <v>0</v>
      </c>
      <c r="Z264">
        <v>0</v>
      </c>
      <c r="AA264" s="1">
        <v>300</v>
      </c>
      <c r="AB264">
        <v>262</v>
      </c>
      <c r="AC264">
        <v>0</v>
      </c>
      <c r="AD264">
        <v>0</v>
      </c>
      <c r="AE264">
        <v>0</v>
      </c>
      <c r="AF264">
        <v>0</v>
      </c>
      <c r="AG264">
        <v>0</v>
      </c>
      <c r="AH264" s="1">
        <v>0</v>
      </c>
      <c r="AI264">
        <v>262</v>
      </c>
      <c r="AJ264">
        <v>0</v>
      </c>
      <c r="AK264">
        <v>0</v>
      </c>
      <c r="AL264">
        <v>1</v>
      </c>
      <c r="AM264">
        <v>0</v>
      </c>
      <c r="AN264">
        <v>0</v>
      </c>
      <c r="AO264" s="1">
        <v>150</v>
      </c>
    </row>
    <row r="265" spans="7:41" x14ac:dyDescent="0.35">
      <c r="G265">
        <v>263</v>
      </c>
      <c r="H265">
        <v>0</v>
      </c>
      <c r="I265">
        <v>0</v>
      </c>
      <c r="J265">
        <v>0</v>
      </c>
      <c r="K265">
        <v>0</v>
      </c>
      <c r="L265">
        <v>0</v>
      </c>
      <c r="M265" s="1">
        <v>0</v>
      </c>
      <c r="N265">
        <v>263</v>
      </c>
      <c r="O265">
        <v>0</v>
      </c>
      <c r="P265">
        <v>0</v>
      </c>
      <c r="Q265">
        <v>3</v>
      </c>
      <c r="R265">
        <v>0</v>
      </c>
      <c r="S265">
        <v>0</v>
      </c>
      <c r="T265" s="1">
        <v>240</v>
      </c>
      <c r="U265">
        <v>263</v>
      </c>
      <c r="V265">
        <v>0</v>
      </c>
      <c r="W265">
        <v>0</v>
      </c>
      <c r="X265">
        <v>1</v>
      </c>
      <c r="Y265">
        <v>0</v>
      </c>
      <c r="Z265">
        <v>0</v>
      </c>
      <c r="AA265" s="1">
        <v>100</v>
      </c>
      <c r="AB265">
        <v>263</v>
      </c>
      <c r="AC265">
        <v>1</v>
      </c>
      <c r="AD265">
        <v>0</v>
      </c>
      <c r="AE265">
        <v>0</v>
      </c>
      <c r="AF265">
        <v>0</v>
      </c>
      <c r="AG265">
        <v>0</v>
      </c>
      <c r="AH265" s="1">
        <v>120</v>
      </c>
      <c r="AI265">
        <v>263</v>
      </c>
      <c r="AJ265">
        <v>0</v>
      </c>
      <c r="AK265">
        <v>0</v>
      </c>
      <c r="AL265">
        <v>0</v>
      </c>
      <c r="AM265">
        <v>0</v>
      </c>
      <c r="AN265">
        <v>0</v>
      </c>
      <c r="AO265" s="1">
        <v>0</v>
      </c>
    </row>
    <row r="266" spans="7:41" x14ac:dyDescent="0.35">
      <c r="G266">
        <v>264</v>
      </c>
      <c r="H266">
        <v>0</v>
      </c>
      <c r="I266">
        <v>0</v>
      </c>
      <c r="J266">
        <v>1</v>
      </c>
      <c r="K266">
        <v>0</v>
      </c>
      <c r="L266">
        <v>0</v>
      </c>
      <c r="M266" s="1">
        <v>60</v>
      </c>
      <c r="N266">
        <v>264</v>
      </c>
      <c r="O266">
        <v>2</v>
      </c>
      <c r="P266">
        <v>0</v>
      </c>
      <c r="Q266">
        <v>0</v>
      </c>
      <c r="R266">
        <v>0</v>
      </c>
      <c r="S266">
        <v>1</v>
      </c>
      <c r="T266" s="1">
        <v>240</v>
      </c>
      <c r="U266">
        <v>264</v>
      </c>
      <c r="V266">
        <v>0</v>
      </c>
      <c r="W266">
        <v>2</v>
      </c>
      <c r="X266">
        <v>0</v>
      </c>
      <c r="Y266">
        <v>0</v>
      </c>
      <c r="Z266">
        <v>0</v>
      </c>
      <c r="AA266" s="1">
        <v>200</v>
      </c>
      <c r="AB266">
        <v>264</v>
      </c>
      <c r="AC266">
        <v>0</v>
      </c>
      <c r="AD266">
        <v>1</v>
      </c>
      <c r="AE266">
        <v>0</v>
      </c>
      <c r="AF266">
        <v>0</v>
      </c>
      <c r="AG266">
        <v>0</v>
      </c>
      <c r="AH266" s="1">
        <v>120</v>
      </c>
      <c r="AI266">
        <v>264</v>
      </c>
      <c r="AJ266">
        <v>0</v>
      </c>
      <c r="AK266">
        <v>0</v>
      </c>
      <c r="AL266">
        <v>2</v>
      </c>
      <c r="AM266">
        <v>0</v>
      </c>
      <c r="AN266">
        <v>0</v>
      </c>
      <c r="AO266" s="1">
        <v>300</v>
      </c>
    </row>
    <row r="267" spans="7:41" x14ac:dyDescent="0.35">
      <c r="G267">
        <v>265</v>
      </c>
      <c r="H267">
        <v>3</v>
      </c>
      <c r="I267">
        <v>1</v>
      </c>
      <c r="J267">
        <v>1</v>
      </c>
      <c r="K267">
        <v>1</v>
      </c>
      <c r="L267">
        <v>0</v>
      </c>
      <c r="M267" s="1">
        <v>360</v>
      </c>
      <c r="N267">
        <v>265</v>
      </c>
      <c r="O267">
        <v>1</v>
      </c>
      <c r="P267">
        <v>0</v>
      </c>
      <c r="Q267">
        <v>3</v>
      </c>
      <c r="R267">
        <v>0</v>
      </c>
      <c r="S267">
        <v>0</v>
      </c>
      <c r="T267" s="1">
        <v>320</v>
      </c>
      <c r="U267">
        <v>265</v>
      </c>
      <c r="V267">
        <v>0</v>
      </c>
      <c r="W267">
        <v>1</v>
      </c>
      <c r="X267">
        <v>0</v>
      </c>
      <c r="Y267">
        <v>0</v>
      </c>
      <c r="Z267">
        <v>0</v>
      </c>
      <c r="AA267" s="1">
        <v>100</v>
      </c>
      <c r="AB267">
        <v>265</v>
      </c>
      <c r="AC267">
        <v>0</v>
      </c>
      <c r="AD267">
        <v>1</v>
      </c>
      <c r="AE267">
        <v>0</v>
      </c>
      <c r="AF267">
        <v>0</v>
      </c>
      <c r="AG267">
        <v>0</v>
      </c>
      <c r="AH267" s="1">
        <v>120</v>
      </c>
      <c r="AI267">
        <v>265</v>
      </c>
      <c r="AJ267">
        <v>0</v>
      </c>
      <c r="AK267">
        <v>0</v>
      </c>
      <c r="AL267">
        <v>1</v>
      </c>
      <c r="AM267">
        <v>0</v>
      </c>
      <c r="AN267">
        <v>0</v>
      </c>
      <c r="AO267" s="1">
        <v>150</v>
      </c>
    </row>
    <row r="268" spans="7:41" x14ac:dyDescent="0.35">
      <c r="G268">
        <v>266</v>
      </c>
      <c r="H268">
        <v>0</v>
      </c>
      <c r="I268">
        <v>0</v>
      </c>
      <c r="J268">
        <v>1</v>
      </c>
      <c r="K268">
        <v>0</v>
      </c>
      <c r="L268">
        <v>1</v>
      </c>
      <c r="M268" s="1">
        <v>120</v>
      </c>
      <c r="N268">
        <v>266</v>
      </c>
      <c r="O268">
        <v>0</v>
      </c>
      <c r="P268">
        <v>0</v>
      </c>
      <c r="Q268">
        <v>2</v>
      </c>
      <c r="R268">
        <v>0</v>
      </c>
      <c r="S268">
        <v>0</v>
      </c>
      <c r="T268" s="1">
        <v>160</v>
      </c>
      <c r="U268">
        <v>266</v>
      </c>
      <c r="V268">
        <v>0</v>
      </c>
      <c r="W268">
        <v>1</v>
      </c>
      <c r="X268">
        <v>0</v>
      </c>
      <c r="Y268">
        <v>0</v>
      </c>
      <c r="Z268">
        <v>0</v>
      </c>
      <c r="AA268" s="1">
        <v>100</v>
      </c>
      <c r="AB268">
        <v>266</v>
      </c>
      <c r="AC268">
        <v>0</v>
      </c>
      <c r="AD268">
        <v>0</v>
      </c>
      <c r="AE268">
        <v>0</v>
      </c>
      <c r="AF268">
        <v>0</v>
      </c>
      <c r="AG268">
        <v>0</v>
      </c>
      <c r="AH268" s="1">
        <v>0</v>
      </c>
      <c r="AI268">
        <v>266</v>
      </c>
      <c r="AJ268">
        <v>0</v>
      </c>
      <c r="AK268">
        <v>0</v>
      </c>
      <c r="AL268">
        <v>0</v>
      </c>
      <c r="AM268">
        <v>0</v>
      </c>
      <c r="AN268">
        <v>0</v>
      </c>
      <c r="AO268" s="1">
        <v>0</v>
      </c>
    </row>
    <row r="269" spans="7:41" x14ac:dyDescent="0.35">
      <c r="G269">
        <v>267</v>
      </c>
      <c r="H269">
        <v>0</v>
      </c>
      <c r="I269">
        <v>2</v>
      </c>
      <c r="J269">
        <v>4</v>
      </c>
      <c r="K269">
        <v>1</v>
      </c>
      <c r="L269">
        <v>2</v>
      </c>
      <c r="M269" s="1">
        <v>540</v>
      </c>
      <c r="N269">
        <v>267</v>
      </c>
      <c r="O269">
        <v>0</v>
      </c>
      <c r="P269">
        <v>0</v>
      </c>
      <c r="Q269">
        <v>1</v>
      </c>
      <c r="R269">
        <v>0</v>
      </c>
      <c r="S269">
        <v>0</v>
      </c>
      <c r="T269" s="1">
        <v>80</v>
      </c>
      <c r="U269">
        <v>267</v>
      </c>
      <c r="V269">
        <v>0</v>
      </c>
      <c r="W269">
        <v>2</v>
      </c>
      <c r="X269">
        <v>0</v>
      </c>
      <c r="Y269">
        <v>0</v>
      </c>
      <c r="Z269">
        <v>0</v>
      </c>
      <c r="AA269" s="1">
        <v>200</v>
      </c>
      <c r="AB269">
        <v>267</v>
      </c>
      <c r="AC269">
        <v>0</v>
      </c>
      <c r="AD269">
        <v>0</v>
      </c>
      <c r="AE269">
        <v>0</v>
      </c>
      <c r="AF269">
        <v>0</v>
      </c>
      <c r="AG269">
        <v>0</v>
      </c>
      <c r="AH269" s="1">
        <v>0</v>
      </c>
      <c r="AI269">
        <v>267</v>
      </c>
      <c r="AJ269">
        <v>0</v>
      </c>
      <c r="AK269">
        <v>0</v>
      </c>
      <c r="AL269">
        <v>0</v>
      </c>
      <c r="AM269">
        <v>0</v>
      </c>
      <c r="AN269">
        <v>0</v>
      </c>
      <c r="AO269" s="1">
        <v>0</v>
      </c>
    </row>
    <row r="270" spans="7:41" x14ac:dyDescent="0.35">
      <c r="G270">
        <v>268</v>
      </c>
      <c r="H270">
        <v>0</v>
      </c>
      <c r="I270">
        <v>0</v>
      </c>
      <c r="J270">
        <v>0</v>
      </c>
      <c r="K270">
        <v>0</v>
      </c>
      <c r="L270">
        <v>1</v>
      </c>
      <c r="M270" s="1">
        <v>60</v>
      </c>
      <c r="N270">
        <v>268</v>
      </c>
      <c r="O270">
        <v>0</v>
      </c>
      <c r="P270">
        <v>0</v>
      </c>
      <c r="Q270">
        <v>0</v>
      </c>
      <c r="R270">
        <v>0</v>
      </c>
      <c r="S270">
        <v>0</v>
      </c>
      <c r="T270" s="1">
        <v>0</v>
      </c>
      <c r="U270">
        <v>268</v>
      </c>
      <c r="V270">
        <v>0</v>
      </c>
      <c r="W270">
        <v>1</v>
      </c>
      <c r="X270">
        <v>0</v>
      </c>
      <c r="Y270">
        <v>0</v>
      </c>
      <c r="Z270">
        <v>1</v>
      </c>
      <c r="AA270" s="1">
        <v>200</v>
      </c>
      <c r="AB270">
        <v>268</v>
      </c>
      <c r="AC270">
        <v>0</v>
      </c>
      <c r="AD270">
        <v>0</v>
      </c>
      <c r="AE270">
        <v>0</v>
      </c>
      <c r="AF270">
        <v>0</v>
      </c>
      <c r="AG270">
        <v>0</v>
      </c>
      <c r="AH270" s="1">
        <v>0</v>
      </c>
      <c r="AI270">
        <v>268</v>
      </c>
      <c r="AJ270">
        <v>0</v>
      </c>
      <c r="AK270">
        <v>0</v>
      </c>
      <c r="AL270">
        <v>1</v>
      </c>
      <c r="AM270">
        <v>0</v>
      </c>
      <c r="AN270">
        <v>0</v>
      </c>
      <c r="AO270" s="1">
        <v>150</v>
      </c>
    </row>
    <row r="271" spans="7:41" x14ac:dyDescent="0.35">
      <c r="G271">
        <v>269</v>
      </c>
      <c r="H271">
        <v>1</v>
      </c>
      <c r="I271">
        <v>3</v>
      </c>
      <c r="J271">
        <v>2</v>
      </c>
      <c r="K271">
        <v>4</v>
      </c>
      <c r="L271">
        <v>0</v>
      </c>
      <c r="M271" s="1">
        <v>600</v>
      </c>
      <c r="N271">
        <v>269</v>
      </c>
      <c r="O271">
        <v>0</v>
      </c>
      <c r="P271">
        <v>1</v>
      </c>
      <c r="Q271">
        <v>0</v>
      </c>
      <c r="R271">
        <v>1</v>
      </c>
      <c r="S271">
        <v>0</v>
      </c>
      <c r="T271" s="1">
        <v>160</v>
      </c>
      <c r="U271">
        <v>269</v>
      </c>
      <c r="V271">
        <v>1</v>
      </c>
      <c r="W271">
        <v>1</v>
      </c>
      <c r="X271">
        <v>0</v>
      </c>
      <c r="Y271">
        <v>0</v>
      </c>
      <c r="Z271">
        <v>0</v>
      </c>
      <c r="AA271" s="1">
        <v>200</v>
      </c>
      <c r="AB271">
        <v>269</v>
      </c>
      <c r="AC271">
        <v>0</v>
      </c>
      <c r="AD271">
        <v>0</v>
      </c>
      <c r="AE271">
        <v>0</v>
      </c>
      <c r="AF271">
        <v>0</v>
      </c>
      <c r="AG271">
        <v>0</v>
      </c>
      <c r="AH271" s="1">
        <v>0</v>
      </c>
      <c r="AI271">
        <v>269</v>
      </c>
      <c r="AJ271">
        <v>0</v>
      </c>
      <c r="AK271">
        <v>0</v>
      </c>
      <c r="AL271">
        <v>3</v>
      </c>
      <c r="AM271">
        <v>0</v>
      </c>
      <c r="AN271">
        <v>0</v>
      </c>
      <c r="AO271" s="1">
        <v>450</v>
      </c>
    </row>
    <row r="272" spans="7:41" x14ac:dyDescent="0.35">
      <c r="G272">
        <v>270</v>
      </c>
      <c r="H272">
        <v>0</v>
      </c>
      <c r="I272">
        <v>0</v>
      </c>
      <c r="J272">
        <v>0</v>
      </c>
      <c r="K272">
        <v>0</v>
      </c>
      <c r="L272">
        <v>0</v>
      </c>
      <c r="M272" s="1">
        <v>0</v>
      </c>
      <c r="N272">
        <v>270</v>
      </c>
      <c r="O272">
        <v>2</v>
      </c>
      <c r="P272">
        <v>0</v>
      </c>
      <c r="Q272">
        <v>0</v>
      </c>
      <c r="R272">
        <v>0</v>
      </c>
      <c r="S272">
        <v>0</v>
      </c>
      <c r="T272" s="1">
        <v>160</v>
      </c>
      <c r="U272">
        <v>270</v>
      </c>
      <c r="V272">
        <v>0</v>
      </c>
      <c r="W272">
        <v>0</v>
      </c>
      <c r="X272">
        <v>0</v>
      </c>
      <c r="Y272">
        <v>1</v>
      </c>
      <c r="Z272">
        <v>0</v>
      </c>
      <c r="AA272" s="1">
        <v>100</v>
      </c>
      <c r="AB272">
        <v>270</v>
      </c>
      <c r="AC272">
        <v>0</v>
      </c>
      <c r="AD272">
        <v>0</v>
      </c>
      <c r="AE272">
        <v>0</v>
      </c>
      <c r="AF272">
        <v>0</v>
      </c>
      <c r="AG272">
        <v>0</v>
      </c>
      <c r="AH272" s="1">
        <v>0</v>
      </c>
      <c r="AI272">
        <v>270</v>
      </c>
      <c r="AJ272">
        <v>0</v>
      </c>
      <c r="AK272">
        <v>0</v>
      </c>
      <c r="AL272">
        <v>0</v>
      </c>
      <c r="AM272">
        <v>0</v>
      </c>
      <c r="AN272">
        <v>0</v>
      </c>
      <c r="AO272" s="1">
        <v>0</v>
      </c>
    </row>
    <row r="273" spans="7:41" x14ac:dyDescent="0.35">
      <c r="G273">
        <v>271</v>
      </c>
      <c r="H273">
        <v>0</v>
      </c>
      <c r="I273">
        <v>0</v>
      </c>
      <c r="J273">
        <v>0</v>
      </c>
      <c r="K273">
        <v>2</v>
      </c>
      <c r="L273">
        <v>0</v>
      </c>
      <c r="M273" s="1">
        <v>120</v>
      </c>
      <c r="N273">
        <v>271</v>
      </c>
      <c r="O273">
        <v>0</v>
      </c>
      <c r="P273">
        <v>0</v>
      </c>
      <c r="Q273">
        <v>0</v>
      </c>
      <c r="R273">
        <v>0</v>
      </c>
      <c r="S273">
        <v>0</v>
      </c>
      <c r="T273" s="1">
        <v>0</v>
      </c>
      <c r="U273">
        <v>271</v>
      </c>
      <c r="V273">
        <v>0</v>
      </c>
      <c r="W273">
        <v>0</v>
      </c>
      <c r="X273">
        <v>0</v>
      </c>
      <c r="Y273">
        <v>0</v>
      </c>
      <c r="Z273">
        <v>0</v>
      </c>
      <c r="AA273" s="1">
        <v>0</v>
      </c>
      <c r="AB273">
        <v>271</v>
      </c>
      <c r="AC273">
        <v>1</v>
      </c>
      <c r="AD273">
        <v>0</v>
      </c>
      <c r="AE273">
        <v>0</v>
      </c>
      <c r="AF273">
        <v>0</v>
      </c>
      <c r="AG273">
        <v>0</v>
      </c>
      <c r="AH273" s="1">
        <v>120</v>
      </c>
      <c r="AI273">
        <v>271</v>
      </c>
      <c r="AJ273">
        <v>0</v>
      </c>
      <c r="AK273">
        <v>0</v>
      </c>
      <c r="AL273">
        <v>0</v>
      </c>
      <c r="AM273">
        <v>0</v>
      </c>
      <c r="AN273">
        <v>0</v>
      </c>
      <c r="AO273" s="1">
        <v>0</v>
      </c>
    </row>
    <row r="274" spans="7:41" x14ac:dyDescent="0.35">
      <c r="G274">
        <v>272</v>
      </c>
      <c r="H274">
        <v>0</v>
      </c>
      <c r="I274">
        <v>1</v>
      </c>
      <c r="J274">
        <v>0</v>
      </c>
      <c r="K274">
        <v>0</v>
      </c>
      <c r="L274">
        <v>0</v>
      </c>
      <c r="M274" s="1">
        <v>60</v>
      </c>
      <c r="N274">
        <v>272</v>
      </c>
      <c r="O274">
        <v>0</v>
      </c>
      <c r="P274">
        <v>0</v>
      </c>
      <c r="Q274">
        <v>0</v>
      </c>
      <c r="R274">
        <v>2</v>
      </c>
      <c r="S274">
        <v>1</v>
      </c>
      <c r="T274" s="1">
        <v>240</v>
      </c>
      <c r="U274">
        <v>272</v>
      </c>
      <c r="V274">
        <v>1</v>
      </c>
      <c r="W274">
        <v>1</v>
      </c>
      <c r="X274">
        <v>0</v>
      </c>
      <c r="Y274">
        <v>0</v>
      </c>
      <c r="Z274">
        <v>0</v>
      </c>
      <c r="AA274" s="1">
        <v>200</v>
      </c>
      <c r="AB274">
        <v>272</v>
      </c>
      <c r="AC274">
        <v>0</v>
      </c>
      <c r="AD274">
        <v>0</v>
      </c>
      <c r="AE274">
        <v>0</v>
      </c>
      <c r="AF274">
        <v>0</v>
      </c>
      <c r="AG274">
        <v>0</v>
      </c>
      <c r="AH274" s="1">
        <v>0</v>
      </c>
      <c r="AI274">
        <v>272</v>
      </c>
      <c r="AJ274">
        <v>0</v>
      </c>
      <c r="AK274">
        <v>0</v>
      </c>
      <c r="AL274">
        <v>2</v>
      </c>
      <c r="AM274">
        <v>0</v>
      </c>
      <c r="AN274">
        <v>0</v>
      </c>
      <c r="AO274" s="1">
        <v>300</v>
      </c>
    </row>
    <row r="275" spans="7:41" x14ac:dyDescent="0.35">
      <c r="G275">
        <v>273</v>
      </c>
      <c r="H275">
        <v>0</v>
      </c>
      <c r="I275">
        <v>0</v>
      </c>
      <c r="J275">
        <v>3</v>
      </c>
      <c r="K275">
        <v>4</v>
      </c>
      <c r="L275">
        <v>0</v>
      </c>
      <c r="M275" s="1">
        <v>420</v>
      </c>
      <c r="N275">
        <v>273</v>
      </c>
      <c r="O275">
        <v>0</v>
      </c>
      <c r="P275">
        <v>1</v>
      </c>
      <c r="Q275">
        <v>2</v>
      </c>
      <c r="R275">
        <v>0</v>
      </c>
      <c r="S275">
        <v>0</v>
      </c>
      <c r="T275" s="1">
        <v>240</v>
      </c>
      <c r="U275">
        <v>273</v>
      </c>
      <c r="V275">
        <v>0</v>
      </c>
      <c r="W275">
        <v>1</v>
      </c>
      <c r="X275">
        <v>0</v>
      </c>
      <c r="Y275">
        <v>0</v>
      </c>
      <c r="Z275">
        <v>0</v>
      </c>
      <c r="AA275" s="1">
        <v>100</v>
      </c>
      <c r="AB275">
        <v>273</v>
      </c>
      <c r="AC275">
        <v>0</v>
      </c>
      <c r="AD275">
        <v>0</v>
      </c>
      <c r="AE275">
        <v>0</v>
      </c>
      <c r="AF275">
        <v>0</v>
      </c>
      <c r="AG275">
        <v>0</v>
      </c>
      <c r="AH275" s="1">
        <v>0</v>
      </c>
      <c r="AI275">
        <v>273</v>
      </c>
      <c r="AJ275">
        <v>0</v>
      </c>
      <c r="AK275">
        <v>0</v>
      </c>
      <c r="AL275">
        <v>0</v>
      </c>
      <c r="AM275">
        <v>0</v>
      </c>
      <c r="AN275">
        <v>0</v>
      </c>
      <c r="AO275" s="1">
        <v>0</v>
      </c>
    </row>
    <row r="276" spans="7:41" x14ac:dyDescent="0.35">
      <c r="G276">
        <v>274</v>
      </c>
      <c r="H276">
        <v>0</v>
      </c>
      <c r="I276">
        <v>1</v>
      </c>
      <c r="J276">
        <v>1</v>
      </c>
      <c r="K276">
        <v>0</v>
      </c>
      <c r="L276">
        <v>0</v>
      </c>
      <c r="M276" s="1">
        <v>120</v>
      </c>
      <c r="N276">
        <v>274</v>
      </c>
      <c r="O276">
        <v>1</v>
      </c>
      <c r="P276">
        <v>2</v>
      </c>
      <c r="Q276">
        <v>0</v>
      </c>
      <c r="R276">
        <v>0</v>
      </c>
      <c r="S276">
        <v>1</v>
      </c>
      <c r="T276" s="1">
        <v>320</v>
      </c>
      <c r="U276">
        <v>274</v>
      </c>
      <c r="V276">
        <v>0</v>
      </c>
      <c r="W276">
        <v>0</v>
      </c>
      <c r="X276">
        <v>0</v>
      </c>
      <c r="Y276">
        <v>0</v>
      </c>
      <c r="Z276">
        <v>0</v>
      </c>
      <c r="AA276" s="1">
        <v>0</v>
      </c>
      <c r="AB276">
        <v>274</v>
      </c>
      <c r="AC276">
        <v>0</v>
      </c>
      <c r="AD276">
        <v>0</v>
      </c>
      <c r="AE276">
        <v>0</v>
      </c>
      <c r="AF276">
        <v>0</v>
      </c>
      <c r="AG276">
        <v>0</v>
      </c>
      <c r="AH276" s="1">
        <v>0</v>
      </c>
      <c r="AI276">
        <v>274</v>
      </c>
      <c r="AJ276">
        <v>0</v>
      </c>
      <c r="AK276">
        <v>0</v>
      </c>
      <c r="AL276">
        <v>0</v>
      </c>
      <c r="AM276">
        <v>0</v>
      </c>
      <c r="AN276">
        <v>0</v>
      </c>
      <c r="AO276" s="1">
        <v>0</v>
      </c>
    </row>
    <row r="277" spans="7:41" x14ac:dyDescent="0.35">
      <c r="G277">
        <v>275</v>
      </c>
      <c r="H277">
        <v>0</v>
      </c>
      <c r="I277">
        <v>0</v>
      </c>
      <c r="J277">
        <v>0</v>
      </c>
      <c r="K277">
        <v>0</v>
      </c>
      <c r="L277">
        <v>2</v>
      </c>
      <c r="M277" s="1">
        <v>120</v>
      </c>
      <c r="N277">
        <v>275</v>
      </c>
      <c r="O277">
        <v>0</v>
      </c>
      <c r="P277">
        <v>1</v>
      </c>
      <c r="Q277">
        <v>0</v>
      </c>
      <c r="R277">
        <v>0</v>
      </c>
      <c r="S277">
        <v>0</v>
      </c>
      <c r="T277" s="1">
        <v>80</v>
      </c>
      <c r="U277">
        <v>275</v>
      </c>
      <c r="V277">
        <v>0</v>
      </c>
      <c r="W277">
        <v>0</v>
      </c>
      <c r="X277">
        <v>0</v>
      </c>
      <c r="Y277">
        <v>0</v>
      </c>
      <c r="Z277">
        <v>0</v>
      </c>
      <c r="AA277" s="1">
        <v>0</v>
      </c>
      <c r="AB277">
        <v>275</v>
      </c>
      <c r="AC277">
        <v>0</v>
      </c>
      <c r="AD277">
        <v>0</v>
      </c>
      <c r="AE277">
        <v>0</v>
      </c>
      <c r="AF277">
        <v>1</v>
      </c>
      <c r="AG277">
        <v>0</v>
      </c>
      <c r="AH277" s="1">
        <v>120</v>
      </c>
      <c r="AI277">
        <v>275</v>
      </c>
      <c r="AJ277">
        <v>0</v>
      </c>
      <c r="AK277">
        <v>0</v>
      </c>
      <c r="AL277">
        <v>0</v>
      </c>
      <c r="AM277">
        <v>0</v>
      </c>
      <c r="AN277">
        <v>0</v>
      </c>
      <c r="AO277" s="1">
        <v>0</v>
      </c>
    </row>
    <row r="278" spans="7:41" x14ac:dyDescent="0.35">
      <c r="G278">
        <v>276</v>
      </c>
      <c r="H278">
        <v>0</v>
      </c>
      <c r="I278">
        <v>2</v>
      </c>
      <c r="J278">
        <v>2</v>
      </c>
      <c r="K278">
        <v>4</v>
      </c>
      <c r="L278">
        <v>2</v>
      </c>
      <c r="M278" s="1">
        <v>600</v>
      </c>
      <c r="N278">
        <v>276</v>
      </c>
      <c r="O278">
        <v>0</v>
      </c>
      <c r="P278">
        <v>1</v>
      </c>
      <c r="Q278">
        <v>0</v>
      </c>
      <c r="R278">
        <v>1</v>
      </c>
      <c r="S278">
        <v>0</v>
      </c>
      <c r="T278" s="1">
        <v>160</v>
      </c>
      <c r="U278">
        <v>276</v>
      </c>
      <c r="V278">
        <v>0</v>
      </c>
      <c r="W278">
        <v>1</v>
      </c>
      <c r="X278">
        <v>0</v>
      </c>
      <c r="Y278">
        <v>0</v>
      </c>
      <c r="Z278">
        <v>0</v>
      </c>
      <c r="AA278" s="1">
        <v>100</v>
      </c>
      <c r="AB278">
        <v>276</v>
      </c>
      <c r="AC278">
        <v>0</v>
      </c>
      <c r="AD278">
        <v>0</v>
      </c>
      <c r="AE278">
        <v>0</v>
      </c>
      <c r="AF278">
        <v>1</v>
      </c>
      <c r="AG278">
        <v>0</v>
      </c>
      <c r="AH278" s="1">
        <v>120</v>
      </c>
      <c r="AI278">
        <v>276</v>
      </c>
      <c r="AJ278">
        <v>0</v>
      </c>
      <c r="AK278">
        <v>0</v>
      </c>
      <c r="AL278">
        <v>2</v>
      </c>
      <c r="AM278">
        <v>0</v>
      </c>
      <c r="AN278">
        <v>0</v>
      </c>
      <c r="AO278" s="1">
        <v>300</v>
      </c>
    </row>
    <row r="279" spans="7:41" x14ac:dyDescent="0.35">
      <c r="G279">
        <v>277</v>
      </c>
      <c r="H279">
        <v>1</v>
      </c>
      <c r="I279">
        <v>0</v>
      </c>
      <c r="J279">
        <v>1</v>
      </c>
      <c r="K279">
        <v>0</v>
      </c>
      <c r="L279">
        <v>2</v>
      </c>
      <c r="M279" s="1">
        <v>240</v>
      </c>
      <c r="N279">
        <v>277</v>
      </c>
      <c r="O279">
        <v>0</v>
      </c>
      <c r="P279">
        <v>2</v>
      </c>
      <c r="Q279">
        <v>0</v>
      </c>
      <c r="R279">
        <v>0</v>
      </c>
      <c r="S279">
        <v>2</v>
      </c>
      <c r="T279" s="1">
        <v>320</v>
      </c>
      <c r="U279">
        <v>277</v>
      </c>
      <c r="V279">
        <v>0</v>
      </c>
      <c r="W279">
        <v>1</v>
      </c>
      <c r="X279">
        <v>0</v>
      </c>
      <c r="Y279">
        <v>0</v>
      </c>
      <c r="Z279">
        <v>0</v>
      </c>
      <c r="AA279" s="1">
        <v>100</v>
      </c>
      <c r="AB279">
        <v>277</v>
      </c>
      <c r="AC279">
        <v>0</v>
      </c>
      <c r="AD279">
        <v>0</v>
      </c>
      <c r="AE279">
        <v>0</v>
      </c>
      <c r="AF279">
        <v>0</v>
      </c>
      <c r="AG279">
        <v>0</v>
      </c>
      <c r="AH279" s="1">
        <v>0</v>
      </c>
      <c r="AI279">
        <v>277</v>
      </c>
      <c r="AJ279">
        <v>0</v>
      </c>
      <c r="AK279">
        <v>0</v>
      </c>
      <c r="AL279">
        <v>1</v>
      </c>
      <c r="AM279">
        <v>0</v>
      </c>
      <c r="AN279">
        <v>0</v>
      </c>
      <c r="AO279" s="1">
        <v>150</v>
      </c>
    </row>
    <row r="280" spans="7:41" x14ac:dyDescent="0.35">
      <c r="G280">
        <v>278</v>
      </c>
      <c r="H280">
        <v>1</v>
      </c>
      <c r="I280">
        <v>1</v>
      </c>
      <c r="J280">
        <v>0</v>
      </c>
      <c r="K280">
        <v>1</v>
      </c>
      <c r="L280">
        <v>0</v>
      </c>
      <c r="M280" s="1">
        <v>180</v>
      </c>
      <c r="N280">
        <v>278</v>
      </c>
      <c r="O280">
        <v>0</v>
      </c>
      <c r="P280">
        <v>1</v>
      </c>
      <c r="Q280">
        <v>1</v>
      </c>
      <c r="R280">
        <v>0</v>
      </c>
      <c r="S280">
        <v>0</v>
      </c>
      <c r="T280" s="1">
        <v>160</v>
      </c>
      <c r="U280">
        <v>278</v>
      </c>
      <c r="V280">
        <v>0</v>
      </c>
      <c r="W280">
        <v>1</v>
      </c>
      <c r="X280">
        <v>0</v>
      </c>
      <c r="Y280">
        <v>0</v>
      </c>
      <c r="Z280">
        <v>0</v>
      </c>
      <c r="AA280" s="1">
        <v>100</v>
      </c>
      <c r="AB280">
        <v>278</v>
      </c>
      <c r="AC280">
        <v>0</v>
      </c>
      <c r="AD280">
        <v>0</v>
      </c>
      <c r="AE280">
        <v>0</v>
      </c>
      <c r="AF280">
        <v>0</v>
      </c>
      <c r="AG280">
        <v>0</v>
      </c>
      <c r="AH280" s="1">
        <v>0</v>
      </c>
      <c r="AI280">
        <v>278</v>
      </c>
      <c r="AJ280">
        <v>0</v>
      </c>
      <c r="AK280">
        <v>0</v>
      </c>
      <c r="AL280">
        <v>2</v>
      </c>
      <c r="AM280">
        <v>0</v>
      </c>
      <c r="AN280">
        <v>0</v>
      </c>
      <c r="AO280" s="1">
        <v>300</v>
      </c>
    </row>
    <row r="281" spans="7:41" x14ac:dyDescent="0.35">
      <c r="G281">
        <v>279</v>
      </c>
      <c r="H281">
        <v>0</v>
      </c>
      <c r="I281">
        <v>0</v>
      </c>
      <c r="J281">
        <v>1</v>
      </c>
      <c r="K281">
        <v>4</v>
      </c>
      <c r="L281">
        <v>0</v>
      </c>
      <c r="M281" s="1">
        <v>300</v>
      </c>
      <c r="N281">
        <v>279</v>
      </c>
      <c r="O281">
        <v>1</v>
      </c>
      <c r="P281">
        <v>0</v>
      </c>
      <c r="Q281">
        <v>3</v>
      </c>
      <c r="R281">
        <v>0</v>
      </c>
      <c r="S281">
        <v>0</v>
      </c>
      <c r="T281" s="1">
        <v>320</v>
      </c>
      <c r="U281">
        <v>279</v>
      </c>
      <c r="V281">
        <v>0</v>
      </c>
      <c r="W281">
        <v>0</v>
      </c>
      <c r="X281">
        <v>0</v>
      </c>
      <c r="Y281">
        <v>0</v>
      </c>
      <c r="Z281">
        <v>0</v>
      </c>
      <c r="AA281" s="1">
        <v>0</v>
      </c>
      <c r="AB281">
        <v>279</v>
      </c>
      <c r="AC281">
        <v>0</v>
      </c>
      <c r="AD281">
        <v>0</v>
      </c>
      <c r="AE281">
        <v>0</v>
      </c>
      <c r="AF281">
        <v>0</v>
      </c>
      <c r="AG281">
        <v>0</v>
      </c>
      <c r="AH281" s="1">
        <v>0</v>
      </c>
      <c r="AI281">
        <v>279</v>
      </c>
      <c r="AJ281">
        <v>0</v>
      </c>
      <c r="AK281">
        <v>0</v>
      </c>
      <c r="AL281">
        <v>0</v>
      </c>
      <c r="AM281">
        <v>0</v>
      </c>
      <c r="AN281">
        <v>0</v>
      </c>
      <c r="AO281" s="1">
        <v>0</v>
      </c>
    </row>
    <row r="282" spans="7:41" x14ac:dyDescent="0.35">
      <c r="G282">
        <v>280</v>
      </c>
      <c r="H282">
        <v>1</v>
      </c>
      <c r="I282">
        <v>1</v>
      </c>
      <c r="J282">
        <v>1</v>
      </c>
      <c r="K282">
        <v>2</v>
      </c>
      <c r="L282">
        <v>0</v>
      </c>
      <c r="M282" s="1">
        <v>300</v>
      </c>
      <c r="N282">
        <v>280</v>
      </c>
      <c r="O282">
        <v>0</v>
      </c>
      <c r="P282">
        <v>0</v>
      </c>
      <c r="Q282">
        <v>0</v>
      </c>
      <c r="R282">
        <v>0</v>
      </c>
      <c r="S282">
        <v>0</v>
      </c>
      <c r="T282" s="1">
        <v>0</v>
      </c>
      <c r="U282">
        <v>280</v>
      </c>
      <c r="V282">
        <v>0</v>
      </c>
      <c r="W282">
        <v>0</v>
      </c>
      <c r="X282">
        <v>0</v>
      </c>
      <c r="Y282">
        <v>0</v>
      </c>
      <c r="Z282">
        <v>0</v>
      </c>
      <c r="AA282" s="1">
        <v>0</v>
      </c>
      <c r="AB282">
        <v>280</v>
      </c>
      <c r="AC282">
        <v>0</v>
      </c>
      <c r="AD282">
        <v>0</v>
      </c>
      <c r="AE282">
        <v>0</v>
      </c>
      <c r="AF282">
        <v>0</v>
      </c>
      <c r="AG282">
        <v>0</v>
      </c>
      <c r="AH282" s="1">
        <v>0</v>
      </c>
      <c r="AI282">
        <v>280</v>
      </c>
      <c r="AJ282">
        <v>0</v>
      </c>
      <c r="AK282">
        <v>0</v>
      </c>
      <c r="AL282">
        <v>0</v>
      </c>
      <c r="AM282">
        <v>0</v>
      </c>
      <c r="AN282">
        <v>0</v>
      </c>
      <c r="AO282" s="1">
        <v>0</v>
      </c>
    </row>
    <row r="283" spans="7:41" x14ac:dyDescent="0.35">
      <c r="G283">
        <v>281</v>
      </c>
      <c r="H283">
        <v>0</v>
      </c>
      <c r="I283">
        <v>1</v>
      </c>
      <c r="J283">
        <v>0</v>
      </c>
      <c r="K283">
        <v>4</v>
      </c>
      <c r="L283">
        <v>0</v>
      </c>
      <c r="M283" s="1">
        <v>300</v>
      </c>
      <c r="N283">
        <v>281</v>
      </c>
      <c r="O283">
        <v>1</v>
      </c>
      <c r="P283">
        <v>1</v>
      </c>
      <c r="Q283">
        <v>0</v>
      </c>
      <c r="R283">
        <v>0</v>
      </c>
      <c r="S283">
        <v>0</v>
      </c>
      <c r="T283" s="1">
        <v>160</v>
      </c>
      <c r="U283">
        <v>281</v>
      </c>
      <c r="V283">
        <v>0</v>
      </c>
      <c r="W283">
        <v>0</v>
      </c>
      <c r="X283">
        <v>0</v>
      </c>
      <c r="Y283">
        <v>0</v>
      </c>
      <c r="Z283">
        <v>0</v>
      </c>
      <c r="AA283" s="1">
        <v>0</v>
      </c>
      <c r="AB283">
        <v>281</v>
      </c>
      <c r="AC283">
        <v>1</v>
      </c>
      <c r="AD283">
        <v>0</v>
      </c>
      <c r="AE283">
        <v>0</v>
      </c>
      <c r="AF283">
        <v>0</v>
      </c>
      <c r="AG283">
        <v>0</v>
      </c>
      <c r="AH283" s="1">
        <v>120</v>
      </c>
      <c r="AI283">
        <v>281</v>
      </c>
      <c r="AJ283">
        <v>0</v>
      </c>
      <c r="AK283">
        <v>0</v>
      </c>
      <c r="AL283">
        <v>0</v>
      </c>
      <c r="AM283">
        <v>0</v>
      </c>
      <c r="AN283">
        <v>0</v>
      </c>
      <c r="AO283" s="1">
        <v>0</v>
      </c>
    </row>
    <row r="284" spans="7:41" x14ac:dyDescent="0.35">
      <c r="G284">
        <v>282</v>
      </c>
      <c r="H284">
        <v>0</v>
      </c>
      <c r="I284">
        <v>0</v>
      </c>
      <c r="J284">
        <v>0</v>
      </c>
      <c r="K284">
        <v>4</v>
      </c>
      <c r="L284">
        <v>2</v>
      </c>
      <c r="M284" s="1">
        <v>360</v>
      </c>
      <c r="N284">
        <v>282</v>
      </c>
      <c r="O284">
        <v>0</v>
      </c>
      <c r="P284">
        <v>1</v>
      </c>
      <c r="Q284">
        <v>2</v>
      </c>
      <c r="R284">
        <v>0</v>
      </c>
      <c r="S284">
        <v>0</v>
      </c>
      <c r="T284" s="1">
        <v>240</v>
      </c>
      <c r="U284">
        <v>282</v>
      </c>
      <c r="V284">
        <v>0</v>
      </c>
      <c r="W284">
        <v>0</v>
      </c>
      <c r="X284">
        <v>0</v>
      </c>
      <c r="Y284">
        <v>0</v>
      </c>
      <c r="Z284">
        <v>0</v>
      </c>
      <c r="AA284" s="1">
        <v>0</v>
      </c>
      <c r="AB284">
        <v>282</v>
      </c>
      <c r="AC284">
        <v>0</v>
      </c>
      <c r="AD284">
        <v>0</v>
      </c>
      <c r="AE284">
        <v>0</v>
      </c>
      <c r="AF284">
        <v>0</v>
      </c>
      <c r="AG284">
        <v>0</v>
      </c>
      <c r="AH284" s="1">
        <v>0</v>
      </c>
      <c r="AI284">
        <v>282</v>
      </c>
      <c r="AJ284">
        <v>0</v>
      </c>
      <c r="AK284">
        <v>0</v>
      </c>
      <c r="AL284">
        <v>3</v>
      </c>
      <c r="AM284">
        <v>0</v>
      </c>
      <c r="AN284">
        <v>0</v>
      </c>
      <c r="AO284" s="1">
        <v>450</v>
      </c>
    </row>
    <row r="285" spans="7:41" x14ac:dyDescent="0.35">
      <c r="G285">
        <v>283</v>
      </c>
      <c r="H285">
        <v>0</v>
      </c>
      <c r="I285">
        <v>0</v>
      </c>
      <c r="J285">
        <v>0</v>
      </c>
      <c r="K285">
        <v>0</v>
      </c>
      <c r="L285">
        <v>0</v>
      </c>
      <c r="M285" s="1">
        <v>0</v>
      </c>
      <c r="N285">
        <v>283</v>
      </c>
      <c r="O285">
        <v>0</v>
      </c>
      <c r="P285">
        <v>0</v>
      </c>
      <c r="Q285">
        <v>0</v>
      </c>
      <c r="R285">
        <v>0</v>
      </c>
      <c r="S285">
        <v>0</v>
      </c>
      <c r="T285" s="1">
        <v>0</v>
      </c>
      <c r="U285">
        <v>283</v>
      </c>
      <c r="V285">
        <v>0</v>
      </c>
      <c r="W285">
        <v>1</v>
      </c>
      <c r="X285">
        <v>0</v>
      </c>
      <c r="Y285">
        <v>0</v>
      </c>
      <c r="Z285">
        <v>0</v>
      </c>
      <c r="AA285" s="1">
        <v>100</v>
      </c>
      <c r="AB285">
        <v>283</v>
      </c>
      <c r="AC285">
        <v>0</v>
      </c>
      <c r="AD285">
        <v>0</v>
      </c>
      <c r="AE285">
        <v>0</v>
      </c>
      <c r="AF285">
        <v>0</v>
      </c>
      <c r="AG285">
        <v>0</v>
      </c>
      <c r="AH285" s="1">
        <v>0</v>
      </c>
      <c r="AI285">
        <v>283</v>
      </c>
      <c r="AJ285">
        <v>0</v>
      </c>
      <c r="AK285">
        <v>0</v>
      </c>
      <c r="AL285">
        <v>0</v>
      </c>
      <c r="AM285">
        <v>0</v>
      </c>
      <c r="AN285">
        <v>0</v>
      </c>
      <c r="AO285" s="1">
        <v>0</v>
      </c>
    </row>
    <row r="286" spans="7:41" x14ac:dyDescent="0.35">
      <c r="G286">
        <v>284</v>
      </c>
      <c r="H286">
        <v>0</v>
      </c>
      <c r="I286">
        <v>0</v>
      </c>
      <c r="J286">
        <v>0</v>
      </c>
      <c r="K286">
        <v>1</v>
      </c>
      <c r="L286">
        <v>0</v>
      </c>
      <c r="M286" s="1">
        <v>60</v>
      </c>
      <c r="N286">
        <v>284</v>
      </c>
      <c r="O286">
        <v>0</v>
      </c>
      <c r="P286">
        <v>0</v>
      </c>
      <c r="Q286">
        <v>1</v>
      </c>
      <c r="R286">
        <v>0</v>
      </c>
      <c r="S286">
        <v>0</v>
      </c>
      <c r="T286" s="1">
        <v>80</v>
      </c>
      <c r="U286">
        <v>284</v>
      </c>
      <c r="V286">
        <v>0</v>
      </c>
      <c r="W286">
        <v>0</v>
      </c>
      <c r="X286">
        <v>1</v>
      </c>
      <c r="Y286">
        <v>0</v>
      </c>
      <c r="Z286">
        <v>0</v>
      </c>
      <c r="AA286" s="1">
        <v>100</v>
      </c>
      <c r="AB286">
        <v>284</v>
      </c>
      <c r="AC286">
        <v>0</v>
      </c>
      <c r="AD286">
        <v>0</v>
      </c>
      <c r="AE286">
        <v>0</v>
      </c>
      <c r="AF286">
        <v>0</v>
      </c>
      <c r="AG286">
        <v>3</v>
      </c>
      <c r="AH286" s="1">
        <v>360</v>
      </c>
      <c r="AI286">
        <v>284</v>
      </c>
      <c r="AJ286">
        <v>0</v>
      </c>
      <c r="AK286">
        <v>0</v>
      </c>
      <c r="AL286">
        <v>2</v>
      </c>
      <c r="AM286">
        <v>0</v>
      </c>
      <c r="AN286">
        <v>0</v>
      </c>
      <c r="AO286" s="1">
        <v>300</v>
      </c>
    </row>
    <row r="287" spans="7:41" x14ac:dyDescent="0.35">
      <c r="G287">
        <v>285</v>
      </c>
      <c r="H287">
        <v>1</v>
      </c>
      <c r="I287">
        <v>1</v>
      </c>
      <c r="J287">
        <v>1</v>
      </c>
      <c r="K287">
        <v>4</v>
      </c>
      <c r="L287">
        <v>0</v>
      </c>
      <c r="M287" s="1">
        <v>420</v>
      </c>
      <c r="N287">
        <v>285</v>
      </c>
      <c r="O287">
        <v>0</v>
      </c>
      <c r="P287">
        <v>0</v>
      </c>
      <c r="Q287">
        <v>3</v>
      </c>
      <c r="R287">
        <v>1</v>
      </c>
      <c r="S287">
        <v>0</v>
      </c>
      <c r="T287" s="1">
        <v>320</v>
      </c>
      <c r="U287">
        <v>285</v>
      </c>
      <c r="V287">
        <v>0</v>
      </c>
      <c r="W287">
        <v>3</v>
      </c>
      <c r="X287">
        <v>0</v>
      </c>
      <c r="Y287">
        <v>0</v>
      </c>
      <c r="Z287">
        <v>0</v>
      </c>
      <c r="AA287" s="1">
        <v>300</v>
      </c>
      <c r="AB287">
        <v>285</v>
      </c>
      <c r="AC287">
        <v>0</v>
      </c>
      <c r="AD287">
        <v>0</v>
      </c>
      <c r="AE287">
        <v>0</v>
      </c>
      <c r="AF287">
        <v>0</v>
      </c>
      <c r="AG287">
        <v>1</v>
      </c>
      <c r="AH287" s="1">
        <v>120</v>
      </c>
      <c r="AI287">
        <v>285</v>
      </c>
      <c r="AJ287">
        <v>0</v>
      </c>
      <c r="AK287">
        <v>0</v>
      </c>
      <c r="AL287">
        <v>2</v>
      </c>
      <c r="AM287">
        <v>0</v>
      </c>
      <c r="AN287">
        <v>0</v>
      </c>
      <c r="AO287" s="1">
        <v>300</v>
      </c>
    </row>
    <row r="288" spans="7:41" x14ac:dyDescent="0.35">
      <c r="G288">
        <v>286</v>
      </c>
      <c r="H288">
        <v>0</v>
      </c>
      <c r="I288">
        <v>1</v>
      </c>
      <c r="J288">
        <v>5</v>
      </c>
      <c r="K288">
        <v>0</v>
      </c>
      <c r="L288">
        <v>0</v>
      </c>
      <c r="M288" s="1">
        <v>360</v>
      </c>
      <c r="N288">
        <v>286</v>
      </c>
      <c r="O288">
        <v>2</v>
      </c>
      <c r="P288">
        <v>0</v>
      </c>
      <c r="Q288">
        <v>1</v>
      </c>
      <c r="R288">
        <v>0</v>
      </c>
      <c r="S288">
        <v>1</v>
      </c>
      <c r="T288" s="1">
        <v>320</v>
      </c>
      <c r="U288">
        <v>286</v>
      </c>
      <c r="V288">
        <v>0</v>
      </c>
      <c r="W288">
        <v>1</v>
      </c>
      <c r="X288">
        <v>0</v>
      </c>
      <c r="Y288">
        <v>1</v>
      </c>
      <c r="Z288">
        <v>0</v>
      </c>
      <c r="AA288" s="1">
        <v>200</v>
      </c>
      <c r="AB288">
        <v>286</v>
      </c>
      <c r="AC288">
        <v>0</v>
      </c>
      <c r="AD288">
        <v>0</v>
      </c>
      <c r="AE288">
        <v>0</v>
      </c>
      <c r="AF288">
        <v>0</v>
      </c>
      <c r="AG288">
        <v>0</v>
      </c>
      <c r="AH288" s="1">
        <v>0</v>
      </c>
      <c r="AI288">
        <v>286</v>
      </c>
      <c r="AJ288">
        <v>0</v>
      </c>
      <c r="AK288">
        <v>0</v>
      </c>
      <c r="AL288">
        <v>2</v>
      </c>
      <c r="AM288">
        <v>0</v>
      </c>
      <c r="AN288">
        <v>0</v>
      </c>
      <c r="AO288" s="1">
        <v>300</v>
      </c>
    </row>
    <row r="289" spans="7:41" x14ac:dyDescent="0.35">
      <c r="G289">
        <v>287</v>
      </c>
      <c r="H289">
        <v>0</v>
      </c>
      <c r="I289">
        <v>2</v>
      </c>
      <c r="J289">
        <v>1</v>
      </c>
      <c r="K289">
        <v>2</v>
      </c>
      <c r="L289">
        <v>2</v>
      </c>
      <c r="M289" s="1">
        <v>420</v>
      </c>
      <c r="N289">
        <v>287</v>
      </c>
      <c r="O289">
        <v>0</v>
      </c>
      <c r="P289">
        <v>0</v>
      </c>
      <c r="Q289">
        <v>0</v>
      </c>
      <c r="R289">
        <v>0</v>
      </c>
      <c r="S289">
        <v>0</v>
      </c>
      <c r="T289" s="1">
        <v>0</v>
      </c>
      <c r="U289">
        <v>287</v>
      </c>
      <c r="V289">
        <v>0</v>
      </c>
      <c r="W289">
        <v>1</v>
      </c>
      <c r="X289">
        <v>0</v>
      </c>
      <c r="Y289">
        <v>0</v>
      </c>
      <c r="Z289">
        <v>0</v>
      </c>
      <c r="AA289" s="1">
        <v>100</v>
      </c>
      <c r="AB289">
        <v>287</v>
      </c>
      <c r="AC289">
        <v>0</v>
      </c>
      <c r="AD289">
        <v>0</v>
      </c>
      <c r="AE289">
        <v>1</v>
      </c>
      <c r="AF289">
        <v>0</v>
      </c>
      <c r="AG289">
        <v>0</v>
      </c>
      <c r="AH289" s="1">
        <v>120</v>
      </c>
      <c r="AI289">
        <v>287</v>
      </c>
      <c r="AJ289">
        <v>0</v>
      </c>
      <c r="AK289">
        <v>0</v>
      </c>
      <c r="AL289">
        <v>2</v>
      </c>
      <c r="AM289">
        <v>0</v>
      </c>
      <c r="AN289">
        <v>0</v>
      </c>
      <c r="AO289" s="1">
        <v>300</v>
      </c>
    </row>
    <row r="290" spans="7:41" x14ac:dyDescent="0.35">
      <c r="G290">
        <v>288</v>
      </c>
      <c r="H290">
        <v>1</v>
      </c>
      <c r="I290">
        <v>1</v>
      </c>
      <c r="J290">
        <v>0</v>
      </c>
      <c r="K290">
        <v>0</v>
      </c>
      <c r="L290">
        <v>2</v>
      </c>
      <c r="M290" s="1">
        <v>240</v>
      </c>
      <c r="N290">
        <v>288</v>
      </c>
      <c r="O290">
        <v>0</v>
      </c>
      <c r="P290">
        <v>1</v>
      </c>
      <c r="Q290">
        <v>2</v>
      </c>
      <c r="R290">
        <v>0</v>
      </c>
      <c r="S290">
        <v>1</v>
      </c>
      <c r="T290" s="1">
        <v>320</v>
      </c>
      <c r="U290">
        <v>288</v>
      </c>
      <c r="V290">
        <v>0</v>
      </c>
      <c r="W290">
        <v>0</v>
      </c>
      <c r="X290">
        <v>0</v>
      </c>
      <c r="Y290">
        <v>0</v>
      </c>
      <c r="Z290">
        <v>0</v>
      </c>
      <c r="AA290" s="1">
        <v>0</v>
      </c>
      <c r="AB290">
        <v>288</v>
      </c>
      <c r="AC290">
        <v>0</v>
      </c>
      <c r="AD290">
        <v>1</v>
      </c>
      <c r="AE290">
        <v>0</v>
      </c>
      <c r="AF290">
        <v>0</v>
      </c>
      <c r="AG290">
        <v>0</v>
      </c>
      <c r="AH290" s="1">
        <v>120</v>
      </c>
      <c r="AI290">
        <v>288</v>
      </c>
      <c r="AJ290">
        <v>0</v>
      </c>
      <c r="AK290">
        <v>0</v>
      </c>
      <c r="AL290">
        <v>1</v>
      </c>
      <c r="AM290">
        <v>0</v>
      </c>
      <c r="AN290">
        <v>0</v>
      </c>
      <c r="AO290" s="1">
        <v>150</v>
      </c>
    </row>
    <row r="291" spans="7:41" x14ac:dyDescent="0.35">
      <c r="G291">
        <v>289</v>
      </c>
      <c r="H291">
        <v>1</v>
      </c>
      <c r="I291">
        <v>0</v>
      </c>
      <c r="J291">
        <v>3</v>
      </c>
      <c r="K291">
        <v>2</v>
      </c>
      <c r="L291">
        <v>0</v>
      </c>
      <c r="M291" s="1">
        <v>360</v>
      </c>
      <c r="N291">
        <v>289</v>
      </c>
      <c r="O291">
        <v>0</v>
      </c>
      <c r="P291">
        <v>0</v>
      </c>
      <c r="Q291">
        <v>3</v>
      </c>
      <c r="R291">
        <v>0</v>
      </c>
      <c r="S291">
        <v>0</v>
      </c>
      <c r="T291" s="1">
        <v>240</v>
      </c>
      <c r="U291">
        <v>289</v>
      </c>
      <c r="V291">
        <v>0</v>
      </c>
      <c r="W291">
        <v>1</v>
      </c>
      <c r="X291">
        <v>0</v>
      </c>
      <c r="Y291">
        <v>0</v>
      </c>
      <c r="Z291">
        <v>0</v>
      </c>
      <c r="AA291" s="1">
        <v>100</v>
      </c>
      <c r="AB291">
        <v>289</v>
      </c>
      <c r="AC291">
        <v>0</v>
      </c>
      <c r="AD291">
        <v>0</v>
      </c>
      <c r="AE291">
        <v>0</v>
      </c>
      <c r="AF291">
        <v>0</v>
      </c>
      <c r="AG291">
        <v>0</v>
      </c>
      <c r="AH291" s="1">
        <v>0</v>
      </c>
      <c r="AI291">
        <v>289</v>
      </c>
      <c r="AJ291">
        <v>0</v>
      </c>
      <c r="AK291">
        <v>0</v>
      </c>
      <c r="AL291">
        <v>0</v>
      </c>
      <c r="AM291">
        <v>0</v>
      </c>
      <c r="AN291">
        <v>0</v>
      </c>
      <c r="AO291" s="1">
        <v>0</v>
      </c>
    </row>
    <row r="292" spans="7:41" x14ac:dyDescent="0.35">
      <c r="G292">
        <v>290</v>
      </c>
      <c r="H292">
        <v>1</v>
      </c>
      <c r="I292">
        <v>0</v>
      </c>
      <c r="J292">
        <v>1</v>
      </c>
      <c r="K292">
        <v>1</v>
      </c>
      <c r="L292">
        <v>0</v>
      </c>
      <c r="M292" s="1">
        <v>180</v>
      </c>
      <c r="N292">
        <v>290</v>
      </c>
      <c r="O292">
        <v>0</v>
      </c>
      <c r="P292">
        <v>0</v>
      </c>
      <c r="Q292">
        <v>0</v>
      </c>
      <c r="R292">
        <v>0</v>
      </c>
      <c r="S292">
        <v>0</v>
      </c>
      <c r="T292" s="1">
        <v>0</v>
      </c>
      <c r="U292">
        <v>290</v>
      </c>
      <c r="V292">
        <v>0</v>
      </c>
      <c r="W292">
        <v>0</v>
      </c>
      <c r="X292">
        <v>0</v>
      </c>
      <c r="Y292">
        <v>0</v>
      </c>
      <c r="Z292">
        <v>0</v>
      </c>
      <c r="AA292" s="1">
        <v>0</v>
      </c>
      <c r="AB292">
        <v>290</v>
      </c>
      <c r="AC292">
        <v>0</v>
      </c>
      <c r="AD292">
        <v>0</v>
      </c>
      <c r="AE292">
        <v>0</v>
      </c>
      <c r="AF292">
        <v>0</v>
      </c>
      <c r="AG292">
        <v>1</v>
      </c>
      <c r="AH292" s="1">
        <v>120</v>
      </c>
      <c r="AI292">
        <v>290</v>
      </c>
      <c r="AJ292">
        <v>0</v>
      </c>
      <c r="AK292">
        <v>0</v>
      </c>
      <c r="AL292">
        <v>2</v>
      </c>
      <c r="AM292">
        <v>0</v>
      </c>
      <c r="AN292">
        <v>0</v>
      </c>
      <c r="AO292" s="1">
        <v>300</v>
      </c>
    </row>
    <row r="293" spans="7:41" x14ac:dyDescent="0.35">
      <c r="G293">
        <v>291</v>
      </c>
      <c r="H293">
        <v>0</v>
      </c>
      <c r="I293">
        <v>2</v>
      </c>
      <c r="J293">
        <v>2</v>
      </c>
      <c r="K293">
        <v>0</v>
      </c>
      <c r="L293">
        <v>0</v>
      </c>
      <c r="M293" s="1">
        <v>240</v>
      </c>
      <c r="N293">
        <v>291</v>
      </c>
      <c r="O293">
        <v>0</v>
      </c>
      <c r="P293">
        <v>0</v>
      </c>
      <c r="Q293">
        <v>0</v>
      </c>
      <c r="R293">
        <v>0</v>
      </c>
      <c r="S293">
        <v>0</v>
      </c>
      <c r="T293" s="1">
        <v>0</v>
      </c>
      <c r="U293">
        <v>291</v>
      </c>
      <c r="V293">
        <v>0</v>
      </c>
      <c r="W293">
        <v>0</v>
      </c>
      <c r="X293">
        <v>0</v>
      </c>
      <c r="Y293">
        <v>0</v>
      </c>
      <c r="Z293">
        <v>0</v>
      </c>
      <c r="AA293" s="1">
        <v>0</v>
      </c>
      <c r="AB293">
        <v>291</v>
      </c>
      <c r="AC293">
        <v>0</v>
      </c>
      <c r="AD293">
        <v>0</v>
      </c>
      <c r="AE293">
        <v>0</v>
      </c>
      <c r="AF293">
        <v>0</v>
      </c>
      <c r="AG293">
        <v>0</v>
      </c>
      <c r="AH293" s="1">
        <v>0</v>
      </c>
      <c r="AI293">
        <v>291</v>
      </c>
      <c r="AJ293">
        <v>0</v>
      </c>
      <c r="AK293">
        <v>0</v>
      </c>
      <c r="AL293">
        <v>1</v>
      </c>
      <c r="AM293">
        <v>0</v>
      </c>
      <c r="AN293">
        <v>0</v>
      </c>
      <c r="AO293" s="1">
        <v>150</v>
      </c>
    </row>
    <row r="294" spans="7:41" x14ac:dyDescent="0.35">
      <c r="G294">
        <v>292</v>
      </c>
      <c r="H294">
        <v>1</v>
      </c>
      <c r="I294">
        <v>0</v>
      </c>
      <c r="J294">
        <v>1</v>
      </c>
      <c r="K294">
        <v>0</v>
      </c>
      <c r="L294">
        <v>0</v>
      </c>
      <c r="M294" s="1">
        <v>120</v>
      </c>
      <c r="N294">
        <v>292</v>
      </c>
      <c r="O294">
        <v>0</v>
      </c>
      <c r="P294">
        <v>0</v>
      </c>
      <c r="Q294">
        <v>0</v>
      </c>
      <c r="R294">
        <v>1</v>
      </c>
      <c r="S294">
        <v>0</v>
      </c>
      <c r="T294" s="1">
        <v>80</v>
      </c>
      <c r="U294">
        <v>292</v>
      </c>
      <c r="V294">
        <v>0</v>
      </c>
      <c r="W294">
        <v>0</v>
      </c>
      <c r="X294">
        <v>0</v>
      </c>
      <c r="Y294">
        <v>0</v>
      </c>
      <c r="Z294">
        <v>0</v>
      </c>
      <c r="AA294" s="1">
        <v>0</v>
      </c>
      <c r="AB294">
        <v>292</v>
      </c>
      <c r="AC294">
        <v>0</v>
      </c>
      <c r="AD294">
        <v>0</v>
      </c>
      <c r="AE294">
        <v>0</v>
      </c>
      <c r="AF294">
        <v>0</v>
      </c>
      <c r="AG294">
        <v>0</v>
      </c>
      <c r="AH294" s="1">
        <v>0</v>
      </c>
      <c r="AI294">
        <v>292</v>
      </c>
      <c r="AJ294">
        <v>0</v>
      </c>
      <c r="AK294">
        <v>0</v>
      </c>
      <c r="AL294">
        <v>2</v>
      </c>
      <c r="AM294">
        <v>0</v>
      </c>
      <c r="AN294">
        <v>1</v>
      </c>
      <c r="AO294" s="1">
        <v>450</v>
      </c>
    </row>
    <row r="295" spans="7:41" x14ac:dyDescent="0.35">
      <c r="G295">
        <v>293</v>
      </c>
      <c r="H295">
        <v>1</v>
      </c>
      <c r="I295">
        <v>1</v>
      </c>
      <c r="J295">
        <v>0</v>
      </c>
      <c r="K295">
        <v>2</v>
      </c>
      <c r="L295">
        <v>2</v>
      </c>
      <c r="M295" s="1">
        <v>360</v>
      </c>
      <c r="N295">
        <v>293</v>
      </c>
      <c r="O295">
        <v>0</v>
      </c>
      <c r="P295">
        <v>1</v>
      </c>
      <c r="Q295">
        <v>0</v>
      </c>
      <c r="R295">
        <v>0</v>
      </c>
      <c r="S295">
        <v>0</v>
      </c>
      <c r="T295" s="1">
        <v>80</v>
      </c>
      <c r="U295">
        <v>293</v>
      </c>
      <c r="V295">
        <v>0</v>
      </c>
      <c r="W295">
        <v>0</v>
      </c>
      <c r="X295">
        <v>0</v>
      </c>
      <c r="Y295">
        <v>0</v>
      </c>
      <c r="Z295">
        <v>0</v>
      </c>
      <c r="AA295" s="1">
        <v>0</v>
      </c>
      <c r="AB295">
        <v>293</v>
      </c>
      <c r="AC295">
        <v>0</v>
      </c>
      <c r="AD295">
        <v>0</v>
      </c>
      <c r="AE295">
        <v>0</v>
      </c>
      <c r="AF295">
        <v>0</v>
      </c>
      <c r="AG295">
        <v>0</v>
      </c>
      <c r="AH295" s="1">
        <v>0</v>
      </c>
      <c r="AI295">
        <v>293</v>
      </c>
      <c r="AJ295">
        <v>0</v>
      </c>
      <c r="AK295">
        <v>0</v>
      </c>
      <c r="AL295">
        <v>1</v>
      </c>
      <c r="AM295">
        <v>0</v>
      </c>
      <c r="AN295">
        <v>0</v>
      </c>
      <c r="AO295" s="1">
        <v>150</v>
      </c>
    </row>
    <row r="296" spans="7:41" x14ac:dyDescent="0.35">
      <c r="G296">
        <v>294</v>
      </c>
      <c r="H296">
        <v>0</v>
      </c>
      <c r="I296">
        <v>1</v>
      </c>
      <c r="J296">
        <v>0</v>
      </c>
      <c r="K296">
        <v>0</v>
      </c>
      <c r="L296">
        <v>1</v>
      </c>
      <c r="M296" s="1">
        <v>120</v>
      </c>
      <c r="N296">
        <v>294</v>
      </c>
      <c r="O296">
        <v>0</v>
      </c>
      <c r="P296">
        <v>1</v>
      </c>
      <c r="Q296">
        <v>0</v>
      </c>
      <c r="R296">
        <v>0</v>
      </c>
      <c r="S296">
        <v>0</v>
      </c>
      <c r="T296" s="1">
        <v>80</v>
      </c>
      <c r="U296">
        <v>294</v>
      </c>
      <c r="V296">
        <v>0</v>
      </c>
      <c r="W296">
        <v>0</v>
      </c>
      <c r="X296">
        <v>0</v>
      </c>
      <c r="Y296">
        <v>0</v>
      </c>
      <c r="Z296">
        <v>0</v>
      </c>
      <c r="AA296" s="1">
        <v>0</v>
      </c>
      <c r="AB296">
        <v>294</v>
      </c>
      <c r="AC296">
        <v>0</v>
      </c>
      <c r="AD296">
        <v>0</v>
      </c>
      <c r="AE296">
        <v>0</v>
      </c>
      <c r="AF296">
        <v>0</v>
      </c>
      <c r="AG296">
        <v>0</v>
      </c>
      <c r="AH296" s="1">
        <v>0</v>
      </c>
      <c r="AI296">
        <v>294</v>
      </c>
      <c r="AJ296">
        <v>0</v>
      </c>
      <c r="AK296">
        <v>0</v>
      </c>
      <c r="AL296">
        <v>0</v>
      </c>
      <c r="AM296">
        <v>0</v>
      </c>
      <c r="AN296">
        <v>0</v>
      </c>
      <c r="AO296" s="1">
        <v>0</v>
      </c>
    </row>
    <row r="297" spans="7:41" x14ac:dyDescent="0.35">
      <c r="G297">
        <v>295</v>
      </c>
      <c r="H297">
        <v>3</v>
      </c>
      <c r="I297">
        <v>2</v>
      </c>
      <c r="J297">
        <v>1</v>
      </c>
      <c r="K297">
        <v>0</v>
      </c>
      <c r="L297">
        <v>0</v>
      </c>
      <c r="M297" s="1">
        <v>360</v>
      </c>
      <c r="N297">
        <v>295</v>
      </c>
      <c r="O297">
        <v>1</v>
      </c>
      <c r="P297">
        <v>0</v>
      </c>
      <c r="Q297">
        <v>0</v>
      </c>
      <c r="R297">
        <v>0</v>
      </c>
      <c r="S297">
        <v>0</v>
      </c>
      <c r="T297" s="1">
        <v>80</v>
      </c>
      <c r="U297">
        <v>295</v>
      </c>
      <c r="V297">
        <v>0</v>
      </c>
      <c r="W297">
        <v>0</v>
      </c>
      <c r="X297">
        <v>0</v>
      </c>
      <c r="Y297">
        <v>0</v>
      </c>
      <c r="Z297">
        <v>0</v>
      </c>
      <c r="AA297" s="1">
        <v>0</v>
      </c>
      <c r="AB297">
        <v>295</v>
      </c>
      <c r="AC297">
        <v>0</v>
      </c>
      <c r="AD297">
        <v>0</v>
      </c>
      <c r="AE297">
        <v>0</v>
      </c>
      <c r="AF297">
        <v>0</v>
      </c>
      <c r="AG297">
        <v>0</v>
      </c>
      <c r="AH297" s="1">
        <v>0</v>
      </c>
      <c r="AI297">
        <v>295</v>
      </c>
      <c r="AJ297">
        <v>0</v>
      </c>
      <c r="AK297">
        <v>0</v>
      </c>
      <c r="AL297">
        <v>0</v>
      </c>
      <c r="AM297">
        <v>0</v>
      </c>
      <c r="AN297">
        <v>0</v>
      </c>
      <c r="AO297" s="1">
        <v>0</v>
      </c>
    </row>
    <row r="298" spans="7:41" x14ac:dyDescent="0.35">
      <c r="G298">
        <v>296</v>
      </c>
      <c r="H298">
        <v>0</v>
      </c>
      <c r="I298">
        <v>1</v>
      </c>
      <c r="J298">
        <v>1</v>
      </c>
      <c r="K298">
        <v>4</v>
      </c>
      <c r="L298">
        <v>0</v>
      </c>
      <c r="M298" s="1">
        <v>360</v>
      </c>
      <c r="N298">
        <v>296</v>
      </c>
      <c r="O298">
        <v>0</v>
      </c>
      <c r="P298">
        <v>0</v>
      </c>
      <c r="Q298">
        <v>0</v>
      </c>
      <c r="R298">
        <v>1</v>
      </c>
      <c r="S298">
        <v>0</v>
      </c>
      <c r="T298" s="1">
        <v>80</v>
      </c>
      <c r="U298">
        <v>296</v>
      </c>
      <c r="V298">
        <v>0</v>
      </c>
      <c r="W298">
        <v>0</v>
      </c>
      <c r="X298">
        <v>0</v>
      </c>
      <c r="Y298">
        <v>0</v>
      </c>
      <c r="Z298">
        <v>0</v>
      </c>
      <c r="AA298" s="1">
        <v>0</v>
      </c>
      <c r="AB298">
        <v>296</v>
      </c>
      <c r="AC298">
        <v>0</v>
      </c>
      <c r="AD298">
        <v>0</v>
      </c>
      <c r="AE298">
        <v>0</v>
      </c>
      <c r="AF298">
        <v>0</v>
      </c>
      <c r="AG298">
        <v>1</v>
      </c>
      <c r="AH298" s="1">
        <v>120</v>
      </c>
      <c r="AI298">
        <v>296</v>
      </c>
      <c r="AJ298">
        <v>0</v>
      </c>
      <c r="AK298">
        <v>0</v>
      </c>
      <c r="AL298">
        <v>0</v>
      </c>
      <c r="AM298">
        <v>0</v>
      </c>
      <c r="AN298">
        <v>0</v>
      </c>
      <c r="AO298" s="1">
        <v>0</v>
      </c>
    </row>
    <row r="299" spans="7:41" x14ac:dyDescent="0.35">
      <c r="G299">
        <v>297</v>
      </c>
      <c r="H299">
        <v>0</v>
      </c>
      <c r="I299">
        <v>1</v>
      </c>
      <c r="J299">
        <v>1</v>
      </c>
      <c r="K299">
        <v>0</v>
      </c>
      <c r="L299">
        <v>1</v>
      </c>
      <c r="M299" s="1">
        <v>180</v>
      </c>
      <c r="N299">
        <v>297</v>
      </c>
      <c r="O299">
        <v>0</v>
      </c>
      <c r="P299">
        <v>2</v>
      </c>
      <c r="Q299">
        <v>0</v>
      </c>
      <c r="R299">
        <v>0</v>
      </c>
      <c r="S299">
        <v>1</v>
      </c>
      <c r="T299" s="1">
        <v>240</v>
      </c>
      <c r="U299">
        <v>297</v>
      </c>
      <c r="V299">
        <v>0</v>
      </c>
      <c r="W299">
        <v>0</v>
      </c>
      <c r="X299">
        <v>0</v>
      </c>
      <c r="Y299">
        <v>0</v>
      </c>
      <c r="Z299">
        <v>0</v>
      </c>
      <c r="AA299" s="1">
        <v>0</v>
      </c>
      <c r="AB299">
        <v>297</v>
      </c>
      <c r="AC299">
        <v>0</v>
      </c>
      <c r="AD299">
        <v>0</v>
      </c>
      <c r="AE299">
        <v>0</v>
      </c>
      <c r="AF299">
        <v>0</v>
      </c>
      <c r="AG299">
        <v>0</v>
      </c>
      <c r="AH299" s="1">
        <v>0</v>
      </c>
      <c r="AI299">
        <v>297</v>
      </c>
      <c r="AJ299">
        <v>0</v>
      </c>
      <c r="AK299">
        <v>0</v>
      </c>
      <c r="AL299">
        <v>0</v>
      </c>
      <c r="AM299">
        <v>0</v>
      </c>
      <c r="AN299">
        <v>0</v>
      </c>
      <c r="AO299" s="1">
        <v>0</v>
      </c>
    </row>
    <row r="300" spans="7:41" x14ac:dyDescent="0.35">
      <c r="G300">
        <v>298</v>
      </c>
      <c r="H300">
        <v>0</v>
      </c>
      <c r="I300">
        <v>0</v>
      </c>
      <c r="J300">
        <v>0</v>
      </c>
      <c r="K300">
        <v>1</v>
      </c>
      <c r="L300">
        <v>0</v>
      </c>
      <c r="M300" s="1">
        <v>60</v>
      </c>
      <c r="N300">
        <v>298</v>
      </c>
      <c r="O300">
        <v>3</v>
      </c>
      <c r="P300">
        <v>1</v>
      </c>
      <c r="Q300">
        <v>0</v>
      </c>
      <c r="R300">
        <v>0</v>
      </c>
      <c r="S300">
        <v>0</v>
      </c>
      <c r="T300" s="1">
        <v>320</v>
      </c>
      <c r="U300">
        <v>298</v>
      </c>
      <c r="V300">
        <v>0</v>
      </c>
      <c r="W300">
        <v>0</v>
      </c>
      <c r="X300">
        <v>0</v>
      </c>
      <c r="Y300">
        <v>0</v>
      </c>
      <c r="Z300">
        <v>0</v>
      </c>
      <c r="AA300" s="1">
        <v>0</v>
      </c>
      <c r="AB300">
        <v>298</v>
      </c>
      <c r="AC300">
        <v>0</v>
      </c>
      <c r="AD300">
        <v>0</v>
      </c>
      <c r="AE300">
        <v>0</v>
      </c>
      <c r="AF300">
        <v>0</v>
      </c>
      <c r="AG300">
        <v>0</v>
      </c>
      <c r="AH300" s="1">
        <v>0</v>
      </c>
      <c r="AI300">
        <v>298</v>
      </c>
      <c r="AJ300">
        <v>0</v>
      </c>
      <c r="AK300">
        <v>0</v>
      </c>
      <c r="AL300">
        <v>1</v>
      </c>
      <c r="AM300">
        <v>0</v>
      </c>
      <c r="AN300">
        <v>0</v>
      </c>
      <c r="AO300" s="1">
        <v>150</v>
      </c>
    </row>
    <row r="301" spans="7:41" x14ac:dyDescent="0.35">
      <c r="G301">
        <v>299</v>
      </c>
      <c r="H301">
        <v>0</v>
      </c>
      <c r="I301">
        <v>0</v>
      </c>
      <c r="J301">
        <v>2</v>
      </c>
      <c r="K301">
        <v>2</v>
      </c>
      <c r="L301">
        <v>0</v>
      </c>
      <c r="M301" s="1">
        <v>240</v>
      </c>
      <c r="N301">
        <v>299</v>
      </c>
      <c r="O301">
        <v>0</v>
      </c>
      <c r="P301">
        <v>0</v>
      </c>
      <c r="Q301">
        <v>1</v>
      </c>
      <c r="R301">
        <v>0</v>
      </c>
      <c r="S301">
        <v>0</v>
      </c>
      <c r="T301" s="1">
        <v>80</v>
      </c>
      <c r="U301">
        <v>299</v>
      </c>
      <c r="V301">
        <v>0</v>
      </c>
      <c r="W301">
        <v>0</v>
      </c>
      <c r="X301">
        <v>0</v>
      </c>
      <c r="Y301">
        <v>0</v>
      </c>
      <c r="Z301">
        <v>0</v>
      </c>
      <c r="AA301" s="1">
        <v>0</v>
      </c>
      <c r="AB301">
        <v>299</v>
      </c>
      <c r="AC301">
        <v>1</v>
      </c>
      <c r="AD301">
        <v>0</v>
      </c>
      <c r="AE301">
        <v>0</v>
      </c>
      <c r="AF301">
        <v>0</v>
      </c>
      <c r="AG301">
        <v>0</v>
      </c>
      <c r="AH301" s="1">
        <v>120</v>
      </c>
      <c r="AI301">
        <v>299</v>
      </c>
      <c r="AJ301">
        <v>0</v>
      </c>
      <c r="AK301">
        <v>0</v>
      </c>
      <c r="AL301">
        <v>0</v>
      </c>
      <c r="AM301">
        <v>0</v>
      </c>
      <c r="AN301">
        <v>0</v>
      </c>
      <c r="AO301" s="1">
        <v>0</v>
      </c>
    </row>
    <row r="302" spans="7:41" x14ac:dyDescent="0.35">
      <c r="G302">
        <v>300</v>
      </c>
      <c r="H302">
        <v>1</v>
      </c>
      <c r="I302">
        <v>1</v>
      </c>
      <c r="J302">
        <v>2</v>
      </c>
      <c r="K302">
        <v>0</v>
      </c>
      <c r="L302">
        <v>1</v>
      </c>
      <c r="M302" s="1">
        <v>300</v>
      </c>
      <c r="N302">
        <v>300</v>
      </c>
      <c r="O302">
        <v>0</v>
      </c>
      <c r="P302">
        <v>2</v>
      </c>
      <c r="Q302">
        <v>0</v>
      </c>
      <c r="R302">
        <v>3</v>
      </c>
      <c r="S302">
        <v>1</v>
      </c>
      <c r="T302" s="1">
        <v>480</v>
      </c>
      <c r="U302">
        <v>300</v>
      </c>
      <c r="V302">
        <v>0</v>
      </c>
      <c r="W302">
        <v>0</v>
      </c>
      <c r="X302">
        <v>0</v>
      </c>
      <c r="Y302">
        <v>0</v>
      </c>
      <c r="Z302">
        <v>0</v>
      </c>
      <c r="AA302" s="1">
        <v>0</v>
      </c>
      <c r="AB302">
        <v>300</v>
      </c>
      <c r="AC302">
        <v>0</v>
      </c>
      <c r="AD302">
        <v>0</v>
      </c>
      <c r="AE302">
        <v>0</v>
      </c>
      <c r="AF302">
        <v>0</v>
      </c>
      <c r="AG302">
        <v>0</v>
      </c>
      <c r="AH302" s="1">
        <v>0</v>
      </c>
      <c r="AI302">
        <v>300</v>
      </c>
      <c r="AJ302">
        <v>0</v>
      </c>
      <c r="AK302">
        <v>0</v>
      </c>
      <c r="AL302">
        <v>0</v>
      </c>
      <c r="AM302">
        <v>0</v>
      </c>
      <c r="AN302">
        <v>0</v>
      </c>
      <c r="AO302" s="1">
        <v>0</v>
      </c>
    </row>
    <row r="303" spans="7:41" x14ac:dyDescent="0.35">
      <c r="G303">
        <v>301</v>
      </c>
      <c r="H303">
        <v>2</v>
      </c>
      <c r="I303">
        <v>0</v>
      </c>
      <c r="J303">
        <v>2</v>
      </c>
      <c r="K303">
        <v>2</v>
      </c>
      <c r="L303">
        <v>1</v>
      </c>
      <c r="M303" s="1">
        <v>420</v>
      </c>
      <c r="N303">
        <v>301</v>
      </c>
      <c r="O303">
        <v>1</v>
      </c>
      <c r="P303">
        <v>0</v>
      </c>
      <c r="Q303">
        <v>0</v>
      </c>
      <c r="R303">
        <v>0</v>
      </c>
      <c r="S303">
        <v>0</v>
      </c>
      <c r="T303" s="1">
        <v>80</v>
      </c>
      <c r="U303">
        <v>301</v>
      </c>
      <c r="V303">
        <v>0</v>
      </c>
      <c r="W303">
        <v>0</v>
      </c>
      <c r="X303">
        <v>0</v>
      </c>
      <c r="Y303">
        <v>0</v>
      </c>
      <c r="Z303">
        <v>0</v>
      </c>
      <c r="AA303" s="1">
        <v>0</v>
      </c>
      <c r="AB303">
        <v>301</v>
      </c>
      <c r="AC303">
        <v>0</v>
      </c>
      <c r="AD303">
        <v>0</v>
      </c>
      <c r="AE303">
        <v>0</v>
      </c>
      <c r="AF303">
        <v>0</v>
      </c>
      <c r="AG303">
        <v>0</v>
      </c>
      <c r="AH303" s="1">
        <v>0</v>
      </c>
      <c r="AI303">
        <v>301</v>
      </c>
      <c r="AJ303">
        <v>0</v>
      </c>
      <c r="AK303">
        <v>0</v>
      </c>
      <c r="AL303">
        <v>0</v>
      </c>
      <c r="AM303">
        <v>0</v>
      </c>
      <c r="AN303">
        <v>0</v>
      </c>
      <c r="AO303" s="1">
        <v>0</v>
      </c>
    </row>
    <row r="304" spans="7:41" x14ac:dyDescent="0.35">
      <c r="G304">
        <v>302</v>
      </c>
      <c r="H304">
        <v>0</v>
      </c>
      <c r="I304">
        <v>1</v>
      </c>
      <c r="J304">
        <v>1</v>
      </c>
      <c r="K304">
        <v>0</v>
      </c>
      <c r="L304">
        <v>0</v>
      </c>
      <c r="M304" s="1">
        <v>120</v>
      </c>
      <c r="N304">
        <v>302</v>
      </c>
      <c r="O304">
        <v>0</v>
      </c>
      <c r="P304">
        <v>0</v>
      </c>
      <c r="Q304">
        <v>1</v>
      </c>
      <c r="R304">
        <v>0</v>
      </c>
      <c r="S304">
        <v>0</v>
      </c>
      <c r="T304" s="1">
        <v>80</v>
      </c>
      <c r="U304">
        <v>302</v>
      </c>
      <c r="V304">
        <v>0</v>
      </c>
      <c r="W304">
        <v>1</v>
      </c>
      <c r="X304">
        <v>0</v>
      </c>
      <c r="Y304">
        <v>0</v>
      </c>
      <c r="Z304">
        <v>0</v>
      </c>
      <c r="AA304" s="1">
        <v>100</v>
      </c>
      <c r="AB304">
        <v>302</v>
      </c>
      <c r="AC304">
        <v>0</v>
      </c>
      <c r="AD304">
        <v>1</v>
      </c>
      <c r="AE304">
        <v>0</v>
      </c>
      <c r="AF304">
        <v>0</v>
      </c>
      <c r="AG304">
        <v>1</v>
      </c>
      <c r="AH304" s="1">
        <v>240</v>
      </c>
      <c r="AI304">
        <v>302</v>
      </c>
      <c r="AJ304">
        <v>0</v>
      </c>
      <c r="AK304">
        <v>0</v>
      </c>
      <c r="AL304">
        <v>1</v>
      </c>
      <c r="AM304">
        <v>0</v>
      </c>
      <c r="AN304">
        <v>0</v>
      </c>
      <c r="AO304" s="1">
        <v>150</v>
      </c>
    </row>
    <row r="305" spans="7:41" x14ac:dyDescent="0.35">
      <c r="G305">
        <v>303</v>
      </c>
      <c r="H305">
        <v>0</v>
      </c>
      <c r="I305">
        <v>2</v>
      </c>
      <c r="J305">
        <v>0</v>
      </c>
      <c r="K305">
        <v>2</v>
      </c>
      <c r="L305">
        <v>0</v>
      </c>
      <c r="M305" s="1">
        <v>240</v>
      </c>
      <c r="N305">
        <v>303</v>
      </c>
      <c r="O305">
        <v>0</v>
      </c>
      <c r="P305">
        <v>0</v>
      </c>
      <c r="Q305">
        <v>3</v>
      </c>
      <c r="R305">
        <v>0</v>
      </c>
      <c r="S305">
        <v>0</v>
      </c>
      <c r="T305" s="1">
        <v>240</v>
      </c>
      <c r="U305">
        <v>303</v>
      </c>
      <c r="V305">
        <v>0</v>
      </c>
      <c r="W305">
        <v>0</v>
      </c>
      <c r="X305">
        <v>0</v>
      </c>
      <c r="Y305">
        <v>0</v>
      </c>
      <c r="Z305">
        <v>0</v>
      </c>
      <c r="AA305" s="1">
        <v>0</v>
      </c>
      <c r="AB305">
        <v>303</v>
      </c>
      <c r="AC305">
        <v>0</v>
      </c>
      <c r="AD305">
        <v>0</v>
      </c>
      <c r="AE305">
        <v>0</v>
      </c>
      <c r="AF305">
        <v>0</v>
      </c>
      <c r="AG305">
        <v>0</v>
      </c>
      <c r="AH305" s="1">
        <v>0</v>
      </c>
      <c r="AI305">
        <v>303</v>
      </c>
      <c r="AJ305">
        <v>0</v>
      </c>
      <c r="AK305">
        <v>0</v>
      </c>
      <c r="AL305">
        <v>0</v>
      </c>
      <c r="AM305">
        <v>0</v>
      </c>
      <c r="AN305">
        <v>0</v>
      </c>
      <c r="AO305" s="1">
        <v>0</v>
      </c>
    </row>
    <row r="306" spans="7:41" x14ac:dyDescent="0.35">
      <c r="G306">
        <v>304</v>
      </c>
      <c r="H306">
        <v>1</v>
      </c>
      <c r="I306">
        <v>2</v>
      </c>
      <c r="J306">
        <v>0</v>
      </c>
      <c r="K306">
        <v>0</v>
      </c>
      <c r="L306">
        <v>2</v>
      </c>
      <c r="M306" s="1">
        <v>300</v>
      </c>
      <c r="N306">
        <v>304</v>
      </c>
      <c r="O306">
        <v>2</v>
      </c>
      <c r="P306">
        <v>1</v>
      </c>
      <c r="Q306">
        <v>0</v>
      </c>
      <c r="R306">
        <v>1</v>
      </c>
      <c r="S306">
        <v>0</v>
      </c>
      <c r="T306" s="1">
        <v>320</v>
      </c>
      <c r="U306">
        <v>304</v>
      </c>
      <c r="V306">
        <v>0</v>
      </c>
      <c r="W306">
        <v>3</v>
      </c>
      <c r="X306">
        <v>0</v>
      </c>
      <c r="Y306">
        <v>0</v>
      </c>
      <c r="Z306">
        <v>0</v>
      </c>
      <c r="AA306" s="1">
        <v>300</v>
      </c>
      <c r="AB306">
        <v>304</v>
      </c>
      <c r="AC306">
        <v>0</v>
      </c>
      <c r="AD306">
        <v>0</v>
      </c>
      <c r="AE306">
        <v>0</v>
      </c>
      <c r="AF306">
        <v>0</v>
      </c>
      <c r="AG306">
        <v>0</v>
      </c>
      <c r="AH306" s="1">
        <v>0</v>
      </c>
      <c r="AI306">
        <v>304</v>
      </c>
      <c r="AJ306">
        <v>0</v>
      </c>
      <c r="AK306">
        <v>0</v>
      </c>
      <c r="AL306">
        <v>0</v>
      </c>
      <c r="AM306">
        <v>0</v>
      </c>
      <c r="AN306">
        <v>0</v>
      </c>
      <c r="AO306" s="1">
        <v>0</v>
      </c>
    </row>
    <row r="307" spans="7:41" x14ac:dyDescent="0.35">
      <c r="G307">
        <v>305</v>
      </c>
      <c r="H307">
        <v>2</v>
      </c>
      <c r="I307">
        <v>3</v>
      </c>
      <c r="J307">
        <v>1</v>
      </c>
      <c r="K307">
        <v>0</v>
      </c>
      <c r="L307">
        <v>0</v>
      </c>
      <c r="M307" s="1">
        <v>360</v>
      </c>
      <c r="N307">
        <v>305</v>
      </c>
      <c r="O307">
        <v>0</v>
      </c>
      <c r="P307">
        <v>2</v>
      </c>
      <c r="Q307">
        <v>0</v>
      </c>
      <c r="R307">
        <v>0</v>
      </c>
      <c r="S307">
        <v>0</v>
      </c>
      <c r="T307" s="1">
        <v>160</v>
      </c>
      <c r="U307">
        <v>305</v>
      </c>
      <c r="V307">
        <v>0</v>
      </c>
      <c r="W307">
        <v>1</v>
      </c>
      <c r="X307">
        <v>0</v>
      </c>
      <c r="Y307">
        <v>0</v>
      </c>
      <c r="Z307">
        <v>0</v>
      </c>
      <c r="AA307" s="1">
        <v>100</v>
      </c>
      <c r="AB307">
        <v>305</v>
      </c>
      <c r="AC307">
        <v>0</v>
      </c>
      <c r="AD307">
        <v>0</v>
      </c>
      <c r="AE307">
        <v>0</v>
      </c>
      <c r="AF307">
        <v>0</v>
      </c>
      <c r="AG307">
        <v>0</v>
      </c>
      <c r="AH307" s="1">
        <v>0</v>
      </c>
      <c r="AI307">
        <v>305</v>
      </c>
      <c r="AJ307">
        <v>0</v>
      </c>
      <c r="AK307">
        <v>0</v>
      </c>
      <c r="AL307">
        <v>0</v>
      </c>
      <c r="AM307">
        <v>0</v>
      </c>
      <c r="AN307">
        <v>0</v>
      </c>
      <c r="AO307" s="1">
        <v>0</v>
      </c>
    </row>
    <row r="308" spans="7:41" x14ac:dyDescent="0.35">
      <c r="G308">
        <v>306</v>
      </c>
      <c r="H308">
        <v>1</v>
      </c>
      <c r="I308">
        <v>0</v>
      </c>
      <c r="J308">
        <v>2</v>
      </c>
      <c r="K308">
        <v>2</v>
      </c>
      <c r="L308">
        <v>0</v>
      </c>
      <c r="M308" s="1">
        <v>300</v>
      </c>
      <c r="N308">
        <v>306</v>
      </c>
      <c r="O308">
        <v>0</v>
      </c>
      <c r="P308">
        <v>0</v>
      </c>
      <c r="Q308">
        <v>1</v>
      </c>
      <c r="R308">
        <v>0</v>
      </c>
      <c r="S308">
        <v>0</v>
      </c>
      <c r="T308" s="1">
        <v>80</v>
      </c>
      <c r="U308">
        <v>306</v>
      </c>
      <c r="V308">
        <v>0</v>
      </c>
      <c r="W308">
        <v>0</v>
      </c>
      <c r="X308">
        <v>0</v>
      </c>
      <c r="Y308">
        <v>0</v>
      </c>
      <c r="Z308">
        <v>0</v>
      </c>
      <c r="AA308" s="1">
        <v>0</v>
      </c>
      <c r="AB308">
        <v>306</v>
      </c>
      <c r="AC308">
        <v>0</v>
      </c>
      <c r="AD308">
        <v>0</v>
      </c>
      <c r="AE308">
        <v>1</v>
      </c>
      <c r="AF308">
        <v>0</v>
      </c>
      <c r="AG308">
        <v>0</v>
      </c>
      <c r="AH308" s="1">
        <v>120</v>
      </c>
      <c r="AI308">
        <v>306</v>
      </c>
      <c r="AJ308">
        <v>0</v>
      </c>
      <c r="AK308">
        <v>0</v>
      </c>
      <c r="AL308">
        <v>3</v>
      </c>
      <c r="AM308">
        <v>0</v>
      </c>
      <c r="AN308">
        <v>0</v>
      </c>
      <c r="AO308" s="1">
        <v>450</v>
      </c>
    </row>
    <row r="309" spans="7:41" x14ac:dyDescent="0.35">
      <c r="G309">
        <v>307</v>
      </c>
      <c r="H309">
        <v>1</v>
      </c>
      <c r="I309">
        <v>0</v>
      </c>
      <c r="J309">
        <v>0</v>
      </c>
      <c r="K309">
        <v>0</v>
      </c>
      <c r="L309">
        <v>2</v>
      </c>
      <c r="M309" s="1">
        <v>180</v>
      </c>
      <c r="N309">
        <v>307</v>
      </c>
      <c r="O309">
        <v>0</v>
      </c>
      <c r="P309">
        <v>0</v>
      </c>
      <c r="Q309">
        <v>0</v>
      </c>
      <c r="R309">
        <v>0</v>
      </c>
      <c r="S309">
        <v>2</v>
      </c>
      <c r="T309" s="1">
        <v>160</v>
      </c>
      <c r="U309">
        <v>307</v>
      </c>
      <c r="V309">
        <v>0</v>
      </c>
      <c r="W309">
        <v>0</v>
      </c>
      <c r="X309">
        <v>0</v>
      </c>
      <c r="Y309">
        <v>0</v>
      </c>
      <c r="Z309">
        <v>0</v>
      </c>
      <c r="AA309" s="1">
        <v>0</v>
      </c>
      <c r="AB309">
        <v>307</v>
      </c>
      <c r="AC309">
        <v>0</v>
      </c>
      <c r="AD309">
        <v>0</v>
      </c>
      <c r="AE309">
        <v>0</v>
      </c>
      <c r="AF309">
        <v>0</v>
      </c>
      <c r="AG309">
        <v>0</v>
      </c>
      <c r="AH309" s="1">
        <v>0</v>
      </c>
      <c r="AI309">
        <v>307</v>
      </c>
      <c r="AJ309">
        <v>0</v>
      </c>
      <c r="AK309">
        <v>0</v>
      </c>
      <c r="AL309">
        <v>2</v>
      </c>
      <c r="AM309">
        <v>0</v>
      </c>
      <c r="AN309">
        <v>0</v>
      </c>
      <c r="AO309" s="1">
        <v>300</v>
      </c>
    </row>
    <row r="310" spans="7:41" x14ac:dyDescent="0.35">
      <c r="G310">
        <v>308</v>
      </c>
      <c r="H310">
        <v>4</v>
      </c>
      <c r="I310">
        <v>1</v>
      </c>
      <c r="J310">
        <v>0</v>
      </c>
      <c r="K310">
        <v>0</v>
      </c>
      <c r="L310">
        <v>0</v>
      </c>
      <c r="M310" s="1">
        <v>300</v>
      </c>
      <c r="N310">
        <v>308</v>
      </c>
      <c r="O310">
        <v>0</v>
      </c>
      <c r="P310">
        <v>0</v>
      </c>
      <c r="Q310">
        <v>1</v>
      </c>
      <c r="R310">
        <v>1</v>
      </c>
      <c r="S310">
        <v>0</v>
      </c>
      <c r="T310" s="1">
        <v>160</v>
      </c>
      <c r="U310">
        <v>308</v>
      </c>
      <c r="V310">
        <v>0</v>
      </c>
      <c r="W310">
        <v>0</v>
      </c>
      <c r="X310">
        <v>0</v>
      </c>
      <c r="Y310">
        <v>0</v>
      </c>
      <c r="Z310">
        <v>0</v>
      </c>
      <c r="AA310" s="1">
        <v>0</v>
      </c>
      <c r="AB310">
        <v>308</v>
      </c>
      <c r="AC310">
        <v>0</v>
      </c>
      <c r="AD310">
        <v>0</v>
      </c>
      <c r="AE310">
        <v>0</v>
      </c>
      <c r="AF310">
        <v>0</v>
      </c>
      <c r="AG310">
        <v>0</v>
      </c>
      <c r="AH310" s="1">
        <v>0</v>
      </c>
      <c r="AI310">
        <v>308</v>
      </c>
      <c r="AJ310">
        <v>0</v>
      </c>
      <c r="AK310">
        <v>0</v>
      </c>
      <c r="AL310">
        <v>0</v>
      </c>
      <c r="AM310">
        <v>0</v>
      </c>
      <c r="AN310">
        <v>0</v>
      </c>
      <c r="AO310" s="1">
        <v>0</v>
      </c>
    </row>
    <row r="311" spans="7:41" x14ac:dyDescent="0.35">
      <c r="G311">
        <v>309</v>
      </c>
      <c r="H311">
        <v>0</v>
      </c>
      <c r="I311">
        <v>0</v>
      </c>
      <c r="J311">
        <v>3</v>
      </c>
      <c r="K311">
        <v>0</v>
      </c>
      <c r="L311">
        <v>2</v>
      </c>
      <c r="M311" s="1">
        <v>300</v>
      </c>
      <c r="N311">
        <v>309</v>
      </c>
      <c r="O311">
        <v>0</v>
      </c>
      <c r="P311">
        <v>0</v>
      </c>
      <c r="Q311">
        <v>2</v>
      </c>
      <c r="R311">
        <v>1</v>
      </c>
      <c r="S311">
        <v>0</v>
      </c>
      <c r="T311" s="1">
        <v>240</v>
      </c>
      <c r="U311">
        <v>309</v>
      </c>
      <c r="V311">
        <v>0</v>
      </c>
      <c r="W311">
        <v>0</v>
      </c>
      <c r="X311">
        <v>0</v>
      </c>
      <c r="Y311">
        <v>0</v>
      </c>
      <c r="Z311">
        <v>0</v>
      </c>
      <c r="AA311" s="1">
        <v>0</v>
      </c>
      <c r="AB311">
        <v>309</v>
      </c>
      <c r="AC311">
        <v>0</v>
      </c>
      <c r="AD311">
        <v>0</v>
      </c>
      <c r="AE311">
        <v>0</v>
      </c>
      <c r="AF311">
        <v>0</v>
      </c>
      <c r="AG311">
        <v>0</v>
      </c>
      <c r="AH311" s="1">
        <v>0</v>
      </c>
      <c r="AI311">
        <v>309</v>
      </c>
      <c r="AJ311">
        <v>0</v>
      </c>
      <c r="AK311">
        <v>0</v>
      </c>
      <c r="AL311">
        <v>1</v>
      </c>
      <c r="AM311">
        <v>0</v>
      </c>
      <c r="AN311">
        <v>0</v>
      </c>
      <c r="AO311" s="1">
        <v>150</v>
      </c>
    </row>
    <row r="312" spans="7:41" x14ac:dyDescent="0.35">
      <c r="G312">
        <v>310</v>
      </c>
      <c r="H312">
        <v>2</v>
      </c>
      <c r="I312">
        <v>0</v>
      </c>
      <c r="J312">
        <v>1</v>
      </c>
      <c r="K312">
        <v>4</v>
      </c>
      <c r="L312">
        <v>1</v>
      </c>
      <c r="M312" s="1">
        <v>480</v>
      </c>
      <c r="N312">
        <v>310</v>
      </c>
      <c r="O312">
        <v>0</v>
      </c>
      <c r="P312">
        <v>0</v>
      </c>
      <c r="Q312">
        <v>1</v>
      </c>
      <c r="R312">
        <v>1</v>
      </c>
      <c r="S312">
        <v>0</v>
      </c>
      <c r="T312" s="1">
        <v>160</v>
      </c>
      <c r="U312">
        <v>310</v>
      </c>
      <c r="V312">
        <v>0</v>
      </c>
      <c r="W312">
        <v>0</v>
      </c>
      <c r="X312">
        <v>0</v>
      </c>
      <c r="Y312">
        <v>0</v>
      </c>
      <c r="Z312">
        <v>0</v>
      </c>
      <c r="AA312" s="1">
        <v>0</v>
      </c>
      <c r="AB312">
        <v>310</v>
      </c>
      <c r="AC312">
        <v>0</v>
      </c>
      <c r="AD312">
        <v>0</v>
      </c>
      <c r="AE312">
        <v>0</v>
      </c>
      <c r="AF312">
        <v>0</v>
      </c>
      <c r="AG312">
        <v>0</v>
      </c>
      <c r="AH312" s="1">
        <v>0</v>
      </c>
      <c r="AI312">
        <v>310</v>
      </c>
      <c r="AJ312">
        <v>0</v>
      </c>
      <c r="AK312">
        <v>0</v>
      </c>
      <c r="AL312">
        <v>2</v>
      </c>
      <c r="AM312">
        <v>0</v>
      </c>
      <c r="AN312">
        <v>0</v>
      </c>
      <c r="AO312" s="1">
        <v>300</v>
      </c>
    </row>
    <row r="313" spans="7:41" x14ac:dyDescent="0.35">
      <c r="G313">
        <v>311</v>
      </c>
      <c r="H313">
        <v>0</v>
      </c>
      <c r="I313">
        <v>0</v>
      </c>
      <c r="J313">
        <v>1</v>
      </c>
      <c r="K313">
        <v>3</v>
      </c>
      <c r="L313">
        <v>1</v>
      </c>
      <c r="M313" s="1">
        <v>300</v>
      </c>
      <c r="N313">
        <v>311</v>
      </c>
      <c r="O313">
        <v>1</v>
      </c>
      <c r="P313">
        <v>0</v>
      </c>
      <c r="Q313">
        <v>0</v>
      </c>
      <c r="R313">
        <v>0</v>
      </c>
      <c r="S313">
        <v>1</v>
      </c>
      <c r="T313" s="1">
        <v>160</v>
      </c>
      <c r="U313">
        <v>311</v>
      </c>
      <c r="V313">
        <v>0</v>
      </c>
      <c r="W313">
        <v>0</v>
      </c>
      <c r="X313">
        <v>0</v>
      </c>
      <c r="Y313">
        <v>0</v>
      </c>
      <c r="Z313">
        <v>1</v>
      </c>
      <c r="AA313" s="1">
        <v>100</v>
      </c>
      <c r="AB313">
        <v>311</v>
      </c>
      <c r="AC313">
        <v>0</v>
      </c>
      <c r="AD313">
        <v>0</v>
      </c>
      <c r="AE313">
        <v>0</v>
      </c>
      <c r="AF313">
        <v>0</v>
      </c>
      <c r="AG313">
        <v>0</v>
      </c>
      <c r="AH313" s="1">
        <v>0</v>
      </c>
      <c r="AI313">
        <v>311</v>
      </c>
      <c r="AJ313">
        <v>0</v>
      </c>
      <c r="AK313">
        <v>0</v>
      </c>
      <c r="AL313">
        <v>0</v>
      </c>
      <c r="AM313">
        <v>0</v>
      </c>
      <c r="AN313">
        <v>0</v>
      </c>
      <c r="AO313" s="1">
        <v>0</v>
      </c>
    </row>
    <row r="314" spans="7:41" x14ac:dyDescent="0.35">
      <c r="G314">
        <v>312</v>
      </c>
      <c r="H314">
        <v>1</v>
      </c>
      <c r="I314">
        <v>1</v>
      </c>
      <c r="J314">
        <v>3</v>
      </c>
      <c r="K314">
        <v>0</v>
      </c>
      <c r="L314">
        <v>1</v>
      </c>
      <c r="M314" s="1">
        <v>360</v>
      </c>
      <c r="N314">
        <v>312</v>
      </c>
      <c r="O314">
        <v>0</v>
      </c>
      <c r="P314">
        <v>0</v>
      </c>
      <c r="Q314">
        <v>0</v>
      </c>
      <c r="R314">
        <v>0</v>
      </c>
      <c r="S314">
        <v>0</v>
      </c>
      <c r="T314" s="1">
        <v>0</v>
      </c>
      <c r="U314">
        <v>312</v>
      </c>
      <c r="V314">
        <v>1</v>
      </c>
      <c r="W314">
        <v>0</v>
      </c>
      <c r="X314">
        <v>0</v>
      </c>
      <c r="Y314">
        <v>0</v>
      </c>
      <c r="Z314">
        <v>0</v>
      </c>
      <c r="AA314" s="1">
        <v>100</v>
      </c>
      <c r="AB314">
        <v>312</v>
      </c>
      <c r="AC314">
        <v>0</v>
      </c>
      <c r="AD314">
        <v>0</v>
      </c>
      <c r="AE314">
        <v>0</v>
      </c>
      <c r="AF314">
        <v>0</v>
      </c>
      <c r="AG314">
        <v>0</v>
      </c>
      <c r="AH314" s="1">
        <v>0</v>
      </c>
      <c r="AI314">
        <v>312</v>
      </c>
      <c r="AJ314">
        <v>0</v>
      </c>
      <c r="AK314">
        <v>0</v>
      </c>
      <c r="AL314">
        <v>0</v>
      </c>
      <c r="AM314">
        <v>0</v>
      </c>
      <c r="AN314">
        <v>0</v>
      </c>
      <c r="AO314" s="1">
        <v>0</v>
      </c>
    </row>
    <row r="315" spans="7:41" x14ac:dyDescent="0.35">
      <c r="G315">
        <v>313</v>
      </c>
      <c r="H315">
        <v>2</v>
      </c>
      <c r="I315">
        <v>3</v>
      </c>
      <c r="J315">
        <v>1</v>
      </c>
      <c r="K315">
        <v>2</v>
      </c>
      <c r="L315">
        <v>1</v>
      </c>
      <c r="M315" s="1">
        <v>540</v>
      </c>
      <c r="N315">
        <v>313</v>
      </c>
      <c r="O315">
        <v>0</v>
      </c>
      <c r="P315">
        <v>2</v>
      </c>
      <c r="Q315">
        <v>0</v>
      </c>
      <c r="R315">
        <v>0</v>
      </c>
      <c r="S315">
        <v>1</v>
      </c>
      <c r="T315" s="1">
        <v>240</v>
      </c>
      <c r="U315">
        <v>313</v>
      </c>
      <c r="V315">
        <v>0</v>
      </c>
      <c r="W315">
        <v>1</v>
      </c>
      <c r="X315">
        <v>0</v>
      </c>
      <c r="Y315">
        <v>0</v>
      </c>
      <c r="Z315">
        <v>0</v>
      </c>
      <c r="AA315" s="1">
        <v>100</v>
      </c>
      <c r="AB315">
        <v>313</v>
      </c>
      <c r="AC315">
        <v>0</v>
      </c>
      <c r="AD315">
        <v>0</v>
      </c>
      <c r="AE315">
        <v>0</v>
      </c>
      <c r="AF315">
        <v>0</v>
      </c>
      <c r="AG315">
        <v>0</v>
      </c>
      <c r="AH315" s="1">
        <v>0</v>
      </c>
      <c r="AI315">
        <v>313</v>
      </c>
      <c r="AJ315">
        <v>0</v>
      </c>
      <c r="AK315">
        <v>0</v>
      </c>
      <c r="AL315">
        <v>0</v>
      </c>
      <c r="AM315">
        <v>0</v>
      </c>
      <c r="AN315">
        <v>0</v>
      </c>
      <c r="AO315" s="1">
        <v>0</v>
      </c>
    </row>
    <row r="316" spans="7:41" x14ac:dyDescent="0.35">
      <c r="G316">
        <v>314</v>
      </c>
      <c r="H316">
        <v>0</v>
      </c>
      <c r="I316">
        <v>1</v>
      </c>
      <c r="J316">
        <v>1</v>
      </c>
      <c r="K316">
        <v>2</v>
      </c>
      <c r="L316">
        <v>0</v>
      </c>
      <c r="M316" s="1">
        <v>240</v>
      </c>
      <c r="N316">
        <v>314</v>
      </c>
      <c r="O316">
        <v>1</v>
      </c>
      <c r="P316">
        <v>0</v>
      </c>
      <c r="Q316">
        <v>0</v>
      </c>
      <c r="R316">
        <v>0</v>
      </c>
      <c r="S316">
        <v>1</v>
      </c>
      <c r="T316" s="1">
        <v>160</v>
      </c>
      <c r="U316">
        <v>314</v>
      </c>
      <c r="V316">
        <v>1</v>
      </c>
      <c r="W316">
        <v>0</v>
      </c>
      <c r="X316">
        <v>0</v>
      </c>
      <c r="Y316">
        <v>0</v>
      </c>
      <c r="Z316">
        <v>0</v>
      </c>
      <c r="AA316" s="1">
        <v>100</v>
      </c>
      <c r="AB316">
        <v>314</v>
      </c>
      <c r="AC316">
        <v>0</v>
      </c>
      <c r="AD316">
        <v>0</v>
      </c>
      <c r="AE316">
        <v>0</v>
      </c>
      <c r="AF316">
        <v>0</v>
      </c>
      <c r="AG316">
        <v>0</v>
      </c>
      <c r="AH316" s="1">
        <v>0</v>
      </c>
      <c r="AI316">
        <v>314</v>
      </c>
      <c r="AJ316">
        <v>0</v>
      </c>
      <c r="AK316">
        <v>0</v>
      </c>
      <c r="AL316">
        <v>0</v>
      </c>
      <c r="AM316">
        <v>0</v>
      </c>
      <c r="AN316">
        <v>0</v>
      </c>
      <c r="AO316" s="1">
        <v>0</v>
      </c>
    </row>
    <row r="317" spans="7:41" x14ac:dyDescent="0.35">
      <c r="G317">
        <v>315</v>
      </c>
      <c r="H317">
        <v>0</v>
      </c>
      <c r="I317">
        <v>2</v>
      </c>
      <c r="J317">
        <v>2</v>
      </c>
      <c r="K317">
        <v>2</v>
      </c>
      <c r="L317">
        <v>0</v>
      </c>
      <c r="M317" s="1">
        <v>360</v>
      </c>
      <c r="N317">
        <v>315</v>
      </c>
      <c r="O317">
        <v>0</v>
      </c>
      <c r="P317">
        <v>0</v>
      </c>
      <c r="Q317">
        <v>0</v>
      </c>
      <c r="R317">
        <v>0</v>
      </c>
      <c r="S317">
        <v>1</v>
      </c>
      <c r="T317" s="1">
        <v>80</v>
      </c>
      <c r="U317">
        <v>315</v>
      </c>
      <c r="V317">
        <v>0</v>
      </c>
      <c r="W317">
        <v>1</v>
      </c>
      <c r="X317">
        <v>0</v>
      </c>
      <c r="Y317">
        <v>0</v>
      </c>
      <c r="Z317">
        <v>1</v>
      </c>
      <c r="AA317" s="1">
        <v>200</v>
      </c>
      <c r="AB317">
        <v>315</v>
      </c>
      <c r="AC317">
        <v>0</v>
      </c>
      <c r="AD317">
        <v>0</v>
      </c>
      <c r="AE317">
        <v>0</v>
      </c>
      <c r="AF317">
        <v>0</v>
      </c>
      <c r="AG317">
        <v>0</v>
      </c>
      <c r="AH317" s="1">
        <v>0</v>
      </c>
      <c r="AI317">
        <v>315</v>
      </c>
      <c r="AJ317">
        <v>0</v>
      </c>
      <c r="AK317">
        <v>0</v>
      </c>
      <c r="AL317">
        <v>1</v>
      </c>
      <c r="AM317">
        <v>0</v>
      </c>
      <c r="AN317">
        <v>0</v>
      </c>
      <c r="AO317" s="1">
        <v>150</v>
      </c>
    </row>
    <row r="318" spans="7:41" x14ac:dyDescent="0.35">
      <c r="G318">
        <v>316</v>
      </c>
      <c r="H318">
        <v>0</v>
      </c>
      <c r="I318">
        <v>2</v>
      </c>
      <c r="J318">
        <v>0</v>
      </c>
      <c r="K318">
        <v>2</v>
      </c>
      <c r="L318">
        <v>0</v>
      </c>
      <c r="M318" s="1">
        <v>240</v>
      </c>
      <c r="N318">
        <v>316</v>
      </c>
      <c r="O318">
        <v>0</v>
      </c>
      <c r="P318">
        <v>0</v>
      </c>
      <c r="Q318">
        <v>1</v>
      </c>
      <c r="R318">
        <v>0</v>
      </c>
      <c r="S318">
        <v>1</v>
      </c>
      <c r="T318" s="1">
        <v>160</v>
      </c>
      <c r="U318">
        <v>316</v>
      </c>
      <c r="V318">
        <v>0</v>
      </c>
      <c r="W318">
        <v>0</v>
      </c>
      <c r="X318">
        <v>0</v>
      </c>
      <c r="Y318">
        <v>0</v>
      </c>
      <c r="Z318">
        <v>0</v>
      </c>
      <c r="AA318" s="1">
        <v>0</v>
      </c>
      <c r="AB318">
        <v>316</v>
      </c>
      <c r="AC318">
        <v>0</v>
      </c>
      <c r="AD318">
        <v>0</v>
      </c>
      <c r="AE318">
        <v>0</v>
      </c>
      <c r="AF318">
        <v>0</v>
      </c>
      <c r="AG318">
        <v>0</v>
      </c>
      <c r="AH318" s="1">
        <v>0</v>
      </c>
      <c r="AI318">
        <v>316</v>
      </c>
      <c r="AJ318">
        <v>0</v>
      </c>
      <c r="AK318">
        <v>0</v>
      </c>
      <c r="AL318">
        <v>0</v>
      </c>
      <c r="AM318">
        <v>0</v>
      </c>
      <c r="AN318">
        <v>0</v>
      </c>
      <c r="AO318" s="1">
        <v>0</v>
      </c>
    </row>
    <row r="319" spans="7:41" x14ac:dyDescent="0.35">
      <c r="G319">
        <v>317</v>
      </c>
      <c r="H319">
        <v>2</v>
      </c>
      <c r="I319">
        <v>1</v>
      </c>
      <c r="J319">
        <v>2</v>
      </c>
      <c r="K319">
        <v>0</v>
      </c>
      <c r="L319">
        <v>0</v>
      </c>
      <c r="M319" s="1">
        <v>300</v>
      </c>
      <c r="N319">
        <v>317</v>
      </c>
      <c r="O319">
        <v>0</v>
      </c>
      <c r="P319">
        <v>1</v>
      </c>
      <c r="Q319">
        <v>3</v>
      </c>
      <c r="R319">
        <v>0</v>
      </c>
      <c r="S319">
        <v>0</v>
      </c>
      <c r="T319" s="1">
        <v>320</v>
      </c>
      <c r="U319">
        <v>317</v>
      </c>
      <c r="V319">
        <v>0</v>
      </c>
      <c r="W319">
        <v>0</v>
      </c>
      <c r="X319">
        <v>0</v>
      </c>
      <c r="Y319">
        <v>0</v>
      </c>
      <c r="Z319">
        <v>0</v>
      </c>
      <c r="AA319" s="1">
        <v>0</v>
      </c>
      <c r="AB319">
        <v>317</v>
      </c>
      <c r="AC319">
        <v>0</v>
      </c>
      <c r="AD319">
        <v>0</v>
      </c>
      <c r="AE319">
        <v>0</v>
      </c>
      <c r="AF319">
        <v>0</v>
      </c>
      <c r="AG319">
        <v>0</v>
      </c>
      <c r="AH319" s="1">
        <v>0</v>
      </c>
      <c r="AI319">
        <v>317</v>
      </c>
      <c r="AJ319">
        <v>0</v>
      </c>
      <c r="AK319">
        <v>0</v>
      </c>
      <c r="AL319">
        <v>0</v>
      </c>
      <c r="AM319">
        <v>0</v>
      </c>
      <c r="AN319">
        <v>0</v>
      </c>
      <c r="AO319" s="1">
        <v>0</v>
      </c>
    </row>
    <row r="320" spans="7:41" x14ac:dyDescent="0.35">
      <c r="G320">
        <v>318</v>
      </c>
      <c r="H320">
        <v>0</v>
      </c>
      <c r="I320">
        <v>2</v>
      </c>
      <c r="J320">
        <v>4</v>
      </c>
      <c r="K320">
        <v>0</v>
      </c>
      <c r="L320">
        <v>2</v>
      </c>
      <c r="M320" s="1">
        <v>480</v>
      </c>
      <c r="N320">
        <v>318</v>
      </c>
      <c r="O320">
        <v>0</v>
      </c>
      <c r="P320">
        <v>0</v>
      </c>
      <c r="Q320">
        <v>1</v>
      </c>
      <c r="R320">
        <v>0</v>
      </c>
      <c r="S320">
        <v>0</v>
      </c>
      <c r="T320" s="1">
        <v>80</v>
      </c>
      <c r="U320">
        <v>318</v>
      </c>
      <c r="V320">
        <v>0</v>
      </c>
      <c r="W320">
        <v>0</v>
      </c>
      <c r="X320">
        <v>1</v>
      </c>
      <c r="Y320">
        <v>0</v>
      </c>
      <c r="Z320">
        <v>0</v>
      </c>
      <c r="AA320" s="1">
        <v>100</v>
      </c>
      <c r="AB320">
        <v>318</v>
      </c>
      <c r="AC320">
        <v>0</v>
      </c>
      <c r="AD320">
        <v>0</v>
      </c>
      <c r="AE320">
        <v>0</v>
      </c>
      <c r="AF320">
        <v>0</v>
      </c>
      <c r="AG320">
        <v>1</v>
      </c>
      <c r="AH320" s="1">
        <v>120</v>
      </c>
      <c r="AI320">
        <v>318</v>
      </c>
      <c r="AJ320">
        <v>0</v>
      </c>
      <c r="AK320">
        <v>0</v>
      </c>
      <c r="AL320">
        <v>0</v>
      </c>
      <c r="AM320">
        <v>0</v>
      </c>
      <c r="AN320">
        <v>0</v>
      </c>
      <c r="AO320" s="1">
        <v>0</v>
      </c>
    </row>
    <row r="321" spans="7:41" x14ac:dyDescent="0.35">
      <c r="G321">
        <v>319</v>
      </c>
      <c r="H321">
        <v>0</v>
      </c>
      <c r="I321">
        <v>1</v>
      </c>
      <c r="J321">
        <v>0</v>
      </c>
      <c r="K321">
        <v>1</v>
      </c>
      <c r="L321">
        <v>4</v>
      </c>
      <c r="M321" s="1">
        <v>360</v>
      </c>
      <c r="N321">
        <v>319</v>
      </c>
      <c r="O321">
        <v>0</v>
      </c>
      <c r="P321">
        <v>2</v>
      </c>
      <c r="Q321">
        <v>0</v>
      </c>
      <c r="R321">
        <v>0</v>
      </c>
      <c r="S321">
        <v>0</v>
      </c>
      <c r="T321" s="1">
        <v>160</v>
      </c>
      <c r="U321">
        <v>319</v>
      </c>
      <c r="V321">
        <v>0</v>
      </c>
      <c r="W321">
        <v>3</v>
      </c>
      <c r="X321">
        <v>0</v>
      </c>
      <c r="Y321">
        <v>0</v>
      </c>
      <c r="Z321">
        <v>1</v>
      </c>
      <c r="AA321" s="1">
        <v>400</v>
      </c>
      <c r="AB321">
        <v>319</v>
      </c>
      <c r="AC321">
        <v>0</v>
      </c>
      <c r="AD321">
        <v>0</v>
      </c>
      <c r="AE321">
        <v>0</v>
      </c>
      <c r="AF321">
        <v>0</v>
      </c>
      <c r="AG321">
        <v>0</v>
      </c>
      <c r="AH321" s="1">
        <v>0</v>
      </c>
      <c r="AI321">
        <v>319</v>
      </c>
      <c r="AJ321">
        <v>0</v>
      </c>
      <c r="AK321">
        <v>0</v>
      </c>
      <c r="AL321">
        <v>0</v>
      </c>
      <c r="AM321">
        <v>0</v>
      </c>
      <c r="AN321">
        <v>0</v>
      </c>
      <c r="AO321" s="1">
        <v>0</v>
      </c>
    </row>
    <row r="322" spans="7:41" x14ac:dyDescent="0.35">
      <c r="G322">
        <v>320</v>
      </c>
      <c r="H322">
        <v>0</v>
      </c>
      <c r="I322">
        <v>0</v>
      </c>
      <c r="J322">
        <v>2</v>
      </c>
      <c r="K322">
        <v>0</v>
      </c>
      <c r="L322">
        <v>2</v>
      </c>
      <c r="M322" s="1">
        <v>240</v>
      </c>
      <c r="N322">
        <v>320</v>
      </c>
      <c r="O322">
        <v>1</v>
      </c>
      <c r="P322">
        <v>0</v>
      </c>
      <c r="Q322">
        <v>0</v>
      </c>
      <c r="R322">
        <v>0</v>
      </c>
      <c r="S322">
        <v>0</v>
      </c>
      <c r="T322" s="1">
        <v>80</v>
      </c>
      <c r="U322">
        <v>320</v>
      </c>
      <c r="V322">
        <v>0</v>
      </c>
      <c r="W322">
        <v>0</v>
      </c>
      <c r="X322">
        <v>0</v>
      </c>
      <c r="Y322">
        <v>0</v>
      </c>
      <c r="Z322">
        <v>0</v>
      </c>
      <c r="AA322" s="1">
        <v>0</v>
      </c>
      <c r="AB322">
        <v>320</v>
      </c>
      <c r="AC322">
        <v>0</v>
      </c>
      <c r="AD322">
        <v>0</v>
      </c>
      <c r="AE322">
        <v>1</v>
      </c>
      <c r="AF322">
        <v>0</v>
      </c>
      <c r="AG322">
        <v>0</v>
      </c>
      <c r="AH322" s="1">
        <v>120</v>
      </c>
      <c r="AI322">
        <v>320</v>
      </c>
      <c r="AJ322">
        <v>0</v>
      </c>
      <c r="AK322">
        <v>0</v>
      </c>
      <c r="AL322">
        <v>1</v>
      </c>
      <c r="AM322">
        <v>0</v>
      </c>
      <c r="AN322">
        <v>0</v>
      </c>
      <c r="AO322" s="1">
        <v>150</v>
      </c>
    </row>
    <row r="323" spans="7:41" x14ac:dyDescent="0.35">
      <c r="G323">
        <v>321</v>
      </c>
      <c r="H323">
        <v>0</v>
      </c>
      <c r="I323">
        <v>1</v>
      </c>
      <c r="J323">
        <v>0</v>
      </c>
      <c r="K323">
        <v>0</v>
      </c>
      <c r="L323">
        <v>0</v>
      </c>
      <c r="M323" s="1">
        <v>60</v>
      </c>
      <c r="N323">
        <v>321</v>
      </c>
      <c r="O323">
        <v>2</v>
      </c>
      <c r="P323">
        <v>0</v>
      </c>
      <c r="Q323">
        <v>0</v>
      </c>
      <c r="R323">
        <v>0</v>
      </c>
      <c r="S323">
        <v>0</v>
      </c>
      <c r="T323" s="1">
        <v>160</v>
      </c>
      <c r="U323">
        <v>321</v>
      </c>
      <c r="V323">
        <v>0</v>
      </c>
      <c r="W323">
        <v>0</v>
      </c>
      <c r="X323">
        <v>0</v>
      </c>
      <c r="Y323">
        <v>0</v>
      </c>
      <c r="Z323">
        <v>0</v>
      </c>
      <c r="AA323" s="1">
        <v>0</v>
      </c>
      <c r="AB323">
        <v>321</v>
      </c>
      <c r="AC323">
        <v>0</v>
      </c>
      <c r="AD323">
        <v>0</v>
      </c>
      <c r="AE323">
        <v>0</v>
      </c>
      <c r="AF323">
        <v>0</v>
      </c>
      <c r="AG323">
        <v>0</v>
      </c>
      <c r="AH323" s="1">
        <v>0</v>
      </c>
      <c r="AI323">
        <v>321</v>
      </c>
      <c r="AJ323">
        <v>0</v>
      </c>
      <c r="AK323">
        <v>0</v>
      </c>
      <c r="AL323">
        <v>0</v>
      </c>
      <c r="AM323">
        <v>0</v>
      </c>
      <c r="AN323">
        <v>0</v>
      </c>
      <c r="AO323" s="1">
        <v>0</v>
      </c>
    </row>
    <row r="324" spans="7:41" x14ac:dyDescent="0.35">
      <c r="G324">
        <v>322</v>
      </c>
      <c r="H324">
        <v>0</v>
      </c>
      <c r="I324">
        <v>0</v>
      </c>
      <c r="J324">
        <v>0</v>
      </c>
      <c r="K324">
        <v>1</v>
      </c>
      <c r="L324">
        <v>1</v>
      </c>
      <c r="M324" s="1">
        <v>120</v>
      </c>
      <c r="N324">
        <v>322</v>
      </c>
      <c r="O324">
        <v>1</v>
      </c>
      <c r="P324">
        <v>0</v>
      </c>
      <c r="Q324">
        <v>1</v>
      </c>
      <c r="R324">
        <v>0</v>
      </c>
      <c r="S324">
        <v>0</v>
      </c>
      <c r="T324" s="1">
        <v>160</v>
      </c>
      <c r="U324">
        <v>322</v>
      </c>
      <c r="V324">
        <v>0</v>
      </c>
      <c r="W324">
        <v>0</v>
      </c>
      <c r="X324">
        <v>0</v>
      </c>
      <c r="Y324">
        <v>0</v>
      </c>
      <c r="Z324">
        <v>0</v>
      </c>
      <c r="AA324" s="1">
        <v>0</v>
      </c>
      <c r="AB324">
        <v>322</v>
      </c>
      <c r="AC324">
        <v>0</v>
      </c>
      <c r="AD324">
        <v>0</v>
      </c>
      <c r="AE324">
        <v>0</v>
      </c>
      <c r="AF324">
        <v>0</v>
      </c>
      <c r="AG324">
        <v>0</v>
      </c>
      <c r="AH324" s="1">
        <v>0</v>
      </c>
      <c r="AI324">
        <v>322</v>
      </c>
      <c r="AJ324">
        <v>0</v>
      </c>
      <c r="AK324">
        <v>0</v>
      </c>
      <c r="AL324">
        <v>1</v>
      </c>
      <c r="AM324">
        <v>0</v>
      </c>
      <c r="AN324">
        <v>0</v>
      </c>
      <c r="AO324" s="1">
        <v>150</v>
      </c>
    </row>
    <row r="325" spans="7:41" x14ac:dyDescent="0.35">
      <c r="G325">
        <v>323</v>
      </c>
      <c r="H325">
        <v>0</v>
      </c>
      <c r="I325">
        <v>0</v>
      </c>
      <c r="J325">
        <v>1</v>
      </c>
      <c r="K325">
        <v>0</v>
      </c>
      <c r="L325">
        <v>0</v>
      </c>
      <c r="M325" s="1">
        <v>60</v>
      </c>
      <c r="N325">
        <v>323</v>
      </c>
      <c r="O325">
        <v>1</v>
      </c>
      <c r="P325">
        <v>0</v>
      </c>
      <c r="Q325">
        <v>0</v>
      </c>
      <c r="R325">
        <v>0</v>
      </c>
      <c r="S325">
        <v>0</v>
      </c>
      <c r="T325" s="1">
        <v>80</v>
      </c>
      <c r="U325">
        <v>323</v>
      </c>
      <c r="V325">
        <v>0</v>
      </c>
      <c r="W325">
        <v>0</v>
      </c>
      <c r="X325">
        <v>0</v>
      </c>
      <c r="Y325">
        <v>0</v>
      </c>
      <c r="Z325">
        <v>0</v>
      </c>
      <c r="AA325" s="1">
        <v>0</v>
      </c>
      <c r="AB325">
        <v>323</v>
      </c>
      <c r="AC325">
        <v>0</v>
      </c>
      <c r="AD325">
        <v>0</v>
      </c>
      <c r="AE325">
        <v>0</v>
      </c>
      <c r="AF325">
        <v>0</v>
      </c>
      <c r="AG325">
        <v>0</v>
      </c>
      <c r="AH325" s="1">
        <v>0</v>
      </c>
      <c r="AI325">
        <v>323</v>
      </c>
      <c r="AJ325">
        <v>0</v>
      </c>
      <c r="AK325">
        <v>0</v>
      </c>
      <c r="AL325">
        <v>0</v>
      </c>
      <c r="AM325">
        <v>0</v>
      </c>
      <c r="AN325">
        <v>0</v>
      </c>
      <c r="AO325" s="1">
        <v>0</v>
      </c>
    </row>
    <row r="326" spans="7:41" x14ac:dyDescent="0.35">
      <c r="G326">
        <v>324</v>
      </c>
      <c r="H326">
        <v>0</v>
      </c>
      <c r="I326">
        <v>0</v>
      </c>
      <c r="J326">
        <v>2</v>
      </c>
      <c r="K326">
        <v>2</v>
      </c>
      <c r="L326">
        <v>0</v>
      </c>
      <c r="M326" s="1">
        <v>240</v>
      </c>
      <c r="N326">
        <v>324</v>
      </c>
      <c r="O326">
        <v>0</v>
      </c>
      <c r="P326">
        <v>0</v>
      </c>
      <c r="Q326">
        <v>0</v>
      </c>
      <c r="R326">
        <v>0</v>
      </c>
      <c r="S326">
        <v>0</v>
      </c>
      <c r="T326" s="1">
        <v>0</v>
      </c>
      <c r="U326">
        <v>324</v>
      </c>
      <c r="V326">
        <v>1</v>
      </c>
      <c r="W326">
        <v>1</v>
      </c>
      <c r="X326">
        <v>0</v>
      </c>
      <c r="Y326">
        <v>0</v>
      </c>
      <c r="Z326">
        <v>0</v>
      </c>
      <c r="AA326" s="1">
        <v>200</v>
      </c>
      <c r="AB326">
        <v>324</v>
      </c>
      <c r="AC326">
        <v>0</v>
      </c>
      <c r="AD326">
        <v>1</v>
      </c>
      <c r="AE326">
        <v>0</v>
      </c>
      <c r="AF326">
        <v>0</v>
      </c>
      <c r="AG326">
        <v>0</v>
      </c>
      <c r="AH326" s="1">
        <v>120</v>
      </c>
      <c r="AI326">
        <v>324</v>
      </c>
      <c r="AJ326">
        <v>0</v>
      </c>
      <c r="AK326">
        <v>0</v>
      </c>
      <c r="AL326">
        <v>0</v>
      </c>
      <c r="AM326">
        <v>0</v>
      </c>
      <c r="AN326">
        <v>0</v>
      </c>
      <c r="AO326" s="1">
        <v>0</v>
      </c>
    </row>
    <row r="327" spans="7:41" x14ac:dyDescent="0.35">
      <c r="G327">
        <v>325</v>
      </c>
      <c r="H327">
        <v>0</v>
      </c>
      <c r="I327">
        <v>0</v>
      </c>
      <c r="J327">
        <v>3</v>
      </c>
      <c r="K327">
        <v>0</v>
      </c>
      <c r="L327">
        <v>2</v>
      </c>
      <c r="M327" s="1">
        <v>300</v>
      </c>
      <c r="N327">
        <v>325</v>
      </c>
      <c r="O327">
        <v>0</v>
      </c>
      <c r="P327">
        <v>0</v>
      </c>
      <c r="Q327">
        <v>1</v>
      </c>
      <c r="R327">
        <v>0</v>
      </c>
      <c r="S327">
        <v>1</v>
      </c>
      <c r="T327" s="1">
        <v>160</v>
      </c>
      <c r="U327">
        <v>325</v>
      </c>
      <c r="V327">
        <v>0</v>
      </c>
      <c r="W327">
        <v>0</v>
      </c>
      <c r="X327">
        <v>0</v>
      </c>
      <c r="Y327">
        <v>0</v>
      </c>
      <c r="Z327">
        <v>0</v>
      </c>
      <c r="AA327" s="1">
        <v>0</v>
      </c>
      <c r="AB327">
        <v>325</v>
      </c>
      <c r="AC327">
        <v>0</v>
      </c>
      <c r="AD327">
        <v>0</v>
      </c>
      <c r="AE327">
        <v>0</v>
      </c>
      <c r="AF327">
        <v>0</v>
      </c>
      <c r="AG327">
        <v>0</v>
      </c>
      <c r="AH327" s="1">
        <v>0</v>
      </c>
      <c r="AI327">
        <v>325</v>
      </c>
      <c r="AJ327">
        <v>0</v>
      </c>
      <c r="AK327">
        <v>0</v>
      </c>
      <c r="AL327">
        <v>0</v>
      </c>
      <c r="AM327">
        <v>0</v>
      </c>
      <c r="AN327">
        <v>0</v>
      </c>
      <c r="AO327" s="1">
        <v>0</v>
      </c>
    </row>
    <row r="328" spans="7:41" x14ac:dyDescent="0.35">
      <c r="G328">
        <v>326</v>
      </c>
      <c r="H328">
        <v>1</v>
      </c>
      <c r="I328">
        <v>0</v>
      </c>
      <c r="J328">
        <v>1</v>
      </c>
      <c r="K328">
        <v>0</v>
      </c>
      <c r="L328">
        <v>0</v>
      </c>
      <c r="M328" s="1">
        <v>120</v>
      </c>
      <c r="N328">
        <v>326</v>
      </c>
      <c r="O328">
        <v>0</v>
      </c>
      <c r="P328">
        <v>2</v>
      </c>
      <c r="Q328">
        <v>0</v>
      </c>
      <c r="R328">
        <v>1</v>
      </c>
      <c r="S328">
        <v>1</v>
      </c>
      <c r="T328" s="1">
        <v>320</v>
      </c>
      <c r="U328">
        <v>326</v>
      </c>
      <c r="V328">
        <v>0</v>
      </c>
      <c r="W328">
        <v>0</v>
      </c>
      <c r="X328">
        <v>0</v>
      </c>
      <c r="Y328">
        <v>0</v>
      </c>
      <c r="Z328">
        <v>0</v>
      </c>
      <c r="AA328" s="1">
        <v>0</v>
      </c>
      <c r="AB328">
        <v>326</v>
      </c>
      <c r="AC328">
        <v>0</v>
      </c>
      <c r="AD328">
        <v>0</v>
      </c>
      <c r="AE328">
        <v>0</v>
      </c>
      <c r="AF328">
        <v>0</v>
      </c>
      <c r="AG328">
        <v>0</v>
      </c>
      <c r="AH328" s="1">
        <v>0</v>
      </c>
      <c r="AI328">
        <v>326</v>
      </c>
      <c r="AJ328">
        <v>0</v>
      </c>
      <c r="AK328">
        <v>0</v>
      </c>
      <c r="AL328">
        <v>0</v>
      </c>
      <c r="AM328">
        <v>0</v>
      </c>
      <c r="AN328">
        <v>0</v>
      </c>
      <c r="AO328" s="1">
        <v>0</v>
      </c>
    </row>
    <row r="329" spans="7:41" x14ac:dyDescent="0.35">
      <c r="G329">
        <v>327</v>
      </c>
      <c r="H329">
        <v>0</v>
      </c>
      <c r="I329">
        <v>1</v>
      </c>
      <c r="J329">
        <v>1</v>
      </c>
      <c r="K329">
        <v>0</v>
      </c>
      <c r="L329">
        <v>0</v>
      </c>
      <c r="M329" s="1">
        <v>120</v>
      </c>
      <c r="N329">
        <v>327</v>
      </c>
      <c r="O329">
        <v>0</v>
      </c>
      <c r="P329">
        <v>0</v>
      </c>
      <c r="Q329">
        <v>0</v>
      </c>
      <c r="R329">
        <v>0</v>
      </c>
      <c r="S329">
        <v>0</v>
      </c>
      <c r="T329" s="1">
        <v>0</v>
      </c>
      <c r="U329">
        <v>327</v>
      </c>
      <c r="V329">
        <v>0</v>
      </c>
      <c r="W329">
        <v>0</v>
      </c>
      <c r="X329">
        <v>0</v>
      </c>
      <c r="Y329">
        <v>0</v>
      </c>
      <c r="Z329">
        <v>0</v>
      </c>
      <c r="AA329" s="1">
        <v>0</v>
      </c>
      <c r="AB329">
        <v>327</v>
      </c>
      <c r="AC329">
        <v>0</v>
      </c>
      <c r="AD329">
        <v>0</v>
      </c>
      <c r="AE329">
        <v>1</v>
      </c>
      <c r="AF329">
        <v>0</v>
      </c>
      <c r="AG329">
        <v>1</v>
      </c>
      <c r="AH329" s="1">
        <v>240</v>
      </c>
      <c r="AI329">
        <v>327</v>
      </c>
      <c r="AJ329">
        <v>0</v>
      </c>
      <c r="AK329">
        <v>0</v>
      </c>
      <c r="AL329">
        <v>0</v>
      </c>
      <c r="AM329">
        <v>0</v>
      </c>
      <c r="AN329">
        <v>0</v>
      </c>
      <c r="AO329" s="1">
        <v>0</v>
      </c>
    </row>
    <row r="330" spans="7:41" x14ac:dyDescent="0.35">
      <c r="G330">
        <v>328</v>
      </c>
      <c r="H330">
        <v>0</v>
      </c>
      <c r="I330">
        <v>0</v>
      </c>
      <c r="J330">
        <v>3</v>
      </c>
      <c r="K330">
        <v>4</v>
      </c>
      <c r="L330">
        <v>0</v>
      </c>
      <c r="M330" s="1">
        <v>420</v>
      </c>
      <c r="N330">
        <v>328</v>
      </c>
      <c r="O330">
        <v>0</v>
      </c>
      <c r="P330">
        <v>1</v>
      </c>
      <c r="Q330">
        <v>0</v>
      </c>
      <c r="R330">
        <v>1</v>
      </c>
      <c r="S330">
        <v>0</v>
      </c>
      <c r="T330" s="1">
        <v>160</v>
      </c>
      <c r="U330">
        <v>328</v>
      </c>
      <c r="V330">
        <v>0</v>
      </c>
      <c r="W330">
        <v>1</v>
      </c>
      <c r="X330">
        <v>0</v>
      </c>
      <c r="Y330">
        <v>0</v>
      </c>
      <c r="Z330">
        <v>0</v>
      </c>
      <c r="AA330" s="1">
        <v>100</v>
      </c>
      <c r="AB330">
        <v>328</v>
      </c>
      <c r="AC330">
        <v>1</v>
      </c>
      <c r="AD330">
        <v>0</v>
      </c>
      <c r="AE330">
        <v>0</v>
      </c>
      <c r="AF330">
        <v>0</v>
      </c>
      <c r="AG330">
        <v>0</v>
      </c>
      <c r="AH330" s="1">
        <v>120</v>
      </c>
      <c r="AI330">
        <v>328</v>
      </c>
      <c r="AJ330">
        <v>0</v>
      </c>
      <c r="AK330">
        <v>0</v>
      </c>
      <c r="AL330">
        <v>0</v>
      </c>
      <c r="AM330">
        <v>0</v>
      </c>
      <c r="AN330">
        <v>0</v>
      </c>
      <c r="AO330" s="1">
        <v>0</v>
      </c>
    </row>
    <row r="331" spans="7:41" x14ac:dyDescent="0.35">
      <c r="G331">
        <v>329</v>
      </c>
      <c r="H331">
        <v>0</v>
      </c>
      <c r="I331">
        <v>0</v>
      </c>
      <c r="J331">
        <v>0</v>
      </c>
      <c r="K331">
        <v>0</v>
      </c>
      <c r="L331">
        <v>1</v>
      </c>
      <c r="M331" s="1">
        <v>60</v>
      </c>
      <c r="N331">
        <v>329</v>
      </c>
      <c r="O331">
        <v>0</v>
      </c>
      <c r="P331">
        <v>0</v>
      </c>
      <c r="Q331">
        <v>0</v>
      </c>
      <c r="R331">
        <v>0</v>
      </c>
      <c r="S331">
        <v>1</v>
      </c>
      <c r="T331" s="1">
        <v>80</v>
      </c>
      <c r="U331">
        <v>329</v>
      </c>
      <c r="V331">
        <v>0</v>
      </c>
      <c r="W331">
        <v>0</v>
      </c>
      <c r="X331">
        <v>0</v>
      </c>
      <c r="Y331">
        <v>0</v>
      </c>
      <c r="Z331">
        <v>1</v>
      </c>
      <c r="AA331" s="1">
        <v>100</v>
      </c>
      <c r="AB331">
        <v>329</v>
      </c>
      <c r="AC331">
        <v>0</v>
      </c>
      <c r="AD331">
        <v>0</v>
      </c>
      <c r="AE331">
        <v>0</v>
      </c>
      <c r="AF331">
        <v>0</v>
      </c>
      <c r="AG331">
        <v>0</v>
      </c>
      <c r="AH331" s="1">
        <v>0</v>
      </c>
      <c r="AI331">
        <v>329</v>
      </c>
      <c r="AJ331">
        <v>0</v>
      </c>
      <c r="AK331">
        <v>0</v>
      </c>
      <c r="AL331">
        <v>1</v>
      </c>
      <c r="AM331">
        <v>0</v>
      </c>
      <c r="AN331">
        <v>0</v>
      </c>
      <c r="AO331" s="1">
        <v>150</v>
      </c>
    </row>
    <row r="332" spans="7:41" x14ac:dyDescent="0.35">
      <c r="G332">
        <v>330</v>
      </c>
      <c r="H332">
        <v>1</v>
      </c>
      <c r="I332">
        <v>2</v>
      </c>
      <c r="J332">
        <v>1</v>
      </c>
      <c r="K332">
        <v>0</v>
      </c>
      <c r="L332">
        <v>0</v>
      </c>
      <c r="M332" s="1">
        <v>240</v>
      </c>
      <c r="N332">
        <v>330</v>
      </c>
      <c r="O332">
        <v>0</v>
      </c>
      <c r="P332">
        <v>1</v>
      </c>
      <c r="Q332">
        <v>2</v>
      </c>
      <c r="R332">
        <v>0</v>
      </c>
      <c r="S332">
        <v>1</v>
      </c>
      <c r="T332" s="1">
        <v>320</v>
      </c>
      <c r="U332">
        <v>330</v>
      </c>
      <c r="V332">
        <v>0</v>
      </c>
      <c r="W332">
        <v>0</v>
      </c>
      <c r="X332">
        <v>0</v>
      </c>
      <c r="Y332">
        <v>0</v>
      </c>
      <c r="Z332">
        <v>0</v>
      </c>
      <c r="AA332" s="1">
        <v>0</v>
      </c>
      <c r="AB332">
        <v>330</v>
      </c>
      <c r="AC332">
        <v>0</v>
      </c>
      <c r="AD332">
        <v>0</v>
      </c>
      <c r="AE332">
        <v>0</v>
      </c>
      <c r="AF332">
        <v>0</v>
      </c>
      <c r="AG332">
        <v>0</v>
      </c>
      <c r="AH332" s="1">
        <v>0</v>
      </c>
      <c r="AI332">
        <v>330</v>
      </c>
      <c r="AJ332">
        <v>0</v>
      </c>
      <c r="AK332">
        <v>0</v>
      </c>
      <c r="AL332">
        <v>0</v>
      </c>
      <c r="AM332">
        <v>0</v>
      </c>
      <c r="AN332">
        <v>2</v>
      </c>
      <c r="AO332" s="1">
        <v>300</v>
      </c>
    </row>
    <row r="333" spans="7:41" x14ac:dyDescent="0.35">
      <c r="G333">
        <v>331</v>
      </c>
      <c r="H333">
        <v>0</v>
      </c>
      <c r="I333">
        <v>0</v>
      </c>
      <c r="J333">
        <v>0</v>
      </c>
      <c r="K333">
        <v>0</v>
      </c>
      <c r="L333">
        <v>0</v>
      </c>
      <c r="M333" s="1">
        <v>0</v>
      </c>
      <c r="N333">
        <v>331</v>
      </c>
      <c r="O333">
        <v>0</v>
      </c>
      <c r="P333">
        <v>0</v>
      </c>
      <c r="Q333">
        <v>0</v>
      </c>
      <c r="R333">
        <v>0</v>
      </c>
      <c r="S333">
        <v>0</v>
      </c>
      <c r="T333" s="1">
        <v>0</v>
      </c>
      <c r="U333">
        <v>331</v>
      </c>
      <c r="V333">
        <v>1</v>
      </c>
      <c r="W333">
        <v>0</v>
      </c>
      <c r="X333">
        <v>0</v>
      </c>
      <c r="Y333">
        <v>1</v>
      </c>
      <c r="Z333">
        <v>0</v>
      </c>
      <c r="AA333" s="1">
        <v>200</v>
      </c>
      <c r="AB333">
        <v>331</v>
      </c>
      <c r="AC333">
        <v>0</v>
      </c>
      <c r="AD333">
        <v>0</v>
      </c>
      <c r="AE333">
        <v>0</v>
      </c>
      <c r="AF333">
        <v>0</v>
      </c>
      <c r="AG333">
        <v>0</v>
      </c>
      <c r="AH333" s="1">
        <v>0</v>
      </c>
      <c r="AI333">
        <v>331</v>
      </c>
      <c r="AJ333">
        <v>0</v>
      </c>
      <c r="AK333">
        <v>0</v>
      </c>
      <c r="AL333">
        <v>1</v>
      </c>
      <c r="AM333">
        <v>0</v>
      </c>
      <c r="AN333">
        <v>0</v>
      </c>
      <c r="AO333" s="1">
        <v>150</v>
      </c>
    </row>
    <row r="334" spans="7:41" x14ac:dyDescent="0.35">
      <c r="G334">
        <v>332</v>
      </c>
      <c r="H334">
        <v>0</v>
      </c>
      <c r="I334">
        <v>2</v>
      </c>
      <c r="J334">
        <v>1</v>
      </c>
      <c r="K334">
        <v>1</v>
      </c>
      <c r="L334">
        <v>2</v>
      </c>
      <c r="M334" s="1">
        <v>360</v>
      </c>
      <c r="N334">
        <v>332</v>
      </c>
      <c r="O334">
        <v>0</v>
      </c>
      <c r="P334">
        <v>1</v>
      </c>
      <c r="Q334">
        <v>1</v>
      </c>
      <c r="R334">
        <v>0</v>
      </c>
      <c r="S334">
        <v>0</v>
      </c>
      <c r="T334" s="1">
        <v>160</v>
      </c>
      <c r="U334">
        <v>332</v>
      </c>
      <c r="V334">
        <v>0</v>
      </c>
      <c r="W334">
        <v>1</v>
      </c>
      <c r="X334">
        <v>0</v>
      </c>
      <c r="Y334">
        <v>0</v>
      </c>
      <c r="Z334">
        <v>0</v>
      </c>
      <c r="AA334" s="1">
        <v>100</v>
      </c>
      <c r="AB334">
        <v>332</v>
      </c>
      <c r="AC334">
        <v>0</v>
      </c>
      <c r="AD334">
        <v>0</v>
      </c>
      <c r="AE334">
        <v>0</v>
      </c>
      <c r="AF334">
        <v>0</v>
      </c>
      <c r="AG334">
        <v>0</v>
      </c>
      <c r="AH334" s="1">
        <v>0</v>
      </c>
      <c r="AI334">
        <v>332</v>
      </c>
      <c r="AJ334">
        <v>0</v>
      </c>
      <c r="AK334">
        <v>0</v>
      </c>
      <c r="AL334">
        <v>0</v>
      </c>
      <c r="AM334">
        <v>0</v>
      </c>
      <c r="AN334">
        <v>0</v>
      </c>
      <c r="AO334" s="1">
        <v>0</v>
      </c>
    </row>
    <row r="335" spans="7:41" x14ac:dyDescent="0.35">
      <c r="G335">
        <v>333</v>
      </c>
      <c r="H335">
        <v>1</v>
      </c>
      <c r="I335">
        <v>0</v>
      </c>
      <c r="J335">
        <v>0</v>
      </c>
      <c r="K335">
        <v>0</v>
      </c>
      <c r="L335">
        <v>2</v>
      </c>
      <c r="M335" s="1">
        <v>180</v>
      </c>
      <c r="N335">
        <v>333</v>
      </c>
      <c r="O335">
        <v>0</v>
      </c>
      <c r="P335">
        <v>0</v>
      </c>
      <c r="Q335">
        <v>1</v>
      </c>
      <c r="R335">
        <v>1</v>
      </c>
      <c r="S335">
        <v>0</v>
      </c>
      <c r="T335" s="1">
        <v>160</v>
      </c>
      <c r="U335">
        <v>333</v>
      </c>
      <c r="V335">
        <v>0</v>
      </c>
      <c r="W335">
        <v>1</v>
      </c>
      <c r="X335">
        <v>0</v>
      </c>
      <c r="Y335">
        <v>0</v>
      </c>
      <c r="Z335">
        <v>0</v>
      </c>
      <c r="AA335" s="1">
        <v>100</v>
      </c>
      <c r="AB335">
        <v>333</v>
      </c>
      <c r="AC335">
        <v>0</v>
      </c>
      <c r="AD335">
        <v>0</v>
      </c>
      <c r="AE335">
        <v>0</v>
      </c>
      <c r="AF335">
        <v>0</v>
      </c>
      <c r="AG335">
        <v>0</v>
      </c>
      <c r="AH335" s="1">
        <v>0</v>
      </c>
      <c r="AI335">
        <v>333</v>
      </c>
      <c r="AJ335">
        <v>0</v>
      </c>
      <c r="AK335">
        <v>0</v>
      </c>
      <c r="AL335">
        <v>0</v>
      </c>
      <c r="AM335">
        <v>0</v>
      </c>
      <c r="AN335">
        <v>0</v>
      </c>
      <c r="AO335" s="1">
        <v>0</v>
      </c>
    </row>
    <row r="336" spans="7:41" x14ac:dyDescent="0.35">
      <c r="G336">
        <v>334</v>
      </c>
      <c r="H336">
        <v>0</v>
      </c>
      <c r="I336">
        <v>0</v>
      </c>
      <c r="J336">
        <v>1</v>
      </c>
      <c r="K336">
        <v>3</v>
      </c>
      <c r="L336">
        <v>3</v>
      </c>
      <c r="M336" s="1">
        <v>420</v>
      </c>
      <c r="N336">
        <v>334</v>
      </c>
      <c r="O336">
        <v>1</v>
      </c>
      <c r="P336">
        <v>0</v>
      </c>
      <c r="Q336">
        <v>0</v>
      </c>
      <c r="R336">
        <v>0</v>
      </c>
      <c r="S336">
        <v>1</v>
      </c>
      <c r="T336" s="1">
        <v>160</v>
      </c>
      <c r="U336">
        <v>334</v>
      </c>
      <c r="V336">
        <v>0</v>
      </c>
      <c r="W336">
        <v>0</v>
      </c>
      <c r="X336">
        <v>0</v>
      </c>
      <c r="Y336">
        <v>0</v>
      </c>
      <c r="Z336">
        <v>0</v>
      </c>
      <c r="AA336" s="1">
        <v>0</v>
      </c>
      <c r="AB336">
        <v>334</v>
      </c>
      <c r="AC336">
        <v>0</v>
      </c>
      <c r="AD336">
        <v>0</v>
      </c>
      <c r="AE336">
        <v>0</v>
      </c>
      <c r="AF336">
        <v>0</v>
      </c>
      <c r="AG336">
        <v>0</v>
      </c>
      <c r="AH336" s="1">
        <v>0</v>
      </c>
      <c r="AI336">
        <v>334</v>
      </c>
      <c r="AJ336">
        <v>0</v>
      </c>
      <c r="AK336">
        <v>0</v>
      </c>
      <c r="AL336">
        <v>2</v>
      </c>
      <c r="AM336">
        <v>0</v>
      </c>
      <c r="AN336">
        <v>0</v>
      </c>
      <c r="AO336" s="1">
        <v>300</v>
      </c>
    </row>
    <row r="337" spans="7:41" x14ac:dyDescent="0.35">
      <c r="G337">
        <v>335</v>
      </c>
      <c r="H337">
        <v>1</v>
      </c>
      <c r="I337">
        <v>0</v>
      </c>
      <c r="J337">
        <v>0</v>
      </c>
      <c r="K337">
        <v>0</v>
      </c>
      <c r="L337">
        <v>0</v>
      </c>
      <c r="M337" s="1">
        <v>60</v>
      </c>
      <c r="N337">
        <v>335</v>
      </c>
      <c r="O337">
        <v>0</v>
      </c>
      <c r="P337">
        <v>0</v>
      </c>
      <c r="Q337">
        <v>0</v>
      </c>
      <c r="R337">
        <v>1</v>
      </c>
      <c r="S337">
        <v>0</v>
      </c>
      <c r="T337" s="1">
        <v>80</v>
      </c>
      <c r="U337">
        <v>335</v>
      </c>
      <c r="V337">
        <v>0</v>
      </c>
      <c r="W337">
        <v>0</v>
      </c>
      <c r="X337">
        <v>1</v>
      </c>
      <c r="Y337">
        <v>0</v>
      </c>
      <c r="Z337">
        <v>0</v>
      </c>
      <c r="AA337" s="1">
        <v>100</v>
      </c>
      <c r="AB337">
        <v>335</v>
      </c>
      <c r="AC337">
        <v>0</v>
      </c>
      <c r="AD337">
        <v>0</v>
      </c>
      <c r="AE337">
        <v>0</v>
      </c>
      <c r="AF337">
        <v>0</v>
      </c>
      <c r="AG337">
        <v>0</v>
      </c>
      <c r="AH337" s="1">
        <v>0</v>
      </c>
      <c r="AI337">
        <v>335</v>
      </c>
      <c r="AJ337">
        <v>0</v>
      </c>
      <c r="AK337">
        <v>0</v>
      </c>
      <c r="AL337">
        <v>2</v>
      </c>
      <c r="AM337">
        <v>0</v>
      </c>
      <c r="AN337">
        <v>0</v>
      </c>
      <c r="AO337" s="1">
        <v>300</v>
      </c>
    </row>
    <row r="338" spans="7:41" x14ac:dyDescent="0.35">
      <c r="G338">
        <v>336</v>
      </c>
      <c r="H338">
        <v>2</v>
      </c>
      <c r="I338">
        <v>1</v>
      </c>
      <c r="J338">
        <v>2</v>
      </c>
      <c r="K338">
        <v>2</v>
      </c>
      <c r="L338">
        <v>0</v>
      </c>
      <c r="M338" s="1">
        <v>420</v>
      </c>
      <c r="N338">
        <v>336</v>
      </c>
      <c r="O338">
        <v>0</v>
      </c>
      <c r="P338">
        <v>0</v>
      </c>
      <c r="Q338">
        <v>2</v>
      </c>
      <c r="R338">
        <v>0</v>
      </c>
      <c r="S338">
        <v>0</v>
      </c>
      <c r="T338" s="1">
        <v>160</v>
      </c>
      <c r="U338">
        <v>336</v>
      </c>
      <c r="V338">
        <v>0</v>
      </c>
      <c r="W338">
        <v>0</v>
      </c>
      <c r="X338">
        <v>0</v>
      </c>
      <c r="Y338">
        <v>0</v>
      </c>
      <c r="Z338">
        <v>0</v>
      </c>
      <c r="AA338" s="1">
        <v>0</v>
      </c>
      <c r="AB338">
        <v>336</v>
      </c>
      <c r="AC338">
        <v>0</v>
      </c>
      <c r="AD338">
        <v>0</v>
      </c>
      <c r="AE338">
        <v>0</v>
      </c>
      <c r="AF338">
        <v>0</v>
      </c>
      <c r="AG338">
        <v>0</v>
      </c>
      <c r="AH338" s="1">
        <v>0</v>
      </c>
      <c r="AI338">
        <v>336</v>
      </c>
      <c r="AJ338">
        <v>0</v>
      </c>
      <c r="AK338">
        <v>0</v>
      </c>
      <c r="AL338">
        <v>0</v>
      </c>
      <c r="AM338">
        <v>0</v>
      </c>
      <c r="AN338">
        <v>0</v>
      </c>
      <c r="AO338" s="1">
        <v>0</v>
      </c>
    </row>
    <row r="339" spans="7:41" x14ac:dyDescent="0.35">
      <c r="G339">
        <v>337</v>
      </c>
      <c r="H339">
        <v>2</v>
      </c>
      <c r="I339">
        <v>0</v>
      </c>
      <c r="J339">
        <v>1</v>
      </c>
      <c r="K339">
        <v>0</v>
      </c>
      <c r="L339">
        <v>1</v>
      </c>
      <c r="M339" s="1">
        <v>240</v>
      </c>
      <c r="N339">
        <v>337</v>
      </c>
      <c r="O339">
        <v>1</v>
      </c>
      <c r="P339">
        <v>1</v>
      </c>
      <c r="Q339">
        <v>0</v>
      </c>
      <c r="R339">
        <v>0</v>
      </c>
      <c r="S339">
        <v>0</v>
      </c>
      <c r="T339" s="1">
        <v>160</v>
      </c>
      <c r="U339">
        <v>337</v>
      </c>
      <c r="V339">
        <v>0</v>
      </c>
      <c r="W339">
        <v>0</v>
      </c>
      <c r="X339">
        <v>1</v>
      </c>
      <c r="Y339">
        <v>0</v>
      </c>
      <c r="Z339">
        <v>1</v>
      </c>
      <c r="AA339" s="1">
        <v>200</v>
      </c>
      <c r="AB339">
        <v>337</v>
      </c>
      <c r="AC339">
        <v>0</v>
      </c>
      <c r="AD339">
        <v>0</v>
      </c>
      <c r="AE339">
        <v>1</v>
      </c>
      <c r="AF339">
        <v>0</v>
      </c>
      <c r="AG339">
        <v>0</v>
      </c>
      <c r="AH339" s="1">
        <v>120</v>
      </c>
      <c r="AI339">
        <v>337</v>
      </c>
      <c r="AJ339">
        <v>0</v>
      </c>
      <c r="AK339">
        <v>0</v>
      </c>
      <c r="AL339">
        <v>3</v>
      </c>
      <c r="AM339">
        <v>0</v>
      </c>
      <c r="AN339">
        <v>0</v>
      </c>
      <c r="AO339" s="1">
        <v>450</v>
      </c>
    </row>
    <row r="340" spans="7:41" x14ac:dyDescent="0.35">
      <c r="G340">
        <v>338</v>
      </c>
      <c r="H340">
        <v>1</v>
      </c>
      <c r="I340">
        <v>0</v>
      </c>
      <c r="J340">
        <v>2</v>
      </c>
      <c r="K340">
        <v>0</v>
      </c>
      <c r="L340">
        <v>1</v>
      </c>
      <c r="M340" s="1">
        <v>240</v>
      </c>
      <c r="N340">
        <v>338</v>
      </c>
      <c r="O340">
        <v>0</v>
      </c>
      <c r="P340">
        <v>1</v>
      </c>
      <c r="Q340">
        <v>0</v>
      </c>
      <c r="R340">
        <v>0</v>
      </c>
      <c r="S340">
        <v>0</v>
      </c>
      <c r="T340" s="1">
        <v>80</v>
      </c>
      <c r="U340">
        <v>338</v>
      </c>
      <c r="V340">
        <v>0</v>
      </c>
      <c r="W340">
        <v>0</v>
      </c>
      <c r="X340">
        <v>0</v>
      </c>
      <c r="Y340">
        <v>0</v>
      </c>
      <c r="Z340">
        <v>0</v>
      </c>
      <c r="AA340" s="1">
        <v>0</v>
      </c>
      <c r="AB340">
        <v>338</v>
      </c>
      <c r="AC340">
        <v>0</v>
      </c>
      <c r="AD340">
        <v>0</v>
      </c>
      <c r="AE340">
        <v>1</v>
      </c>
      <c r="AF340">
        <v>0</v>
      </c>
      <c r="AG340">
        <v>0</v>
      </c>
      <c r="AH340" s="1">
        <v>120</v>
      </c>
      <c r="AI340">
        <v>338</v>
      </c>
      <c r="AJ340">
        <v>0</v>
      </c>
      <c r="AK340">
        <v>0</v>
      </c>
      <c r="AL340">
        <v>1</v>
      </c>
      <c r="AM340">
        <v>0</v>
      </c>
      <c r="AN340">
        <v>0</v>
      </c>
      <c r="AO340" s="1">
        <v>150</v>
      </c>
    </row>
    <row r="341" spans="7:41" x14ac:dyDescent="0.35">
      <c r="G341">
        <v>339</v>
      </c>
      <c r="H341">
        <v>0</v>
      </c>
      <c r="I341">
        <v>2</v>
      </c>
      <c r="J341">
        <v>0</v>
      </c>
      <c r="K341">
        <v>4</v>
      </c>
      <c r="L341">
        <v>0</v>
      </c>
      <c r="M341" s="1">
        <v>360</v>
      </c>
      <c r="N341">
        <v>339</v>
      </c>
      <c r="O341">
        <v>0</v>
      </c>
      <c r="P341">
        <v>0</v>
      </c>
      <c r="Q341">
        <v>0</v>
      </c>
      <c r="R341">
        <v>0</v>
      </c>
      <c r="S341">
        <v>0</v>
      </c>
      <c r="T341" s="1">
        <v>0</v>
      </c>
      <c r="U341">
        <v>339</v>
      </c>
      <c r="V341">
        <v>0</v>
      </c>
      <c r="W341">
        <v>0</v>
      </c>
      <c r="X341">
        <v>0</v>
      </c>
      <c r="Y341">
        <v>0</v>
      </c>
      <c r="Z341">
        <v>0</v>
      </c>
      <c r="AA341" s="1">
        <v>0</v>
      </c>
      <c r="AB341">
        <v>339</v>
      </c>
      <c r="AC341">
        <v>0</v>
      </c>
      <c r="AD341">
        <v>0</v>
      </c>
      <c r="AE341">
        <v>0</v>
      </c>
      <c r="AF341">
        <v>0</v>
      </c>
      <c r="AG341">
        <v>0</v>
      </c>
      <c r="AH341" s="1">
        <v>0</v>
      </c>
      <c r="AI341">
        <v>339</v>
      </c>
      <c r="AJ341">
        <v>0</v>
      </c>
      <c r="AK341">
        <v>0</v>
      </c>
      <c r="AL341">
        <v>0</v>
      </c>
      <c r="AM341">
        <v>0</v>
      </c>
      <c r="AN341">
        <v>0</v>
      </c>
      <c r="AO341" s="1">
        <v>0</v>
      </c>
    </row>
    <row r="342" spans="7:41" x14ac:dyDescent="0.35">
      <c r="G342">
        <v>340</v>
      </c>
      <c r="H342">
        <v>0</v>
      </c>
      <c r="I342">
        <v>1</v>
      </c>
      <c r="J342">
        <v>0</v>
      </c>
      <c r="K342">
        <v>2</v>
      </c>
      <c r="L342">
        <v>0</v>
      </c>
      <c r="M342" s="1">
        <v>180</v>
      </c>
      <c r="N342">
        <v>340</v>
      </c>
      <c r="O342">
        <v>0</v>
      </c>
      <c r="P342">
        <v>0</v>
      </c>
      <c r="Q342">
        <v>2</v>
      </c>
      <c r="R342">
        <v>1</v>
      </c>
      <c r="S342">
        <v>0</v>
      </c>
      <c r="T342" s="1">
        <v>240</v>
      </c>
      <c r="U342">
        <v>340</v>
      </c>
      <c r="V342">
        <v>0</v>
      </c>
      <c r="W342">
        <v>0</v>
      </c>
      <c r="X342">
        <v>0</v>
      </c>
      <c r="Y342">
        <v>0</v>
      </c>
      <c r="Z342">
        <v>0</v>
      </c>
      <c r="AA342" s="1">
        <v>0</v>
      </c>
      <c r="AB342">
        <v>340</v>
      </c>
      <c r="AC342">
        <v>0</v>
      </c>
      <c r="AD342">
        <v>0</v>
      </c>
      <c r="AE342">
        <v>0</v>
      </c>
      <c r="AF342">
        <v>0</v>
      </c>
      <c r="AG342">
        <v>1</v>
      </c>
      <c r="AH342" s="1">
        <v>120</v>
      </c>
      <c r="AI342">
        <v>340</v>
      </c>
      <c r="AJ342">
        <v>0</v>
      </c>
      <c r="AK342">
        <v>0</v>
      </c>
      <c r="AL342">
        <v>0</v>
      </c>
      <c r="AM342">
        <v>0</v>
      </c>
      <c r="AN342">
        <v>0</v>
      </c>
      <c r="AO342" s="1">
        <v>0</v>
      </c>
    </row>
    <row r="343" spans="7:41" x14ac:dyDescent="0.35">
      <c r="G343">
        <v>341</v>
      </c>
      <c r="H343">
        <v>0</v>
      </c>
      <c r="I343">
        <v>3</v>
      </c>
      <c r="J343">
        <v>3</v>
      </c>
      <c r="K343">
        <v>0</v>
      </c>
      <c r="L343">
        <v>0</v>
      </c>
      <c r="M343" s="1">
        <v>360</v>
      </c>
      <c r="N343">
        <v>341</v>
      </c>
      <c r="O343">
        <v>0</v>
      </c>
      <c r="P343">
        <v>0</v>
      </c>
      <c r="Q343">
        <v>0</v>
      </c>
      <c r="R343">
        <v>0</v>
      </c>
      <c r="S343">
        <v>0</v>
      </c>
      <c r="T343" s="1">
        <v>0</v>
      </c>
      <c r="U343">
        <v>341</v>
      </c>
      <c r="V343">
        <v>0</v>
      </c>
      <c r="W343">
        <v>0</v>
      </c>
      <c r="X343">
        <v>0</v>
      </c>
      <c r="Y343">
        <v>0</v>
      </c>
      <c r="Z343">
        <v>0</v>
      </c>
      <c r="AA343" s="1">
        <v>0</v>
      </c>
      <c r="AB343">
        <v>341</v>
      </c>
      <c r="AC343">
        <v>0</v>
      </c>
      <c r="AD343">
        <v>0</v>
      </c>
      <c r="AE343">
        <v>0</v>
      </c>
      <c r="AF343">
        <v>0</v>
      </c>
      <c r="AG343">
        <v>0</v>
      </c>
      <c r="AH343" s="1">
        <v>0</v>
      </c>
      <c r="AI343">
        <v>341</v>
      </c>
      <c r="AJ343">
        <v>0</v>
      </c>
      <c r="AK343">
        <v>0</v>
      </c>
      <c r="AL343">
        <v>0</v>
      </c>
      <c r="AM343">
        <v>0</v>
      </c>
      <c r="AN343">
        <v>0</v>
      </c>
      <c r="AO343" s="1">
        <v>0</v>
      </c>
    </row>
    <row r="344" spans="7:41" x14ac:dyDescent="0.35">
      <c r="G344">
        <v>342</v>
      </c>
      <c r="H344">
        <v>0</v>
      </c>
      <c r="I344">
        <v>2</v>
      </c>
      <c r="J344">
        <v>1</v>
      </c>
      <c r="K344">
        <v>4</v>
      </c>
      <c r="L344">
        <v>0</v>
      </c>
      <c r="M344" s="1">
        <v>420</v>
      </c>
      <c r="N344">
        <v>342</v>
      </c>
      <c r="O344">
        <v>2</v>
      </c>
      <c r="P344">
        <v>0</v>
      </c>
      <c r="Q344">
        <v>0</v>
      </c>
      <c r="R344">
        <v>2</v>
      </c>
      <c r="S344">
        <v>0</v>
      </c>
      <c r="T344" s="1">
        <v>320</v>
      </c>
      <c r="U344">
        <v>342</v>
      </c>
      <c r="V344">
        <v>0</v>
      </c>
      <c r="W344">
        <v>0</v>
      </c>
      <c r="X344">
        <v>1</v>
      </c>
      <c r="Y344">
        <v>0</v>
      </c>
      <c r="Z344">
        <v>0</v>
      </c>
      <c r="AA344" s="1">
        <v>100</v>
      </c>
      <c r="AB344">
        <v>342</v>
      </c>
      <c r="AC344">
        <v>0</v>
      </c>
      <c r="AD344">
        <v>0</v>
      </c>
      <c r="AE344">
        <v>0</v>
      </c>
      <c r="AF344">
        <v>0</v>
      </c>
      <c r="AG344">
        <v>0</v>
      </c>
      <c r="AH344" s="1">
        <v>0</v>
      </c>
      <c r="AI344">
        <v>342</v>
      </c>
      <c r="AJ344">
        <v>0</v>
      </c>
      <c r="AK344">
        <v>0</v>
      </c>
      <c r="AL344">
        <v>1</v>
      </c>
      <c r="AM344">
        <v>0</v>
      </c>
      <c r="AN344">
        <v>0</v>
      </c>
      <c r="AO344" s="1">
        <v>150</v>
      </c>
    </row>
    <row r="345" spans="7:41" x14ac:dyDescent="0.35">
      <c r="G345">
        <v>343</v>
      </c>
      <c r="H345">
        <v>2</v>
      </c>
      <c r="I345">
        <v>1</v>
      </c>
      <c r="J345">
        <v>2</v>
      </c>
      <c r="K345">
        <v>1</v>
      </c>
      <c r="L345">
        <v>2</v>
      </c>
      <c r="M345" s="1">
        <v>480</v>
      </c>
      <c r="N345">
        <v>343</v>
      </c>
      <c r="O345">
        <v>0</v>
      </c>
      <c r="P345">
        <v>0</v>
      </c>
      <c r="Q345">
        <v>0</v>
      </c>
      <c r="R345">
        <v>0</v>
      </c>
      <c r="S345">
        <v>1</v>
      </c>
      <c r="T345" s="1">
        <v>80</v>
      </c>
      <c r="U345">
        <v>343</v>
      </c>
      <c r="V345">
        <v>0</v>
      </c>
      <c r="W345">
        <v>0</v>
      </c>
      <c r="X345">
        <v>0</v>
      </c>
      <c r="Y345">
        <v>1</v>
      </c>
      <c r="Z345">
        <v>0</v>
      </c>
      <c r="AA345" s="1">
        <v>100</v>
      </c>
      <c r="AB345">
        <v>343</v>
      </c>
      <c r="AC345">
        <v>0</v>
      </c>
      <c r="AD345">
        <v>0</v>
      </c>
      <c r="AE345">
        <v>0</v>
      </c>
      <c r="AF345">
        <v>0</v>
      </c>
      <c r="AG345">
        <v>0</v>
      </c>
      <c r="AH345" s="1">
        <v>0</v>
      </c>
      <c r="AI345">
        <v>343</v>
      </c>
      <c r="AJ345">
        <v>0</v>
      </c>
      <c r="AK345">
        <v>0</v>
      </c>
      <c r="AL345">
        <v>1</v>
      </c>
      <c r="AM345">
        <v>0</v>
      </c>
      <c r="AN345">
        <v>0</v>
      </c>
      <c r="AO345" s="1">
        <v>150</v>
      </c>
    </row>
    <row r="346" spans="7:41" x14ac:dyDescent="0.35">
      <c r="G346">
        <v>344</v>
      </c>
      <c r="H346">
        <v>0</v>
      </c>
      <c r="I346">
        <v>0</v>
      </c>
      <c r="J346">
        <v>1</v>
      </c>
      <c r="K346">
        <v>0</v>
      </c>
      <c r="L346">
        <v>2</v>
      </c>
      <c r="M346" s="1">
        <v>180</v>
      </c>
      <c r="N346">
        <v>344</v>
      </c>
      <c r="O346">
        <v>0</v>
      </c>
      <c r="P346">
        <v>2</v>
      </c>
      <c r="Q346">
        <v>1</v>
      </c>
      <c r="R346">
        <v>0</v>
      </c>
      <c r="S346">
        <v>0</v>
      </c>
      <c r="T346" s="1">
        <v>240</v>
      </c>
      <c r="U346">
        <v>344</v>
      </c>
      <c r="V346">
        <v>0</v>
      </c>
      <c r="W346">
        <v>0</v>
      </c>
      <c r="X346">
        <v>0</v>
      </c>
      <c r="Y346">
        <v>0</v>
      </c>
      <c r="Z346">
        <v>1</v>
      </c>
      <c r="AA346" s="1">
        <v>100</v>
      </c>
      <c r="AB346">
        <v>344</v>
      </c>
      <c r="AC346">
        <v>0</v>
      </c>
      <c r="AD346">
        <v>1</v>
      </c>
      <c r="AE346">
        <v>1</v>
      </c>
      <c r="AF346">
        <v>0</v>
      </c>
      <c r="AG346">
        <v>0</v>
      </c>
      <c r="AH346" s="1">
        <v>240</v>
      </c>
      <c r="AI346">
        <v>344</v>
      </c>
      <c r="AJ346">
        <v>0</v>
      </c>
      <c r="AK346">
        <v>0</v>
      </c>
      <c r="AL346">
        <v>1</v>
      </c>
      <c r="AM346">
        <v>0</v>
      </c>
      <c r="AN346">
        <v>0</v>
      </c>
      <c r="AO346" s="1">
        <v>150</v>
      </c>
    </row>
    <row r="347" spans="7:41" x14ac:dyDescent="0.35">
      <c r="G347">
        <v>345</v>
      </c>
      <c r="H347">
        <v>0</v>
      </c>
      <c r="I347">
        <v>1</v>
      </c>
      <c r="J347">
        <v>1</v>
      </c>
      <c r="K347">
        <v>0</v>
      </c>
      <c r="L347">
        <v>0</v>
      </c>
      <c r="M347" s="1">
        <v>120</v>
      </c>
      <c r="N347">
        <v>345</v>
      </c>
      <c r="O347">
        <v>1</v>
      </c>
      <c r="P347">
        <v>0</v>
      </c>
      <c r="Q347">
        <v>1</v>
      </c>
      <c r="R347">
        <v>0</v>
      </c>
      <c r="S347">
        <v>1</v>
      </c>
      <c r="T347" s="1">
        <v>240</v>
      </c>
      <c r="U347">
        <v>345</v>
      </c>
      <c r="V347">
        <v>0</v>
      </c>
      <c r="W347">
        <v>0</v>
      </c>
      <c r="X347">
        <v>0</v>
      </c>
      <c r="Y347">
        <v>0</v>
      </c>
      <c r="Z347">
        <v>0</v>
      </c>
      <c r="AA347" s="1">
        <v>0</v>
      </c>
      <c r="AB347">
        <v>345</v>
      </c>
      <c r="AC347">
        <v>0</v>
      </c>
      <c r="AD347">
        <v>0</v>
      </c>
      <c r="AE347">
        <v>0</v>
      </c>
      <c r="AF347">
        <v>0</v>
      </c>
      <c r="AG347">
        <v>0</v>
      </c>
      <c r="AH347" s="1">
        <v>0</v>
      </c>
      <c r="AI347">
        <v>345</v>
      </c>
      <c r="AJ347">
        <v>0</v>
      </c>
      <c r="AK347">
        <v>0</v>
      </c>
      <c r="AL347">
        <v>0</v>
      </c>
      <c r="AM347">
        <v>0</v>
      </c>
      <c r="AN347">
        <v>0</v>
      </c>
      <c r="AO347" s="1">
        <v>0</v>
      </c>
    </row>
    <row r="348" spans="7:41" x14ac:dyDescent="0.35">
      <c r="G348">
        <v>346</v>
      </c>
      <c r="H348">
        <v>0</v>
      </c>
      <c r="I348">
        <v>0</v>
      </c>
      <c r="J348">
        <v>1</v>
      </c>
      <c r="K348">
        <v>0</v>
      </c>
      <c r="L348">
        <v>0</v>
      </c>
      <c r="M348" s="1">
        <v>60</v>
      </c>
      <c r="N348">
        <v>346</v>
      </c>
      <c r="O348">
        <v>2</v>
      </c>
      <c r="P348">
        <v>0</v>
      </c>
      <c r="Q348">
        <v>0</v>
      </c>
      <c r="R348">
        <v>0</v>
      </c>
      <c r="S348">
        <v>0</v>
      </c>
      <c r="T348" s="1">
        <v>160</v>
      </c>
      <c r="U348">
        <v>346</v>
      </c>
      <c r="V348">
        <v>0</v>
      </c>
      <c r="W348">
        <v>2</v>
      </c>
      <c r="X348">
        <v>0</v>
      </c>
      <c r="Y348">
        <v>0</v>
      </c>
      <c r="Z348">
        <v>0</v>
      </c>
      <c r="AA348" s="1">
        <v>200</v>
      </c>
      <c r="AB348">
        <v>346</v>
      </c>
      <c r="AC348">
        <v>0</v>
      </c>
      <c r="AD348">
        <v>0</v>
      </c>
      <c r="AE348">
        <v>0</v>
      </c>
      <c r="AF348">
        <v>1</v>
      </c>
      <c r="AG348">
        <v>0</v>
      </c>
      <c r="AH348" s="1">
        <v>120</v>
      </c>
      <c r="AI348">
        <v>346</v>
      </c>
      <c r="AJ348">
        <v>0</v>
      </c>
      <c r="AK348">
        <v>0</v>
      </c>
      <c r="AL348">
        <v>1</v>
      </c>
      <c r="AM348">
        <v>0</v>
      </c>
      <c r="AN348">
        <v>0</v>
      </c>
      <c r="AO348" s="1">
        <v>150</v>
      </c>
    </row>
    <row r="349" spans="7:41" x14ac:dyDescent="0.35">
      <c r="G349">
        <v>347</v>
      </c>
      <c r="H349">
        <v>0</v>
      </c>
      <c r="I349">
        <v>0</v>
      </c>
      <c r="J349">
        <v>0</v>
      </c>
      <c r="K349">
        <v>0</v>
      </c>
      <c r="L349">
        <v>0</v>
      </c>
      <c r="M349" s="1">
        <v>0</v>
      </c>
      <c r="N349">
        <v>347</v>
      </c>
      <c r="O349">
        <v>0</v>
      </c>
      <c r="P349">
        <v>0</v>
      </c>
      <c r="Q349">
        <v>0</v>
      </c>
      <c r="R349">
        <v>0</v>
      </c>
      <c r="S349">
        <v>0</v>
      </c>
      <c r="T349" s="1">
        <v>0</v>
      </c>
      <c r="U349">
        <v>347</v>
      </c>
      <c r="V349">
        <v>0</v>
      </c>
      <c r="W349">
        <v>0</v>
      </c>
      <c r="X349">
        <v>0</v>
      </c>
      <c r="Y349">
        <v>0</v>
      </c>
      <c r="Z349">
        <v>0</v>
      </c>
      <c r="AA349" s="1">
        <v>0</v>
      </c>
      <c r="AB349">
        <v>347</v>
      </c>
      <c r="AC349">
        <v>0</v>
      </c>
      <c r="AD349">
        <v>0</v>
      </c>
      <c r="AE349">
        <v>0</v>
      </c>
      <c r="AF349">
        <v>0</v>
      </c>
      <c r="AG349">
        <v>0</v>
      </c>
      <c r="AH349" s="1">
        <v>0</v>
      </c>
      <c r="AI349">
        <v>347</v>
      </c>
      <c r="AJ349">
        <v>0</v>
      </c>
      <c r="AK349">
        <v>0</v>
      </c>
      <c r="AL349">
        <v>0</v>
      </c>
      <c r="AM349">
        <v>0</v>
      </c>
      <c r="AN349">
        <v>0</v>
      </c>
      <c r="AO349" s="1">
        <v>0</v>
      </c>
    </row>
    <row r="350" spans="7:41" x14ac:dyDescent="0.35">
      <c r="G350">
        <v>348</v>
      </c>
      <c r="H350">
        <v>1</v>
      </c>
      <c r="I350">
        <v>1</v>
      </c>
      <c r="J350">
        <v>2</v>
      </c>
      <c r="K350">
        <v>0</v>
      </c>
      <c r="L350">
        <v>4</v>
      </c>
      <c r="M350" s="1">
        <v>480</v>
      </c>
      <c r="N350">
        <v>348</v>
      </c>
      <c r="O350">
        <v>3</v>
      </c>
      <c r="P350">
        <v>0</v>
      </c>
      <c r="Q350">
        <v>1</v>
      </c>
      <c r="R350">
        <v>0</v>
      </c>
      <c r="S350">
        <v>0</v>
      </c>
      <c r="T350" s="1">
        <v>320</v>
      </c>
      <c r="U350">
        <v>348</v>
      </c>
      <c r="V350">
        <v>1</v>
      </c>
      <c r="W350">
        <v>1</v>
      </c>
      <c r="X350">
        <v>0</v>
      </c>
      <c r="Y350">
        <v>0</v>
      </c>
      <c r="Z350">
        <v>0</v>
      </c>
      <c r="AA350" s="1">
        <v>200</v>
      </c>
      <c r="AB350">
        <v>348</v>
      </c>
      <c r="AC350">
        <v>0</v>
      </c>
      <c r="AD350">
        <v>0</v>
      </c>
      <c r="AE350">
        <v>0</v>
      </c>
      <c r="AF350">
        <v>0</v>
      </c>
      <c r="AG350">
        <v>0</v>
      </c>
      <c r="AH350" s="1">
        <v>0</v>
      </c>
      <c r="AI350">
        <v>348</v>
      </c>
      <c r="AJ350">
        <v>0</v>
      </c>
      <c r="AK350">
        <v>0</v>
      </c>
      <c r="AL350">
        <v>1</v>
      </c>
      <c r="AM350">
        <v>0</v>
      </c>
      <c r="AN350">
        <v>0</v>
      </c>
      <c r="AO350" s="1">
        <v>150</v>
      </c>
    </row>
    <row r="351" spans="7:41" x14ac:dyDescent="0.35">
      <c r="G351">
        <v>349</v>
      </c>
      <c r="H351">
        <v>0</v>
      </c>
      <c r="I351">
        <v>1</v>
      </c>
      <c r="J351">
        <v>0</v>
      </c>
      <c r="K351">
        <v>1</v>
      </c>
      <c r="L351">
        <v>0</v>
      </c>
      <c r="M351" s="1">
        <v>120</v>
      </c>
      <c r="N351">
        <v>349</v>
      </c>
      <c r="O351">
        <v>0</v>
      </c>
      <c r="P351">
        <v>0</v>
      </c>
      <c r="Q351">
        <v>0</v>
      </c>
      <c r="R351">
        <v>0</v>
      </c>
      <c r="S351">
        <v>0</v>
      </c>
      <c r="T351" s="1">
        <v>0</v>
      </c>
      <c r="U351">
        <v>349</v>
      </c>
      <c r="V351">
        <v>0</v>
      </c>
      <c r="W351">
        <v>1</v>
      </c>
      <c r="X351">
        <v>0</v>
      </c>
      <c r="Y351">
        <v>0</v>
      </c>
      <c r="Z351">
        <v>0</v>
      </c>
      <c r="AA351" s="1">
        <v>100</v>
      </c>
      <c r="AB351">
        <v>349</v>
      </c>
      <c r="AC351">
        <v>0</v>
      </c>
      <c r="AD351">
        <v>0</v>
      </c>
      <c r="AE351">
        <v>0</v>
      </c>
      <c r="AF351">
        <v>0</v>
      </c>
      <c r="AG351">
        <v>0</v>
      </c>
      <c r="AH351" s="1">
        <v>0</v>
      </c>
      <c r="AI351">
        <v>349</v>
      </c>
      <c r="AJ351">
        <v>0</v>
      </c>
      <c r="AK351">
        <v>0</v>
      </c>
      <c r="AL351">
        <v>0</v>
      </c>
      <c r="AM351">
        <v>0</v>
      </c>
      <c r="AN351">
        <v>0</v>
      </c>
      <c r="AO351" s="1">
        <v>0</v>
      </c>
    </row>
    <row r="352" spans="7:41" x14ac:dyDescent="0.35">
      <c r="G352">
        <v>350</v>
      </c>
      <c r="H352">
        <v>0</v>
      </c>
      <c r="I352">
        <v>1</v>
      </c>
      <c r="J352">
        <v>0</v>
      </c>
      <c r="K352">
        <v>0</v>
      </c>
      <c r="L352">
        <v>0</v>
      </c>
      <c r="M352" s="1">
        <v>60</v>
      </c>
      <c r="N352">
        <v>350</v>
      </c>
      <c r="O352">
        <v>1</v>
      </c>
      <c r="P352">
        <v>0</v>
      </c>
      <c r="Q352">
        <v>0</v>
      </c>
      <c r="R352">
        <v>0</v>
      </c>
      <c r="S352">
        <v>1</v>
      </c>
      <c r="T352" s="1">
        <v>160</v>
      </c>
      <c r="U352">
        <v>350</v>
      </c>
      <c r="V352">
        <v>0</v>
      </c>
      <c r="W352">
        <v>0</v>
      </c>
      <c r="X352">
        <v>0</v>
      </c>
      <c r="Y352">
        <v>0</v>
      </c>
      <c r="Z352">
        <v>0</v>
      </c>
      <c r="AA352" s="1">
        <v>0</v>
      </c>
      <c r="AB352">
        <v>350</v>
      </c>
      <c r="AC352">
        <v>0</v>
      </c>
      <c r="AD352">
        <v>0</v>
      </c>
      <c r="AE352">
        <v>0</v>
      </c>
      <c r="AF352">
        <v>0</v>
      </c>
      <c r="AG352">
        <v>0</v>
      </c>
      <c r="AH352" s="1">
        <v>0</v>
      </c>
      <c r="AI352">
        <v>350</v>
      </c>
      <c r="AJ352">
        <v>0</v>
      </c>
      <c r="AK352">
        <v>0</v>
      </c>
      <c r="AL352">
        <v>0</v>
      </c>
      <c r="AM352">
        <v>0</v>
      </c>
      <c r="AN352">
        <v>0</v>
      </c>
      <c r="AO352" s="1">
        <v>0</v>
      </c>
    </row>
    <row r="353" spans="7:41" x14ac:dyDescent="0.35">
      <c r="G353">
        <v>351</v>
      </c>
      <c r="H353">
        <v>0</v>
      </c>
      <c r="I353">
        <v>0</v>
      </c>
      <c r="J353">
        <v>1</v>
      </c>
      <c r="K353">
        <v>0</v>
      </c>
      <c r="L353">
        <v>1</v>
      </c>
      <c r="M353" s="1">
        <v>120</v>
      </c>
      <c r="N353">
        <v>351</v>
      </c>
      <c r="O353">
        <v>0</v>
      </c>
      <c r="P353">
        <v>0</v>
      </c>
      <c r="Q353">
        <v>0</v>
      </c>
      <c r="R353">
        <v>1</v>
      </c>
      <c r="S353">
        <v>0</v>
      </c>
      <c r="T353" s="1">
        <v>80</v>
      </c>
      <c r="U353">
        <v>351</v>
      </c>
      <c r="V353">
        <v>0</v>
      </c>
      <c r="W353">
        <v>1</v>
      </c>
      <c r="X353">
        <v>0</v>
      </c>
      <c r="Y353">
        <v>0</v>
      </c>
      <c r="Z353">
        <v>0</v>
      </c>
      <c r="AA353" s="1">
        <v>100</v>
      </c>
      <c r="AB353">
        <v>351</v>
      </c>
      <c r="AC353">
        <v>0</v>
      </c>
      <c r="AD353">
        <v>0</v>
      </c>
      <c r="AE353">
        <v>0</v>
      </c>
      <c r="AF353">
        <v>0</v>
      </c>
      <c r="AG353">
        <v>1</v>
      </c>
      <c r="AH353" s="1">
        <v>120</v>
      </c>
      <c r="AI353">
        <v>351</v>
      </c>
      <c r="AJ353">
        <v>0</v>
      </c>
      <c r="AK353">
        <v>0</v>
      </c>
      <c r="AL353">
        <v>0</v>
      </c>
      <c r="AM353">
        <v>0</v>
      </c>
      <c r="AN353">
        <v>1</v>
      </c>
      <c r="AO353" s="1">
        <v>150</v>
      </c>
    </row>
    <row r="354" spans="7:41" x14ac:dyDescent="0.35">
      <c r="G354">
        <v>352</v>
      </c>
      <c r="H354">
        <v>1</v>
      </c>
      <c r="I354">
        <v>0</v>
      </c>
      <c r="J354">
        <v>3</v>
      </c>
      <c r="K354">
        <v>0</v>
      </c>
      <c r="L354">
        <v>0</v>
      </c>
      <c r="M354" s="1">
        <v>240</v>
      </c>
      <c r="N354">
        <v>352</v>
      </c>
      <c r="O354">
        <v>0</v>
      </c>
      <c r="P354">
        <v>0</v>
      </c>
      <c r="Q354">
        <v>3</v>
      </c>
      <c r="R354">
        <v>1</v>
      </c>
      <c r="S354">
        <v>0</v>
      </c>
      <c r="T354" s="1">
        <v>320</v>
      </c>
      <c r="U354">
        <v>352</v>
      </c>
      <c r="V354">
        <v>0</v>
      </c>
      <c r="W354">
        <v>1</v>
      </c>
      <c r="X354">
        <v>0</v>
      </c>
      <c r="Y354">
        <v>0</v>
      </c>
      <c r="Z354">
        <v>0</v>
      </c>
      <c r="AA354" s="1">
        <v>100</v>
      </c>
      <c r="AB354">
        <v>352</v>
      </c>
      <c r="AC354">
        <v>0</v>
      </c>
      <c r="AD354">
        <v>0</v>
      </c>
      <c r="AE354">
        <v>0</v>
      </c>
      <c r="AF354">
        <v>0</v>
      </c>
      <c r="AG354">
        <v>0</v>
      </c>
      <c r="AH354" s="1">
        <v>0</v>
      </c>
      <c r="AI354">
        <v>352</v>
      </c>
      <c r="AJ354">
        <v>0</v>
      </c>
      <c r="AK354">
        <v>0</v>
      </c>
      <c r="AL354">
        <v>0</v>
      </c>
      <c r="AM354">
        <v>0</v>
      </c>
      <c r="AN354">
        <v>0</v>
      </c>
      <c r="AO354" s="1">
        <v>0</v>
      </c>
    </row>
    <row r="355" spans="7:41" x14ac:dyDescent="0.35">
      <c r="G355">
        <v>353</v>
      </c>
      <c r="H355">
        <v>0</v>
      </c>
      <c r="I355">
        <v>0</v>
      </c>
      <c r="J355">
        <v>2</v>
      </c>
      <c r="K355">
        <v>2</v>
      </c>
      <c r="L355">
        <v>2</v>
      </c>
      <c r="M355" s="1">
        <v>360</v>
      </c>
      <c r="N355">
        <v>353</v>
      </c>
      <c r="O355">
        <v>0</v>
      </c>
      <c r="P355">
        <v>0</v>
      </c>
      <c r="Q355">
        <v>2</v>
      </c>
      <c r="R355">
        <v>0</v>
      </c>
      <c r="S355">
        <v>0</v>
      </c>
      <c r="T355" s="1">
        <v>160</v>
      </c>
      <c r="U355">
        <v>353</v>
      </c>
      <c r="V355">
        <v>0</v>
      </c>
      <c r="W355">
        <v>1</v>
      </c>
      <c r="X355">
        <v>0</v>
      </c>
      <c r="Y355">
        <v>1</v>
      </c>
      <c r="Z355">
        <v>0</v>
      </c>
      <c r="AA355" s="1">
        <v>200</v>
      </c>
      <c r="AB355">
        <v>353</v>
      </c>
      <c r="AC355">
        <v>0</v>
      </c>
      <c r="AD355">
        <v>0</v>
      </c>
      <c r="AE355">
        <v>0</v>
      </c>
      <c r="AF355">
        <v>0</v>
      </c>
      <c r="AG355">
        <v>0</v>
      </c>
      <c r="AH355" s="1">
        <v>0</v>
      </c>
      <c r="AI355">
        <v>353</v>
      </c>
      <c r="AJ355">
        <v>0</v>
      </c>
      <c r="AK355">
        <v>0</v>
      </c>
      <c r="AL355">
        <v>0</v>
      </c>
      <c r="AM355">
        <v>0</v>
      </c>
      <c r="AN355">
        <v>0</v>
      </c>
      <c r="AO355" s="1">
        <v>0</v>
      </c>
    </row>
    <row r="356" spans="7:41" x14ac:dyDescent="0.35">
      <c r="G356">
        <v>354</v>
      </c>
      <c r="H356">
        <v>2</v>
      </c>
      <c r="I356">
        <v>0</v>
      </c>
      <c r="J356">
        <v>2</v>
      </c>
      <c r="K356">
        <v>0</v>
      </c>
      <c r="L356">
        <v>0</v>
      </c>
      <c r="M356" s="1">
        <v>240</v>
      </c>
      <c r="N356">
        <v>354</v>
      </c>
      <c r="O356">
        <v>0</v>
      </c>
      <c r="P356">
        <v>0</v>
      </c>
      <c r="Q356">
        <v>0</v>
      </c>
      <c r="R356">
        <v>1</v>
      </c>
      <c r="S356">
        <v>1</v>
      </c>
      <c r="T356" s="1">
        <v>160</v>
      </c>
      <c r="U356">
        <v>354</v>
      </c>
      <c r="V356">
        <v>0</v>
      </c>
      <c r="W356">
        <v>0</v>
      </c>
      <c r="X356">
        <v>0</v>
      </c>
      <c r="Y356">
        <v>0</v>
      </c>
      <c r="Z356">
        <v>0</v>
      </c>
      <c r="AA356" s="1">
        <v>0</v>
      </c>
      <c r="AB356">
        <v>354</v>
      </c>
      <c r="AC356">
        <v>0</v>
      </c>
      <c r="AD356">
        <v>0</v>
      </c>
      <c r="AE356">
        <v>0</v>
      </c>
      <c r="AF356">
        <v>0</v>
      </c>
      <c r="AG356">
        <v>0</v>
      </c>
      <c r="AH356" s="1">
        <v>0</v>
      </c>
      <c r="AI356">
        <v>354</v>
      </c>
      <c r="AJ356">
        <v>0</v>
      </c>
      <c r="AK356">
        <v>0</v>
      </c>
      <c r="AL356">
        <v>0</v>
      </c>
      <c r="AM356">
        <v>0</v>
      </c>
      <c r="AN356">
        <v>0</v>
      </c>
      <c r="AO356" s="1">
        <v>0</v>
      </c>
    </row>
    <row r="357" spans="7:41" x14ac:dyDescent="0.35">
      <c r="G357">
        <v>355</v>
      </c>
      <c r="H357">
        <v>0</v>
      </c>
      <c r="I357">
        <v>0</v>
      </c>
      <c r="J357">
        <v>0</v>
      </c>
      <c r="K357">
        <v>4</v>
      </c>
      <c r="L357">
        <v>0</v>
      </c>
      <c r="M357" s="1">
        <v>240</v>
      </c>
      <c r="N357">
        <v>355</v>
      </c>
      <c r="O357">
        <v>0</v>
      </c>
      <c r="P357">
        <v>0</v>
      </c>
      <c r="Q357">
        <v>0</v>
      </c>
      <c r="R357">
        <v>1</v>
      </c>
      <c r="S357">
        <v>2</v>
      </c>
      <c r="T357" s="1">
        <v>240</v>
      </c>
      <c r="U357">
        <v>355</v>
      </c>
      <c r="V357">
        <v>0</v>
      </c>
      <c r="W357">
        <v>1</v>
      </c>
      <c r="X357">
        <v>0</v>
      </c>
      <c r="Y357">
        <v>0</v>
      </c>
      <c r="Z357">
        <v>1</v>
      </c>
      <c r="AA357" s="1">
        <v>200</v>
      </c>
      <c r="AB357">
        <v>355</v>
      </c>
      <c r="AC357">
        <v>0</v>
      </c>
      <c r="AD357">
        <v>0</v>
      </c>
      <c r="AE357">
        <v>0</v>
      </c>
      <c r="AF357">
        <v>0</v>
      </c>
      <c r="AG357">
        <v>0</v>
      </c>
      <c r="AH357" s="1">
        <v>0</v>
      </c>
      <c r="AI357">
        <v>355</v>
      </c>
      <c r="AJ357">
        <v>0</v>
      </c>
      <c r="AK357">
        <v>0</v>
      </c>
      <c r="AL357">
        <v>0</v>
      </c>
      <c r="AM357">
        <v>0</v>
      </c>
      <c r="AN357">
        <v>0</v>
      </c>
      <c r="AO357" s="1">
        <v>0</v>
      </c>
    </row>
    <row r="358" spans="7:41" x14ac:dyDescent="0.35">
      <c r="G358">
        <v>356</v>
      </c>
      <c r="H358">
        <v>0</v>
      </c>
      <c r="I358">
        <v>4</v>
      </c>
      <c r="J358">
        <v>0</v>
      </c>
      <c r="K358">
        <v>0</v>
      </c>
      <c r="L358">
        <v>0</v>
      </c>
      <c r="M358" s="1">
        <v>240</v>
      </c>
      <c r="N358">
        <v>356</v>
      </c>
      <c r="O358">
        <v>0</v>
      </c>
      <c r="P358">
        <v>0</v>
      </c>
      <c r="Q358">
        <v>0</v>
      </c>
      <c r="R358">
        <v>1</v>
      </c>
      <c r="S358">
        <v>0</v>
      </c>
      <c r="T358" s="1">
        <v>80</v>
      </c>
      <c r="U358">
        <v>356</v>
      </c>
      <c r="V358">
        <v>0</v>
      </c>
      <c r="W358">
        <v>0</v>
      </c>
      <c r="X358">
        <v>0</v>
      </c>
      <c r="Y358">
        <v>0</v>
      </c>
      <c r="Z358">
        <v>0</v>
      </c>
      <c r="AA358" s="1">
        <v>0</v>
      </c>
      <c r="AB358">
        <v>356</v>
      </c>
      <c r="AC358">
        <v>0</v>
      </c>
      <c r="AD358">
        <v>0</v>
      </c>
      <c r="AE358">
        <v>0</v>
      </c>
      <c r="AF358">
        <v>0</v>
      </c>
      <c r="AG358">
        <v>0</v>
      </c>
      <c r="AH358" s="1">
        <v>0</v>
      </c>
      <c r="AI358">
        <v>356</v>
      </c>
      <c r="AJ358">
        <v>0</v>
      </c>
      <c r="AK358">
        <v>0</v>
      </c>
      <c r="AL358">
        <v>1</v>
      </c>
      <c r="AM358">
        <v>0</v>
      </c>
      <c r="AN358">
        <v>0</v>
      </c>
      <c r="AO358" s="1">
        <v>150</v>
      </c>
    </row>
    <row r="359" spans="7:41" x14ac:dyDescent="0.35">
      <c r="G359">
        <v>357</v>
      </c>
      <c r="H359">
        <v>1</v>
      </c>
      <c r="I359">
        <v>1</v>
      </c>
      <c r="J359">
        <v>3</v>
      </c>
      <c r="K359">
        <v>0</v>
      </c>
      <c r="L359">
        <v>1</v>
      </c>
      <c r="M359" s="1">
        <v>360</v>
      </c>
      <c r="N359">
        <v>357</v>
      </c>
      <c r="O359">
        <v>0</v>
      </c>
      <c r="P359">
        <v>0</v>
      </c>
      <c r="Q359">
        <v>0</v>
      </c>
      <c r="R359">
        <v>1</v>
      </c>
      <c r="S359">
        <v>0</v>
      </c>
      <c r="T359" s="1">
        <v>80</v>
      </c>
      <c r="U359">
        <v>357</v>
      </c>
      <c r="V359">
        <v>0</v>
      </c>
      <c r="W359">
        <v>0</v>
      </c>
      <c r="X359">
        <v>0</v>
      </c>
      <c r="Y359">
        <v>0</v>
      </c>
      <c r="Z359">
        <v>1</v>
      </c>
      <c r="AA359" s="1">
        <v>100</v>
      </c>
      <c r="AB359">
        <v>357</v>
      </c>
      <c r="AC359">
        <v>0</v>
      </c>
      <c r="AD359">
        <v>0</v>
      </c>
      <c r="AE359">
        <v>0</v>
      </c>
      <c r="AF359">
        <v>0</v>
      </c>
      <c r="AG359">
        <v>0</v>
      </c>
      <c r="AH359" s="1">
        <v>0</v>
      </c>
      <c r="AI359">
        <v>357</v>
      </c>
      <c r="AJ359">
        <v>0</v>
      </c>
      <c r="AK359">
        <v>0</v>
      </c>
      <c r="AL359">
        <v>0</v>
      </c>
      <c r="AM359">
        <v>0</v>
      </c>
      <c r="AN359">
        <v>0</v>
      </c>
      <c r="AO359" s="1">
        <v>0</v>
      </c>
    </row>
    <row r="360" spans="7:41" x14ac:dyDescent="0.35">
      <c r="G360">
        <v>358</v>
      </c>
      <c r="H360">
        <v>0</v>
      </c>
      <c r="I360">
        <v>0</v>
      </c>
      <c r="J360">
        <v>0</v>
      </c>
      <c r="K360">
        <v>0</v>
      </c>
      <c r="L360">
        <v>0</v>
      </c>
      <c r="M360" s="1">
        <v>0</v>
      </c>
      <c r="N360">
        <v>358</v>
      </c>
      <c r="O360">
        <v>0</v>
      </c>
      <c r="P360">
        <v>0</v>
      </c>
      <c r="Q360">
        <v>0</v>
      </c>
      <c r="R360">
        <v>0</v>
      </c>
      <c r="S360">
        <v>0</v>
      </c>
      <c r="T360" s="1">
        <v>0</v>
      </c>
      <c r="U360">
        <v>358</v>
      </c>
      <c r="V360">
        <v>0</v>
      </c>
      <c r="W360">
        <v>0</v>
      </c>
      <c r="X360">
        <v>0</v>
      </c>
      <c r="Y360">
        <v>0</v>
      </c>
      <c r="Z360">
        <v>0</v>
      </c>
      <c r="AA360" s="1">
        <v>0</v>
      </c>
      <c r="AB360">
        <v>358</v>
      </c>
      <c r="AC360">
        <v>2</v>
      </c>
      <c r="AD360">
        <v>0</v>
      </c>
      <c r="AE360">
        <v>0</v>
      </c>
      <c r="AF360">
        <v>0</v>
      </c>
      <c r="AG360">
        <v>0</v>
      </c>
      <c r="AH360" s="1">
        <v>240</v>
      </c>
      <c r="AI360">
        <v>358</v>
      </c>
      <c r="AJ360">
        <v>0</v>
      </c>
      <c r="AK360">
        <v>0</v>
      </c>
      <c r="AL360">
        <v>2</v>
      </c>
      <c r="AM360">
        <v>0</v>
      </c>
      <c r="AN360">
        <v>0</v>
      </c>
      <c r="AO360" s="1">
        <v>300</v>
      </c>
    </row>
    <row r="361" spans="7:41" x14ac:dyDescent="0.35">
      <c r="G361">
        <v>359</v>
      </c>
      <c r="H361">
        <v>0</v>
      </c>
      <c r="I361">
        <v>1</v>
      </c>
      <c r="J361">
        <v>1</v>
      </c>
      <c r="K361">
        <v>0</v>
      </c>
      <c r="L361">
        <v>2</v>
      </c>
      <c r="M361" s="1">
        <v>240</v>
      </c>
      <c r="N361">
        <v>359</v>
      </c>
      <c r="O361">
        <v>0</v>
      </c>
      <c r="P361">
        <v>1</v>
      </c>
      <c r="Q361">
        <v>0</v>
      </c>
      <c r="R361">
        <v>0</v>
      </c>
      <c r="S361">
        <v>0</v>
      </c>
      <c r="T361" s="1">
        <v>80</v>
      </c>
      <c r="U361">
        <v>359</v>
      </c>
      <c r="V361">
        <v>0</v>
      </c>
      <c r="W361">
        <v>0</v>
      </c>
      <c r="X361">
        <v>0</v>
      </c>
      <c r="Y361">
        <v>0</v>
      </c>
      <c r="Z361">
        <v>0</v>
      </c>
      <c r="AA361" s="1">
        <v>0</v>
      </c>
      <c r="AB361">
        <v>359</v>
      </c>
      <c r="AC361">
        <v>0</v>
      </c>
      <c r="AD361">
        <v>0</v>
      </c>
      <c r="AE361">
        <v>0</v>
      </c>
      <c r="AF361">
        <v>0</v>
      </c>
      <c r="AG361">
        <v>1</v>
      </c>
      <c r="AH361" s="1">
        <v>120</v>
      </c>
      <c r="AI361">
        <v>359</v>
      </c>
      <c r="AJ361">
        <v>0</v>
      </c>
      <c r="AK361">
        <v>0</v>
      </c>
      <c r="AL361">
        <v>0</v>
      </c>
      <c r="AM361">
        <v>0</v>
      </c>
      <c r="AN361">
        <v>0</v>
      </c>
      <c r="AO361" s="1">
        <v>0</v>
      </c>
    </row>
    <row r="362" spans="7:41" x14ac:dyDescent="0.35">
      <c r="G362">
        <v>360</v>
      </c>
      <c r="H362">
        <v>0</v>
      </c>
      <c r="I362">
        <v>0</v>
      </c>
      <c r="J362">
        <v>1</v>
      </c>
      <c r="K362">
        <v>2</v>
      </c>
      <c r="L362">
        <v>0</v>
      </c>
      <c r="M362" s="1">
        <v>180</v>
      </c>
      <c r="N362">
        <v>360</v>
      </c>
      <c r="O362">
        <v>0</v>
      </c>
      <c r="P362">
        <v>0</v>
      </c>
      <c r="Q362">
        <v>0</v>
      </c>
      <c r="R362">
        <v>0</v>
      </c>
      <c r="S362">
        <v>1</v>
      </c>
      <c r="T362" s="1">
        <v>80</v>
      </c>
      <c r="U362">
        <v>360</v>
      </c>
      <c r="V362">
        <v>0</v>
      </c>
      <c r="W362">
        <v>1</v>
      </c>
      <c r="X362">
        <v>0</v>
      </c>
      <c r="Y362">
        <v>0</v>
      </c>
      <c r="Z362">
        <v>0</v>
      </c>
      <c r="AA362" s="1">
        <v>100</v>
      </c>
      <c r="AB362">
        <v>360</v>
      </c>
      <c r="AC362">
        <v>0</v>
      </c>
      <c r="AD362">
        <v>0</v>
      </c>
      <c r="AE362">
        <v>0</v>
      </c>
      <c r="AF362">
        <v>1</v>
      </c>
      <c r="AG362">
        <v>0</v>
      </c>
      <c r="AH362" s="1">
        <v>120</v>
      </c>
      <c r="AI362">
        <v>360</v>
      </c>
      <c r="AJ362">
        <v>2</v>
      </c>
      <c r="AK362">
        <v>0</v>
      </c>
      <c r="AL362">
        <v>0</v>
      </c>
      <c r="AM362">
        <v>0</v>
      </c>
      <c r="AN362">
        <v>0</v>
      </c>
      <c r="AO362" s="1">
        <v>300</v>
      </c>
    </row>
    <row r="363" spans="7:41" x14ac:dyDescent="0.35">
      <c r="G363">
        <v>361</v>
      </c>
      <c r="H363">
        <v>2</v>
      </c>
      <c r="I363">
        <v>3</v>
      </c>
      <c r="J363">
        <v>0</v>
      </c>
      <c r="K363">
        <v>2</v>
      </c>
      <c r="L363">
        <v>0</v>
      </c>
      <c r="M363" s="1">
        <v>420</v>
      </c>
      <c r="N363">
        <v>361</v>
      </c>
      <c r="O363">
        <v>2</v>
      </c>
      <c r="P363">
        <v>0</v>
      </c>
      <c r="Q363">
        <v>1</v>
      </c>
      <c r="R363">
        <v>1</v>
      </c>
      <c r="S363">
        <v>1</v>
      </c>
      <c r="T363" s="1">
        <v>400</v>
      </c>
      <c r="U363">
        <v>361</v>
      </c>
      <c r="V363">
        <v>0</v>
      </c>
      <c r="W363">
        <v>1</v>
      </c>
      <c r="X363">
        <v>0</v>
      </c>
      <c r="Y363">
        <v>0</v>
      </c>
      <c r="Z363">
        <v>0</v>
      </c>
      <c r="AA363" s="1">
        <v>100</v>
      </c>
      <c r="AB363">
        <v>361</v>
      </c>
      <c r="AC363">
        <v>0</v>
      </c>
      <c r="AD363">
        <v>0</v>
      </c>
      <c r="AE363">
        <v>0</v>
      </c>
      <c r="AF363">
        <v>0</v>
      </c>
      <c r="AG363">
        <v>0</v>
      </c>
      <c r="AH363" s="1">
        <v>0</v>
      </c>
      <c r="AI363">
        <v>361</v>
      </c>
      <c r="AJ363">
        <v>0</v>
      </c>
      <c r="AK363">
        <v>0</v>
      </c>
      <c r="AL363">
        <v>2</v>
      </c>
      <c r="AM363">
        <v>0</v>
      </c>
      <c r="AN363">
        <v>0</v>
      </c>
      <c r="AO363" s="1">
        <v>300</v>
      </c>
    </row>
    <row r="364" spans="7:41" x14ac:dyDescent="0.35">
      <c r="G364">
        <v>362</v>
      </c>
      <c r="H364">
        <v>1</v>
      </c>
      <c r="I364">
        <v>0</v>
      </c>
      <c r="J364">
        <v>0</v>
      </c>
      <c r="K364">
        <v>0</v>
      </c>
      <c r="L364">
        <v>0</v>
      </c>
      <c r="M364" s="1">
        <v>60</v>
      </c>
      <c r="N364">
        <v>362</v>
      </c>
      <c r="O364">
        <v>1</v>
      </c>
      <c r="P364">
        <v>1</v>
      </c>
      <c r="Q364">
        <v>0</v>
      </c>
      <c r="R364">
        <v>0</v>
      </c>
      <c r="S364">
        <v>0</v>
      </c>
      <c r="T364" s="1">
        <v>160</v>
      </c>
      <c r="U364">
        <v>362</v>
      </c>
      <c r="V364">
        <v>0</v>
      </c>
      <c r="W364">
        <v>0</v>
      </c>
      <c r="X364">
        <v>0</v>
      </c>
      <c r="Y364">
        <v>0</v>
      </c>
      <c r="Z364">
        <v>0</v>
      </c>
      <c r="AA364" s="1">
        <v>0</v>
      </c>
      <c r="AB364">
        <v>362</v>
      </c>
      <c r="AC364">
        <v>0</v>
      </c>
      <c r="AD364">
        <v>0</v>
      </c>
      <c r="AE364">
        <v>0</v>
      </c>
      <c r="AF364">
        <v>0</v>
      </c>
      <c r="AG364">
        <v>0</v>
      </c>
      <c r="AH364" s="1">
        <v>0</v>
      </c>
      <c r="AI364">
        <v>362</v>
      </c>
      <c r="AJ364">
        <v>0</v>
      </c>
      <c r="AK364">
        <v>0</v>
      </c>
      <c r="AL364">
        <v>0</v>
      </c>
      <c r="AM364">
        <v>0</v>
      </c>
      <c r="AN364">
        <v>0</v>
      </c>
      <c r="AO364" s="1">
        <v>0</v>
      </c>
    </row>
    <row r="365" spans="7:41" x14ac:dyDescent="0.35">
      <c r="G365">
        <v>363</v>
      </c>
      <c r="H365">
        <v>0</v>
      </c>
      <c r="I365">
        <v>0</v>
      </c>
      <c r="J365">
        <v>1</v>
      </c>
      <c r="K365">
        <v>0</v>
      </c>
      <c r="L365">
        <v>2</v>
      </c>
      <c r="M365" s="1">
        <v>180</v>
      </c>
      <c r="N365">
        <v>363</v>
      </c>
      <c r="O365">
        <v>0</v>
      </c>
      <c r="P365">
        <v>1</v>
      </c>
      <c r="Q365">
        <v>0</v>
      </c>
      <c r="R365">
        <v>0</v>
      </c>
      <c r="S365">
        <v>0</v>
      </c>
      <c r="T365" s="1">
        <v>80</v>
      </c>
      <c r="U365">
        <v>363</v>
      </c>
      <c r="V365">
        <v>0</v>
      </c>
      <c r="W365">
        <v>0</v>
      </c>
      <c r="X365">
        <v>0</v>
      </c>
      <c r="Y365">
        <v>0</v>
      </c>
      <c r="Z365">
        <v>0</v>
      </c>
      <c r="AA365" s="1">
        <v>0</v>
      </c>
      <c r="AB365">
        <v>363</v>
      </c>
      <c r="AC365">
        <v>0</v>
      </c>
      <c r="AD365">
        <v>0</v>
      </c>
      <c r="AE365">
        <v>0</v>
      </c>
      <c r="AF365">
        <v>0</v>
      </c>
      <c r="AG365">
        <v>1</v>
      </c>
      <c r="AH365" s="1">
        <v>120</v>
      </c>
      <c r="AI365">
        <v>363</v>
      </c>
      <c r="AJ365">
        <v>0</v>
      </c>
      <c r="AK365">
        <v>0</v>
      </c>
      <c r="AL365">
        <v>2</v>
      </c>
      <c r="AM365">
        <v>0</v>
      </c>
      <c r="AN365">
        <v>0</v>
      </c>
      <c r="AO365" s="1">
        <v>300</v>
      </c>
    </row>
    <row r="366" spans="7:41" x14ac:dyDescent="0.35">
      <c r="G366">
        <v>364</v>
      </c>
      <c r="H366">
        <v>3</v>
      </c>
      <c r="I366">
        <v>1</v>
      </c>
      <c r="J366">
        <v>0</v>
      </c>
      <c r="K366">
        <v>4</v>
      </c>
      <c r="L366">
        <v>3</v>
      </c>
      <c r="M366" s="1">
        <v>660</v>
      </c>
      <c r="N366">
        <v>364</v>
      </c>
      <c r="O366">
        <v>2</v>
      </c>
      <c r="P366">
        <v>1</v>
      </c>
      <c r="Q366">
        <v>0</v>
      </c>
      <c r="R366">
        <v>0</v>
      </c>
      <c r="S366">
        <v>1</v>
      </c>
      <c r="T366" s="1">
        <v>320</v>
      </c>
      <c r="U366">
        <v>364</v>
      </c>
      <c r="V366">
        <v>0</v>
      </c>
      <c r="W366">
        <v>1</v>
      </c>
      <c r="X366">
        <v>0</v>
      </c>
      <c r="Y366">
        <v>0</v>
      </c>
      <c r="Z366">
        <v>0</v>
      </c>
      <c r="AA366" s="1">
        <v>100</v>
      </c>
      <c r="AB366">
        <v>364</v>
      </c>
      <c r="AC366">
        <v>0</v>
      </c>
      <c r="AD366">
        <v>0</v>
      </c>
      <c r="AE366">
        <v>0</v>
      </c>
      <c r="AF366">
        <v>0</v>
      </c>
      <c r="AG366">
        <v>0</v>
      </c>
      <c r="AH366" s="1">
        <v>0</v>
      </c>
      <c r="AI366">
        <v>364</v>
      </c>
      <c r="AJ366">
        <v>0</v>
      </c>
      <c r="AK366">
        <v>0</v>
      </c>
      <c r="AL366">
        <v>0</v>
      </c>
      <c r="AM366">
        <v>0</v>
      </c>
      <c r="AN366">
        <v>0</v>
      </c>
      <c r="AO366" s="1">
        <v>0</v>
      </c>
    </row>
    <row r="367" spans="7:41" x14ac:dyDescent="0.35">
      <c r="G367">
        <v>365</v>
      </c>
      <c r="H367">
        <v>0</v>
      </c>
      <c r="I367">
        <v>2</v>
      </c>
      <c r="J367">
        <v>2</v>
      </c>
      <c r="K367">
        <v>0</v>
      </c>
      <c r="L367">
        <v>1</v>
      </c>
      <c r="M367" s="1">
        <v>300</v>
      </c>
      <c r="N367">
        <v>365</v>
      </c>
      <c r="O367">
        <v>0</v>
      </c>
      <c r="P367">
        <v>1</v>
      </c>
      <c r="Q367">
        <v>1</v>
      </c>
      <c r="R367">
        <v>0</v>
      </c>
      <c r="S367">
        <v>1</v>
      </c>
      <c r="T367" s="1">
        <v>240</v>
      </c>
      <c r="U367">
        <v>365</v>
      </c>
      <c r="V367">
        <v>0</v>
      </c>
      <c r="W367">
        <v>0</v>
      </c>
      <c r="X367">
        <v>0</v>
      </c>
      <c r="Y367">
        <v>0</v>
      </c>
      <c r="Z367">
        <v>0</v>
      </c>
      <c r="AA367" s="1">
        <v>0</v>
      </c>
      <c r="AB367">
        <v>365</v>
      </c>
      <c r="AC367">
        <v>1</v>
      </c>
      <c r="AD367">
        <v>0</v>
      </c>
      <c r="AE367">
        <v>0</v>
      </c>
      <c r="AF367">
        <v>0</v>
      </c>
      <c r="AG367">
        <v>0</v>
      </c>
      <c r="AH367" s="1">
        <v>120</v>
      </c>
      <c r="AI367">
        <v>365</v>
      </c>
      <c r="AJ367">
        <v>0</v>
      </c>
      <c r="AK367">
        <v>0</v>
      </c>
      <c r="AL367">
        <v>1</v>
      </c>
      <c r="AM367">
        <v>0</v>
      </c>
      <c r="AN367">
        <v>0</v>
      </c>
      <c r="AO367" s="1">
        <v>150</v>
      </c>
    </row>
    <row r="368" spans="7:41" x14ac:dyDescent="0.35">
      <c r="G368">
        <v>366</v>
      </c>
      <c r="H368">
        <v>2</v>
      </c>
      <c r="I368">
        <v>0</v>
      </c>
      <c r="J368">
        <v>0</v>
      </c>
      <c r="K368">
        <v>2</v>
      </c>
      <c r="L368">
        <v>2</v>
      </c>
      <c r="M368" s="1">
        <v>360</v>
      </c>
      <c r="N368">
        <v>366</v>
      </c>
      <c r="O368">
        <v>1</v>
      </c>
      <c r="P368">
        <v>0</v>
      </c>
      <c r="Q368">
        <v>3</v>
      </c>
      <c r="R368">
        <v>0</v>
      </c>
      <c r="S368">
        <v>1</v>
      </c>
      <c r="T368" s="1">
        <v>400</v>
      </c>
      <c r="U368">
        <v>366</v>
      </c>
      <c r="V368">
        <v>0</v>
      </c>
      <c r="W368">
        <v>0</v>
      </c>
      <c r="X368">
        <v>0</v>
      </c>
      <c r="Y368">
        <v>0</v>
      </c>
      <c r="Z368">
        <v>0</v>
      </c>
      <c r="AA368" s="1">
        <v>0</v>
      </c>
      <c r="AB368">
        <v>366</v>
      </c>
      <c r="AC368">
        <v>0</v>
      </c>
      <c r="AD368">
        <v>1</v>
      </c>
      <c r="AE368">
        <v>0</v>
      </c>
      <c r="AF368">
        <v>0</v>
      </c>
      <c r="AG368">
        <v>0</v>
      </c>
      <c r="AH368" s="1">
        <v>120</v>
      </c>
      <c r="AI368">
        <v>366</v>
      </c>
      <c r="AJ368">
        <v>0</v>
      </c>
      <c r="AK368">
        <v>0</v>
      </c>
      <c r="AL368">
        <v>1</v>
      </c>
      <c r="AM368">
        <v>0</v>
      </c>
      <c r="AN368">
        <v>0</v>
      </c>
      <c r="AO368" s="1">
        <v>150</v>
      </c>
    </row>
    <row r="369" spans="7:41" x14ac:dyDescent="0.35">
      <c r="G369">
        <v>367</v>
      </c>
      <c r="H369">
        <v>0</v>
      </c>
      <c r="I369">
        <v>0</v>
      </c>
      <c r="J369">
        <v>0</v>
      </c>
      <c r="K369">
        <v>0</v>
      </c>
      <c r="L369">
        <v>2</v>
      </c>
      <c r="M369" s="1">
        <v>120</v>
      </c>
      <c r="N369">
        <v>367</v>
      </c>
      <c r="O369">
        <v>0</v>
      </c>
      <c r="P369">
        <v>0</v>
      </c>
      <c r="Q369">
        <v>0</v>
      </c>
      <c r="R369">
        <v>0</v>
      </c>
      <c r="S369">
        <v>1</v>
      </c>
      <c r="T369" s="1">
        <v>80</v>
      </c>
      <c r="U369">
        <v>367</v>
      </c>
      <c r="V369">
        <v>0</v>
      </c>
      <c r="W369">
        <v>3</v>
      </c>
      <c r="X369">
        <v>0</v>
      </c>
      <c r="Y369">
        <v>0</v>
      </c>
      <c r="Z369">
        <v>0</v>
      </c>
      <c r="AA369" s="1">
        <v>300</v>
      </c>
      <c r="AB369">
        <v>367</v>
      </c>
      <c r="AC369">
        <v>0</v>
      </c>
      <c r="AD369">
        <v>0</v>
      </c>
      <c r="AE369">
        <v>0</v>
      </c>
      <c r="AF369">
        <v>0</v>
      </c>
      <c r="AG369">
        <v>1</v>
      </c>
      <c r="AH369" s="1">
        <v>120</v>
      </c>
      <c r="AI369">
        <v>367</v>
      </c>
      <c r="AJ369">
        <v>0</v>
      </c>
      <c r="AK369">
        <v>0</v>
      </c>
      <c r="AL369">
        <v>1</v>
      </c>
      <c r="AM369">
        <v>0</v>
      </c>
      <c r="AN369">
        <v>0</v>
      </c>
      <c r="AO369" s="1">
        <v>150</v>
      </c>
    </row>
    <row r="370" spans="7:41" x14ac:dyDescent="0.35">
      <c r="G370">
        <v>368</v>
      </c>
      <c r="H370">
        <v>2</v>
      </c>
      <c r="I370">
        <v>2</v>
      </c>
      <c r="J370">
        <v>0</v>
      </c>
      <c r="K370">
        <v>1</v>
      </c>
      <c r="L370">
        <v>0</v>
      </c>
      <c r="M370" s="1">
        <v>300</v>
      </c>
      <c r="N370">
        <v>368</v>
      </c>
      <c r="O370">
        <v>0</v>
      </c>
      <c r="P370">
        <v>1</v>
      </c>
      <c r="Q370">
        <v>1</v>
      </c>
      <c r="R370">
        <v>0</v>
      </c>
      <c r="S370">
        <v>2</v>
      </c>
      <c r="T370" s="1">
        <v>320</v>
      </c>
      <c r="U370">
        <v>368</v>
      </c>
      <c r="V370">
        <v>0</v>
      </c>
      <c r="W370">
        <v>0</v>
      </c>
      <c r="X370">
        <v>1</v>
      </c>
      <c r="Y370">
        <v>0</v>
      </c>
      <c r="Z370">
        <v>0</v>
      </c>
      <c r="AA370" s="1">
        <v>100</v>
      </c>
      <c r="AB370">
        <v>368</v>
      </c>
      <c r="AC370">
        <v>0</v>
      </c>
      <c r="AD370">
        <v>0</v>
      </c>
      <c r="AE370">
        <v>0</v>
      </c>
      <c r="AF370">
        <v>0</v>
      </c>
      <c r="AG370">
        <v>0</v>
      </c>
      <c r="AH370" s="1">
        <v>0</v>
      </c>
      <c r="AI370">
        <v>368</v>
      </c>
      <c r="AJ370">
        <v>0</v>
      </c>
      <c r="AK370">
        <v>0</v>
      </c>
      <c r="AL370">
        <v>0</v>
      </c>
      <c r="AM370">
        <v>0</v>
      </c>
      <c r="AN370">
        <v>0</v>
      </c>
      <c r="AO370" s="1">
        <v>0</v>
      </c>
    </row>
    <row r="371" spans="7:41" x14ac:dyDescent="0.35">
      <c r="G371">
        <v>369</v>
      </c>
      <c r="H371">
        <v>0</v>
      </c>
      <c r="I371">
        <v>0</v>
      </c>
      <c r="J371">
        <v>0</v>
      </c>
      <c r="K371">
        <v>3</v>
      </c>
      <c r="L371">
        <v>1</v>
      </c>
      <c r="M371" s="1">
        <v>240</v>
      </c>
      <c r="N371">
        <v>369</v>
      </c>
      <c r="O371">
        <v>0</v>
      </c>
      <c r="P371">
        <v>0</v>
      </c>
      <c r="Q371">
        <v>0</v>
      </c>
      <c r="R371">
        <v>0</v>
      </c>
      <c r="S371">
        <v>0</v>
      </c>
      <c r="T371" s="1">
        <v>0</v>
      </c>
      <c r="U371">
        <v>369</v>
      </c>
      <c r="V371">
        <v>0</v>
      </c>
      <c r="W371">
        <v>1</v>
      </c>
      <c r="X371">
        <v>1</v>
      </c>
      <c r="Y371">
        <v>1</v>
      </c>
      <c r="Z371">
        <v>0</v>
      </c>
      <c r="AA371" s="1">
        <v>300</v>
      </c>
      <c r="AB371">
        <v>369</v>
      </c>
      <c r="AC371">
        <v>0</v>
      </c>
      <c r="AD371">
        <v>0</v>
      </c>
      <c r="AE371">
        <v>0</v>
      </c>
      <c r="AF371">
        <v>0</v>
      </c>
      <c r="AG371">
        <v>1</v>
      </c>
      <c r="AH371" s="1">
        <v>120</v>
      </c>
      <c r="AI371">
        <v>369</v>
      </c>
      <c r="AJ371">
        <v>0</v>
      </c>
      <c r="AK371">
        <v>0</v>
      </c>
      <c r="AL371">
        <v>0</v>
      </c>
      <c r="AM371">
        <v>0</v>
      </c>
      <c r="AN371">
        <v>0</v>
      </c>
      <c r="AO371" s="1">
        <v>0</v>
      </c>
    </row>
    <row r="372" spans="7:41" x14ac:dyDescent="0.35">
      <c r="G372">
        <v>370</v>
      </c>
      <c r="H372">
        <v>0</v>
      </c>
      <c r="I372">
        <v>2</v>
      </c>
      <c r="J372">
        <v>0</v>
      </c>
      <c r="K372">
        <v>0</v>
      </c>
      <c r="L372">
        <v>1</v>
      </c>
      <c r="M372" s="1">
        <v>180</v>
      </c>
      <c r="N372">
        <v>370</v>
      </c>
      <c r="O372">
        <v>1</v>
      </c>
      <c r="P372">
        <v>0</v>
      </c>
      <c r="Q372">
        <v>2</v>
      </c>
      <c r="R372">
        <v>1</v>
      </c>
      <c r="S372">
        <v>1</v>
      </c>
      <c r="T372" s="1">
        <v>400</v>
      </c>
      <c r="U372">
        <v>370</v>
      </c>
      <c r="V372">
        <v>0</v>
      </c>
      <c r="W372">
        <v>0</v>
      </c>
      <c r="X372">
        <v>0</v>
      </c>
      <c r="Y372">
        <v>0</v>
      </c>
      <c r="Z372">
        <v>0</v>
      </c>
      <c r="AA372" s="1">
        <v>0</v>
      </c>
      <c r="AB372">
        <v>370</v>
      </c>
      <c r="AC372">
        <v>0</v>
      </c>
      <c r="AD372">
        <v>0</v>
      </c>
      <c r="AE372">
        <v>0</v>
      </c>
      <c r="AF372">
        <v>0</v>
      </c>
      <c r="AG372">
        <v>0</v>
      </c>
      <c r="AH372" s="1">
        <v>0</v>
      </c>
      <c r="AI372">
        <v>370</v>
      </c>
      <c r="AJ372">
        <v>0</v>
      </c>
      <c r="AK372">
        <v>0</v>
      </c>
      <c r="AL372">
        <v>0</v>
      </c>
      <c r="AM372">
        <v>0</v>
      </c>
      <c r="AN372">
        <v>0</v>
      </c>
      <c r="AO372" s="1">
        <v>0</v>
      </c>
    </row>
    <row r="373" spans="7:41" x14ac:dyDescent="0.35">
      <c r="G373">
        <v>371</v>
      </c>
      <c r="H373">
        <v>0</v>
      </c>
      <c r="I373">
        <v>1</v>
      </c>
      <c r="J373">
        <v>0</v>
      </c>
      <c r="K373">
        <v>4</v>
      </c>
      <c r="L373">
        <v>0</v>
      </c>
      <c r="M373" s="1">
        <v>300</v>
      </c>
      <c r="N373">
        <v>371</v>
      </c>
      <c r="O373">
        <v>0</v>
      </c>
      <c r="P373">
        <v>1</v>
      </c>
      <c r="Q373">
        <v>0</v>
      </c>
      <c r="R373">
        <v>1</v>
      </c>
      <c r="S373">
        <v>1</v>
      </c>
      <c r="T373" s="1">
        <v>240</v>
      </c>
      <c r="U373">
        <v>371</v>
      </c>
      <c r="V373">
        <v>0</v>
      </c>
      <c r="W373">
        <v>0</v>
      </c>
      <c r="X373">
        <v>0</v>
      </c>
      <c r="Y373">
        <v>0</v>
      </c>
      <c r="Z373">
        <v>0</v>
      </c>
      <c r="AA373" s="1">
        <v>0</v>
      </c>
      <c r="AB373">
        <v>371</v>
      </c>
      <c r="AC373">
        <v>1</v>
      </c>
      <c r="AD373">
        <v>0</v>
      </c>
      <c r="AE373">
        <v>0</v>
      </c>
      <c r="AF373">
        <v>0</v>
      </c>
      <c r="AG373">
        <v>0</v>
      </c>
      <c r="AH373" s="1">
        <v>120</v>
      </c>
      <c r="AI373">
        <v>371</v>
      </c>
      <c r="AJ373">
        <v>0</v>
      </c>
      <c r="AK373">
        <v>0</v>
      </c>
      <c r="AL373">
        <v>0</v>
      </c>
      <c r="AM373">
        <v>0</v>
      </c>
      <c r="AN373">
        <v>0</v>
      </c>
      <c r="AO373" s="1">
        <v>0</v>
      </c>
    </row>
    <row r="374" spans="7:41" x14ac:dyDescent="0.35">
      <c r="G374">
        <v>372</v>
      </c>
      <c r="H374">
        <v>0</v>
      </c>
      <c r="I374">
        <v>1</v>
      </c>
      <c r="J374">
        <v>1</v>
      </c>
      <c r="K374">
        <v>0</v>
      </c>
      <c r="L374">
        <v>2</v>
      </c>
      <c r="M374" s="1">
        <v>240</v>
      </c>
      <c r="N374">
        <v>372</v>
      </c>
      <c r="O374">
        <v>0</v>
      </c>
      <c r="P374">
        <v>0</v>
      </c>
      <c r="Q374">
        <v>3</v>
      </c>
      <c r="R374">
        <v>0</v>
      </c>
      <c r="S374">
        <v>0</v>
      </c>
      <c r="T374" s="1">
        <v>240</v>
      </c>
      <c r="U374">
        <v>372</v>
      </c>
      <c r="V374">
        <v>0</v>
      </c>
      <c r="W374">
        <v>1</v>
      </c>
      <c r="X374">
        <v>0</v>
      </c>
      <c r="Y374">
        <v>0</v>
      </c>
      <c r="Z374">
        <v>0</v>
      </c>
      <c r="AA374" s="1">
        <v>100</v>
      </c>
      <c r="AB374">
        <v>372</v>
      </c>
      <c r="AC374">
        <v>0</v>
      </c>
      <c r="AD374">
        <v>0</v>
      </c>
      <c r="AE374">
        <v>0</v>
      </c>
      <c r="AF374">
        <v>0</v>
      </c>
      <c r="AG374">
        <v>0</v>
      </c>
      <c r="AH374" s="1">
        <v>0</v>
      </c>
      <c r="AI374">
        <v>372</v>
      </c>
      <c r="AJ374">
        <v>0</v>
      </c>
      <c r="AK374">
        <v>0</v>
      </c>
      <c r="AL374">
        <v>0</v>
      </c>
      <c r="AM374">
        <v>0</v>
      </c>
      <c r="AN374">
        <v>0</v>
      </c>
      <c r="AO374" s="1">
        <v>0</v>
      </c>
    </row>
    <row r="375" spans="7:41" x14ac:dyDescent="0.35">
      <c r="G375">
        <v>373</v>
      </c>
      <c r="H375">
        <v>0</v>
      </c>
      <c r="I375">
        <v>0</v>
      </c>
      <c r="J375">
        <v>1</v>
      </c>
      <c r="K375">
        <v>0</v>
      </c>
      <c r="L375">
        <v>1</v>
      </c>
      <c r="M375" s="1">
        <v>120</v>
      </c>
      <c r="N375">
        <v>373</v>
      </c>
      <c r="O375">
        <v>0</v>
      </c>
      <c r="P375">
        <v>0</v>
      </c>
      <c r="Q375">
        <v>0</v>
      </c>
      <c r="R375">
        <v>1</v>
      </c>
      <c r="S375">
        <v>1</v>
      </c>
      <c r="T375" s="1">
        <v>160</v>
      </c>
      <c r="U375">
        <v>373</v>
      </c>
      <c r="V375">
        <v>0</v>
      </c>
      <c r="W375">
        <v>0</v>
      </c>
      <c r="X375">
        <v>0</v>
      </c>
      <c r="Y375">
        <v>0</v>
      </c>
      <c r="Z375">
        <v>0</v>
      </c>
      <c r="AA375" s="1">
        <v>0</v>
      </c>
      <c r="AB375">
        <v>373</v>
      </c>
      <c r="AC375">
        <v>0</v>
      </c>
      <c r="AD375">
        <v>0</v>
      </c>
      <c r="AE375">
        <v>0</v>
      </c>
      <c r="AF375">
        <v>0</v>
      </c>
      <c r="AG375">
        <v>0</v>
      </c>
      <c r="AH375" s="1">
        <v>0</v>
      </c>
      <c r="AI375">
        <v>373</v>
      </c>
      <c r="AJ375">
        <v>0</v>
      </c>
      <c r="AK375">
        <v>0</v>
      </c>
      <c r="AL375">
        <v>0</v>
      </c>
      <c r="AM375">
        <v>0</v>
      </c>
      <c r="AN375">
        <v>0</v>
      </c>
      <c r="AO375" s="1">
        <v>0</v>
      </c>
    </row>
    <row r="376" spans="7:41" x14ac:dyDescent="0.35">
      <c r="G376">
        <v>374</v>
      </c>
      <c r="H376">
        <v>1</v>
      </c>
      <c r="I376">
        <v>1</v>
      </c>
      <c r="J376">
        <v>0</v>
      </c>
      <c r="K376">
        <v>0</v>
      </c>
      <c r="L376">
        <v>0</v>
      </c>
      <c r="M376" s="1">
        <v>120</v>
      </c>
      <c r="N376">
        <v>374</v>
      </c>
      <c r="O376">
        <v>0</v>
      </c>
      <c r="P376">
        <v>1</v>
      </c>
      <c r="Q376">
        <v>0</v>
      </c>
      <c r="R376">
        <v>0</v>
      </c>
      <c r="S376">
        <v>0</v>
      </c>
      <c r="T376" s="1">
        <v>80</v>
      </c>
      <c r="U376">
        <v>374</v>
      </c>
      <c r="V376">
        <v>0</v>
      </c>
      <c r="W376">
        <v>0</v>
      </c>
      <c r="X376">
        <v>0</v>
      </c>
      <c r="Y376">
        <v>0</v>
      </c>
      <c r="Z376">
        <v>0</v>
      </c>
      <c r="AA376" s="1">
        <v>0</v>
      </c>
      <c r="AB376">
        <v>374</v>
      </c>
      <c r="AC376">
        <v>0</v>
      </c>
      <c r="AD376">
        <v>0</v>
      </c>
      <c r="AE376">
        <v>0</v>
      </c>
      <c r="AF376">
        <v>1</v>
      </c>
      <c r="AG376">
        <v>0</v>
      </c>
      <c r="AH376" s="1">
        <v>120</v>
      </c>
      <c r="AI376">
        <v>374</v>
      </c>
      <c r="AJ376">
        <v>0</v>
      </c>
      <c r="AK376">
        <v>0</v>
      </c>
      <c r="AL376">
        <v>1</v>
      </c>
      <c r="AM376">
        <v>0</v>
      </c>
      <c r="AN376">
        <v>0</v>
      </c>
      <c r="AO376" s="1">
        <v>150</v>
      </c>
    </row>
    <row r="377" spans="7:41" x14ac:dyDescent="0.35">
      <c r="G377">
        <v>375</v>
      </c>
      <c r="H377">
        <v>0</v>
      </c>
      <c r="I377">
        <v>0</v>
      </c>
      <c r="J377">
        <v>0</v>
      </c>
      <c r="K377">
        <v>0</v>
      </c>
      <c r="L377">
        <v>0</v>
      </c>
      <c r="M377" s="1">
        <v>0</v>
      </c>
      <c r="N377">
        <v>375</v>
      </c>
      <c r="O377">
        <v>0</v>
      </c>
      <c r="P377">
        <v>0</v>
      </c>
      <c r="Q377">
        <v>0</v>
      </c>
      <c r="R377">
        <v>0</v>
      </c>
      <c r="S377">
        <v>0</v>
      </c>
      <c r="T377" s="1">
        <v>0</v>
      </c>
      <c r="U377">
        <v>375</v>
      </c>
      <c r="V377">
        <v>0</v>
      </c>
      <c r="W377">
        <v>0</v>
      </c>
      <c r="X377">
        <v>0</v>
      </c>
      <c r="Y377">
        <v>0</v>
      </c>
      <c r="Z377">
        <v>0</v>
      </c>
      <c r="AA377" s="1">
        <v>0</v>
      </c>
      <c r="AB377">
        <v>375</v>
      </c>
      <c r="AC377">
        <v>1</v>
      </c>
      <c r="AD377">
        <v>0</v>
      </c>
      <c r="AE377">
        <v>0</v>
      </c>
      <c r="AF377">
        <v>0</v>
      </c>
      <c r="AG377">
        <v>0</v>
      </c>
      <c r="AH377" s="1">
        <v>120</v>
      </c>
      <c r="AI377">
        <v>375</v>
      </c>
      <c r="AJ377">
        <v>0</v>
      </c>
      <c r="AK377">
        <v>0</v>
      </c>
      <c r="AL377">
        <v>2</v>
      </c>
      <c r="AM377">
        <v>0</v>
      </c>
      <c r="AN377">
        <v>0</v>
      </c>
      <c r="AO377" s="1">
        <v>300</v>
      </c>
    </row>
    <row r="378" spans="7:41" x14ac:dyDescent="0.35">
      <c r="G378">
        <v>376</v>
      </c>
      <c r="H378">
        <v>0</v>
      </c>
      <c r="I378">
        <v>1</v>
      </c>
      <c r="J378">
        <v>1</v>
      </c>
      <c r="K378">
        <v>4</v>
      </c>
      <c r="L378">
        <v>0</v>
      </c>
      <c r="M378" s="1">
        <v>360</v>
      </c>
      <c r="N378">
        <v>376</v>
      </c>
      <c r="O378">
        <v>0</v>
      </c>
      <c r="P378">
        <v>0</v>
      </c>
      <c r="Q378">
        <v>1</v>
      </c>
      <c r="R378">
        <v>0</v>
      </c>
      <c r="S378">
        <v>0</v>
      </c>
      <c r="T378" s="1">
        <v>80</v>
      </c>
      <c r="U378">
        <v>376</v>
      </c>
      <c r="V378">
        <v>0</v>
      </c>
      <c r="W378">
        <v>0</v>
      </c>
      <c r="X378">
        <v>0</v>
      </c>
      <c r="Y378">
        <v>0</v>
      </c>
      <c r="Z378">
        <v>1</v>
      </c>
      <c r="AA378" s="1">
        <v>100</v>
      </c>
      <c r="AB378">
        <v>376</v>
      </c>
      <c r="AC378">
        <v>0</v>
      </c>
      <c r="AD378">
        <v>0</v>
      </c>
      <c r="AE378">
        <v>0</v>
      </c>
      <c r="AF378">
        <v>0</v>
      </c>
      <c r="AG378">
        <v>0</v>
      </c>
      <c r="AH378" s="1">
        <v>0</v>
      </c>
      <c r="AI378">
        <v>376</v>
      </c>
      <c r="AJ378">
        <v>0</v>
      </c>
      <c r="AK378">
        <v>0</v>
      </c>
      <c r="AL378">
        <v>0</v>
      </c>
      <c r="AM378">
        <v>0</v>
      </c>
      <c r="AN378">
        <v>0</v>
      </c>
      <c r="AO378" s="1">
        <v>0</v>
      </c>
    </row>
    <row r="379" spans="7:41" x14ac:dyDescent="0.35">
      <c r="G379">
        <v>377</v>
      </c>
      <c r="H379">
        <v>0</v>
      </c>
      <c r="I379">
        <v>2</v>
      </c>
      <c r="J379">
        <v>1</v>
      </c>
      <c r="K379">
        <v>0</v>
      </c>
      <c r="L379">
        <v>2</v>
      </c>
      <c r="M379" s="1">
        <v>300</v>
      </c>
      <c r="N379">
        <v>377</v>
      </c>
      <c r="O379">
        <v>0</v>
      </c>
      <c r="P379">
        <v>0</v>
      </c>
      <c r="Q379">
        <v>2</v>
      </c>
      <c r="R379">
        <v>1</v>
      </c>
      <c r="S379">
        <v>1</v>
      </c>
      <c r="T379" s="1">
        <v>320</v>
      </c>
      <c r="U379">
        <v>377</v>
      </c>
      <c r="V379">
        <v>0</v>
      </c>
      <c r="W379">
        <v>0</v>
      </c>
      <c r="X379">
        <v>0</v>
      </c>
      <c r="Y379">
        <v>0</v>
      </c>
      <c r="Z379">
        <v>0</v>
      </c>
      <c r="AA379" s="1">
        <v>0</v>
      </c>
      <c r="AB379">
        <v>377</v>
      </c>
      <c r="AC379">
        <v>0</v>
      </c>
      <c r="AD379">
        <v>0</v>
      </c>
      <c r="AE379">
        <v>0</v>
      </c>
      <c r="AF379">
        <v>0</v>
      </c>
      <c r="AG379">
        <v>0</v>
      </c>
      <c r="AH379" s="1">
        <v>0</v>
      </c>
      <c r="AI379">
        <v>377</v>
      </c>
      <c r="AJ379">
        <v>0</v>
      </c>
      <c r="AK379">
        <v>0</v>
      </c>
      <c r="AL379">
        <v>0</v>
      </c>
      <c r="AM379">
        <v>0</v>
      </c>
      <c r="AN379">
        <v>0</v>
      </c>
      <c r="AO379" s="1">
        <v>0</v>
      </c>
    </row>
    <row r="380" spans="7:41" x14ac:dyDescent="0.35">
      <c r="G380">
        <v>378</v>
      </c>
      <c r="H380">
        <v>0</v>
      </c>
      <c r="I380">
        <v>1</v>
      </c>
      <c r="J380">
        <v>1</v>
      </c>
      <c r="K380">
        <v>2</v>
      </c>
      <c r="L380">
        <v>0</v>
      </c>
      <c r="M380" s="1">
        <v>240</v>
      </c>
      <c r="N380">
        <v>378</v>
      </c>
      <c r="O380">
        <v>1</v>
      </c>
      <c r="P380">
        <v>1</v>
      </c>
      <c r="Q380">
        <v>1</v>
      </c>
      <c r="R380">
        <v>0</v>
      </c>
      <c r="S380">
        <v>0</v>
      </c>
      <c r="T380" s="1">
        <v>240</v>
      </c>
      <c r="U380">
        <v>378</v>
      </c>
      <c r="V380">
        <v>0</v>
      </c>
      <c r="W380">
        <v>1</v>
      </c>
      <c r="X380">
        <v>0</v>
      </c>
      <c r="Y380">
        <v>0</v>
      </c>
      <c r="Z380">
        <v>0</v>
      </c>
      <c r="AA380" s="1">
        <v>100</v>
      </c>
      <c r="AB380">
        <v>378</v>
      </c>
      <c r="AC380">
        <v>0</v>
      </c>
      <c r="AD380">
        <v>0</v>
      </c>
      <c r="AE380">
        <v>0</v>
      </c>
      <c r="AF380">
        <v>0</v>
      </c>
      <c r="AG380">
        <v>0</v>
      </c>
      <c r="AH380" s="1">
        <v>0</v>
      </c>
      <c r="AI380">
        <v>378</v>
      </c>
      <c r="AJ380">
        <v>0</v>
      </c>
      <c r="AK380">
        <v>0</v>
      </c>
      <c r="AL380">
        <v>0</v>
      </c>
      <c r="AM380">
        <v>0</v>
      </c>
      <c r="AN380">
        <v>0</v>
      </c>
      <c r="AO380" s="1">
        <v>0</v>
      </c>
    </row>
    <row r="381" spans="7:41" x14ac:dyDescent="0.35">
      <c r="G381">
        <v>379</v>
      </c>
      <c r="H381">
        <v>0</v>
      </c>
      <c r="I381">
        <v>0</v>
      </c>
      <c r="J381">
        <v>2</v>
      </c>
      <c r="K381">
        <v>3</v>
      </c>
      <c r="L381">
        <v>0</v>
      </c>
      <c r="M381" s="1">
        <v>300</v>
      </c>
      <c r="N381">
        <v>379</v>
      </c>
      <c r="O381">
        <v>1</v>
      </c>
      <c r="P381">
        <v>2</v>
      </c>
      <c r="Q381">
        <v>0</v>
      </c>
      <c r="R381">
        <v>0</v>
      </c>
      <c r="S381">
        <v>0</v>
      </c>
      <c r="T381" s="1">
        <v>240</v>
      </c>
      <c r="U381">
        <v>379</v>
      </c>
      <c r="V381">
        <v>0</v>
      </c>
      <c r="W381">
        <v>1</v>
      </c>
      <c r="X381">
        <v>0</v>
      </c>
      <c r="Y381">
        <v>1</v>
      </c>
      <c r="Z381">
        <v>0</v>
      </c>
      <c r="AA381" s="1">
        <v>200</v>
      </c>
      <c r="AB381">
        <v>379</v>
      </c>
      <c r="AC381">
        <v>0</v>
      </c>
      <c r="AD381">
        <v>0</v>
      </c>
      <c r="AE381">
        <v>0</v>
      </c>
      <c r="AF381">
        <v>0</v>
      </c>
      <c r="AG381">
        <v>0</v>
      </c>
      <c r="AH381" s="1">
        <v>0</v>
      </c>
      <c r="AI381">
        <v>379</v>
      </c>
      <c r="AJ381">
        <v>0</v>
      </c>
      <c r="AK381">
        <v>0</v>
      </c>
      <c r="AL381">
        <v>0</v>
      </c>
      <c r="AM381">
        <v>0</v>
      </c>
      <c r="AN381">
        <v>0</v>
      </c>
      <c r="AO381" s="1">
        <v>0</v>
      </c>
    </row>
    <row r="382" spans="7:41" x14ac:dyDescent="0.35">
      <c r="G382">
        <v>380</v>
      </c>
      <c r="H382">
        <v>1</v>
      </c>
      <c r="I382">
        <v>2</v>
      </c>
      <c r="J382">
        <v>2</v>
      </c>
      <c r="K382">
        <v>0</v>
      </c>
      <c r="L382">
        <v>0</v>
      </c>
      <c r="M382" s="1">
        <v>300</v>
      </c>
      <c r="N382">
        <v>380</v>
      </c>
      <c r="O382">
        <v>0</v>
      </c>
      <c r="P382">
        <v>0</v>
      </c>
      <c r="Q382">
        <v>0</v>
      </c>
      <c r="R382">
        <v>0</v>
      </c>
      <c r="S382">
        <v>1</v>
      </c>
      <c r="T382" s="1">
        <v>80</v>
      </c>
      <c r="U382">
        <v>380</v>
      </c>
      <c r="V382">
        <v>0</v>
      </c>
      <c r="W382">
        <v>0</v>
      </c>
      <c r="X382">
        <v>0</v>
      </c>
      <c r="Y382">
        <v>0</v>
      </c>
      <c r="Z382">
        <v>0</v>
      </c>
      <c r="AA382" s="1">
        <v>0</v>
      </c>
      <c r="AB382">
        <v>380</v>
      </c>
      <c r="AC382">
        <v>0</v>
      </c>
      <c r="AD382">
        <v>0</v>
      </c>
      <c r="AE382">
        <v>0</v>
      </c>
      <c r="AF382">
        <v>0</v>
      </c>
      <c r="AG382">
        <v>0</v>
      </c>
      <c r="AH382" s="1">
        <v>0</v>
      </c>
      <c r="AI382">
        <v>380</v>
      </c>
      <c r="AJ382">
        <v>0</v>
      </c>
      <c r="AK382">
        <v>0</v>
      </c>
      <c r="AL382">
        <v>0</v>
      </c>
      <c r="AM382">
        <v>0</v>
      </c>
      <c r="AN382">
        <v>0</v>
      </c>
      <c r="AO382" s="1">
        <v>0</v>
      </c>
    </row>
    <row r="383" spans="7:41" x14ac:dyDescent="0.35">
      <c r="G383">
        <v>381</v>
      </c>
      <c r="H383">
        <v>0</v>
      </c>
      <c r="I383">
        <v>1</v>
      </c>
      <c r="J383">
        <v>1</v>
      </c>
      <c r="K383">
        <v>0</v>
      </c>
      <c r="L383">
        <v>1</v>
      </c>
      <c r="M383" s="1">
        <v>180</v>
      </c>
      <c r="N383">
        <v>381</v>
      </c>
      <c r="O383">
        <v>0</v>
      </c>
      <c r="P383">
        <v>0</v>
      </c>
      <c r="Q383">
        <v>0</v>
      </c>
      <c r="R383">
        <v>0</v>
      </c>
      <c r="S383">
        <v>0</v>
      </c>
      <c r="T383" s="1">
        <v>0</v>
      </c>
      <c r="U383">
        <v>381</v>
      </c>
      <c r="V383">
        <v>0</v>
      </c>
      <c r="W383">
        <v>0</v>
      </c>
      <c r="X383">
        <v>0</v>
      </c>
      <c r="Y383">
        <v>0</v>
      </c>
      <c r="Z383">
        <v>0</v>
      </c>
      <c r="AA383" s="1">
        <v>0</v>
      </c>
      <c r="AB383">
        <v>381</v>
      </c>
      <c r="AC383">
        <v>0</v>
      </c>
      <c r="AD383">
        <v>0</v>
      </c>
      <c r="AE383">
        <v>0</v>
      </c>
      <c r="AF383">
        <v>0</v>
      </c>
      <c r="AG383">
        <v>1</v>
      </c>
      <c r="AH383" s="1">
        <v>120</v>
      </c>
      <c r="AI383">
        <v>381</v>
      </c>
      <c r="AJ383">
        <v>0</v>
      </c>
      <c r="AK383">
        <v>0</v>
      </c>
      <c r="AL383">
        <v>0</v>
      </c>
      <c r="AM383">
        <v>0</v>
      </c>
      <c r="AN383">
        <v>0</v>
      </c>
      <c r="AO383" s="1">
        <v>0</v>
      </c>
    </row>
    <row r="384" spans="7:41" x14ac:dyDescent="0.35">
      <c r="G384">
        <v>382</v>
      </c>
      <c r="H384">
        <v>1</v>
      </c>
      <c r="I384">
        <v>1</v>
      </c>
      <c r="J384">
        <v>0</v>
      </c>
      <c r="K384">
        <v>0</v>
      </c>
      <c r="L384">
        <v>0</v>
      </c>
      <c r="M384" s="1">
        <v>120</v>
      </c>
      <c r="N384">
        <v>382</v>
      </c>
      <c r="O384">
        <v>0</v>
      </c>
      <c r="P384">
        <v>1</v>
      </c>
      <c r="Q384">
        <v>1</v>
      </c>
      <c r="R384">
        <v>0</v>
      </c>
      <c r="S384">
        <v>0</v>
      </c>
      <c r="T384" s="1">
        <v>160</v>
      </c>
      <c r="U384">
        <v>382</v>
      </c>
      <c r="V384">
        <v>0</v>
      </c>
      <c r="W384">
        <v>0</v>
      </c>
      <c r="X384">
        <v>0</v>
      </c>
      <c r="Y384">
        <v>0</v>
      </c>
      <c r="Z384">
        <v>1</v>
      </c>
      <c r="AA384" s="1">
        <v>100</v>
      </c>
      <c r="AB384">
        <v>382</v>
      </c>
      <c r="AC384">
        <v>0</v>
      </c>
      <c r="AD384">
        <v>0</v>
      </c>
      <c r="AE384">
        <v>0</v>
      </c>
      <c r="AF384">
        <v>0</v>
      </c>
      <c r="AG384">
        <v>0</v>
      </c>
      <c r="AH384" s="1">
        <v>0</v>
      </c>
      <c r="AI384">
        <v>382</v>
      </c>
      <c r="AJ384">
        <v>0</v>
      </c>
      <c r="AK384">
        <v>0</v>
      </c>
      <c r="AL384">
        <v>0</v>
      </c>
      <c r="AM384">
        <v>0</v>
      </c>
      <c r="AN384">
        <v>0</v>
      </c>
      <c r="AO384" s="1">
        <v>0</v>
      </c>
    </row>
    <row r="385" spans="7:41" x14ac:dyDescent="0.35">
      <c r="G385">
        <v>383</v>
      </c>
      <c r="H385">
        <v>0</v>
      </c>
      <c r="I385">
        <v>2</v>
      </c>
      <c r="J385">
        <v>1</v>
      </c>
      <c r="K385">
        <v>0</v>
      </c>
      <c r="L385">
        <v>0</v>
      </c>
      <c r="M385" s="1">
        <v>180</v>
      </c>
      <c r="N385">
        <v>383</v>
      </c>
      <c r="O385">
        <v>0</v>
      </c>
      <c r="P385">
        <v>0</v>
      </c>
      <c r="Q385">
        <v>1</v>
      </c>
      <c r="R385">
        <v>0</v>
      </c>
      <c r="S385">
        <v>0</v>
      </c>
      <c r="T385" s="1">
        <v>80</v>
      </c>
      <c r="U385">
        <v>383</v>
      </c>
      <c r="V385">
        <v>0</v>
      </c>
      <c r="W385">
        <v>1</v>
      </c>
      <c r="X385">
        <v>0</v>
      </c>
      <c r="Y385">
        <v>0</v>
      </c>
      <c r="Z385">
        <v>0</v>
      </c>
      <c r="AA385" s="1">
        <v>100</v>
      </c>
      <c r="AB385">
        <v>383</v>
      </c>
      <c r="AC385">
        <v>0</v>
      </c>
      <c r="AD385">
        <v>0</v>
      </c>
      <c r="AE385">
        <v>0</v>
      </c>
      <c r="AF385">
        <v>0</v>
      </c>
      <c r="AG385">
        <v>0</v>
      </c>
      <c r="AH385" s="1">
        <v>0</v>
      </c>
      <c r="AI385">
        <v>383</v>
      </c>
      <c r="AJ385">
        <v>0</v>
      </c>
      <c r="AK385">
        <v>0</v>
      </c>
      <c r="AL385">
        <v>1</v>
      </c>
      <c r="AM385">
        <v>0</v>
      </c>
      <c r="AN385">
        <v>0</v>
      </c>
      <c r="AO385" s="1">
        <v>150</v>
      </c>
    </row>
    <row r="386" spans="7:41" x14ac:dyDescent="0.35">
      <c r="G386">
        <v>384</v>
      </c>
      <c r="H386">
        <v>0</v>
      </c>
      <c r="I386">
        <v>0</v>
      </c>
      <c r="J386">
        <v>0</v>
      </c>
      <c r="K386">
        <v>0</v>
      </c>
      <c r="L386">
        <v>2</v>
      </c>
      <c r="M386" s="1">
        <v>120</v>
      </c>
      <c r="N386">
        <v>384</v>
      </c>
      <c r="O386">
        <v>0</v>
      </c>
      <c r="P386">
        <v>1</v>
      </c>
      <c r="Q386">
        <v>0</v>
      </c>
      <c r="R386">
        <v>0</v>
      </c>
      <c r="S386">
        <v>0</v>
      </c>
      <c r="T386" s="1">
        <v>80</v>
      </c>
      <c r="U386">
        <v>384</v>
      </c>
      <c r="V386">
        <v>0</v>
      </c>
      <c r="W386">
        <v>0</v>
      </c>
      <c r="X386">
        <v>0</v>
      </c>
      <c r="Y386">
        <v>0</v>
      </c>
      <c r="Z386">
        <v>0</v>
      </c>
      <c r="AA386" s="1">
        <v>0</v>
      </c>
      <c r="AB386">
        <v>384</v>
      </c>
      <c r="AC386">
        <v>0</v>
      </c>
      <c r="AD386">
        <v>0</v>
      </c>
      <c r="AE386">
        <v>0</v>
      </c>
      <c r="AF386">
        <v>0</v>
      </c>
      <c r="AG386">
        <v>0</v>
      </c>
      <c r="AH386" s="1">
        <v>0</v>
      </c>
      <c r="AI386">
        <v>384</v>
      </c>
      <c r="AJ386">
        <v>0</v>
      </c>
      <c r="AK386">
        <v>0</v>
      </c>
      <c r="AL386">
        <v>0</v>
      </c>
      <c r="AM386">
        <v>0</v>
      </c>
      <c r="AN386">
        <v>0</v>
      </c>
      <c r="AO386" s="1">
        <v>0</v>
      </c>
    </row>
    <row r="387" spans="7:41" x14ac:dyDescent="0.35">
      <c r="G387">
        <v>385</v>
      </c>
      <c r="H387">
        <v>1</v>
      </c>
      <c r="I387">
        <v>1</v>
      </c>
      <c r="J387">
        <v>0</v>
      </c>
      <c r="K387">
        <v>4</v>
      </c>
      <c r="L387">
        <v>0</v>
      </c>
      <c r="M387" s="1">
        <v>360</v>
      </c>
      <c r="N387">
        <v>385</v>
      </c>
      <c r="O387">
        <v>0</v>
      </c>
      <c r="P387">
        <v>0</v>
      </c>
      <c r="Q387">
        <v>0</v>
      </c>
      <c r="R387">
        <v>0</v>
      </c>
      <c r="S387">
        <v>0</v>
      </c>
      <c r="T387" s="1">
        <v>0</v>
      </c>
      <c r="U387">
        <v>385</v>
      </c>
      <c r="V387">
        <v>0</v>
      </c>
      <c r="W387">
        <v>0</v>
      </c>
      <c r="X387">
        <v>0</v>
      </c>
      <c r="Y387">
        <v>0</v>
      </c>
      <c r="Z387">
        <v>0</v>
      </c>
      <c r="AA387" s="1">
        <v>0</v>
      </c>
      <c r="AB387">
        <v>385</v>
      </c>
      <c r="AC387">
        <v>0</v>
      </c>
      <c r="AD387">
        <v>0</v>
      </c>
      <c r="AE387">
        <v>0</v>
      </c>
      <c r="AF387">
        <v>0</v>
      </c>
      <c r="AG387">
        <v>0</v>
      </c>
      <c r="AH387" s="1">
        <v>0</v>
      </c>
      <c r="AI387">
        <v>385</v>
      </c>
      <c r="AJ387">
        <v>0</v>
      </c>
      <c r="AK387">
        <v>0</v>
      </c>
      <c r="AL387">
        <v>0</v>
      </c>
      <c r="AM387">
        <v>0</v>
      </c>
      <c r="AN387">
        <v>0</v>
      </c>
      <c r="AO387" s="1">
        <v>0</v>
      </c>
    </row>
    <row r="388" spans="7:41" x14ac:dyDescent="0.35">
      <c r="G388">
        <v>386</v>
      </c>
      <c r="H388">
        <v>0</v>
      </c>
      <c r="I388">
        <v>0</v>
      </c>
      <c r="J388">
        <v>0</v>
      </c>
      <c r="K388">
        <v>0</v>
      </c>
      <c r="L388">
        <v>1</v>
      </c>
      <c r="M388" s="1">
        <v>60</v>
      </c>
      <c r="N388">
        <v>386</v>
      </c>
      <c r="O388">
        <v>0</v>
      </c>
      <c r="P388">
        <v>2</v>
      </c>
      <c r="Q388">
        <v>0</v>
      </c>
      <c r="R388">
        <v>0</v>
      </c>
      <c r="S388">
        <v>1</v>
      </c>
      <c r="T388" s="1">
        <v>240</v>
      </c>
      <c r="U388">
        <v>386</v>
      </c>
      <c r="V388">
        <v>0</v>
      </c>
      <c r="W388">
        <v>1</v>
      </c>
      <c r="X388">
        <v>0</v>
      </c>
      <c r="Y388">
        <v>0</v>
      </c>
      <c r="Z388">
        <v>1</v>
      </c>
      <c r="AA388" s="1">
        <v>200</v>
      </c>
      <c r="AB388">
        <v>386</v>
      </c>
      <c r="AC388">
        <v>0</v>
      </c>
      <c r="AD388">
        <v>0</v>
      </c>
      <c r="AE388">
        <v>0</v>
      </c>
      <c r="AF388">
        <v>0</v>
      </c>
      <c r="AG388">
        <v>0</v>
      </c>
      <c r="AH388" s="1">
        <v>0</v>
      </c>
      <c r="AI388">
        <v>386</v>
      </c>
      <c r="AJ388">
        <v>0</v>
      </c>
      <c r="AK388">
        <v>0</v>
      </c>
      <c r="AL388">
        <v>3</v>
      </c>
      <c r="AM388">
        <v>0</v>
      </c>
      <c r="AN388">
        <v>0</v>
      </c>
      <c r="AO388" s="1">
        <v>450</v>
      </c>
    </row>
    <row r="389" spans="7:41" x14ac:dyDescent="0.35">
      <c r="G389">
        <v>387</v>
      </c>
      <c r="H389">
        <v>0</v>
      </c>
      <c r="I389">
        <v>1</v>
      </c>
      <c r="J389">
        <v>0</v>
      </c>
      <c r="K389">
        <v>2</v>
      </c>
      <c r="L389">
        <v>0</v>
      </c>
      <c r="M389" s="1">
        <v>180</v>
      </c>
      <c r="N389">
        <v>387</v>
      </c>
      <c r="O389">
        <v>0</v>
      </c>
      <c r="P389">
        <v>0</v>
      </c>
      <c r="Q389">
        <v>1</v>
      </c>
      <c r="R389">
        <v>0</v>
      </c>
      <c r="S389">
        <v>0</v>
      </c>
      <c r="T389" s="1">
        <v>80</v>
      </c>
      <c r="U389">
        <v>387</v>
      </c>
      <c r="V389">
        <v>0</v>
      </c>
      <c r="W389">
        <v>1</v>
      </c>
      <c r="X389">
        <v>0</v>
      </c>
      <c r="Y389">
        <v>0</v>
      </c>
      <c r="Z389">
        <v>0</v>
      </c>
      <c r="AA389" s="1">
        <v>100</v>
      </c>
      <c r="AB389">
        <v>387</v>
      </c>
      <c r="AC389">
        <v>0</v>
      </c>
      <c r="AD389">
        <v>0</v>
      </c>
      <c r="AE389">
        <v>0</v>
      </c>
      <c r="AF389">
        <v>0</v>
      </c>
      <c r="AG389">
        <v>0</v>
      </c>
      <c r="AH389" s="1">
        <v>0</v>
      </c>
      <c r="AI389">
        <v>387</v>
      </c>
      <c r="AJ389">
        <v>0</v>
      </c>
      <c r="AK389">
        <v>0</v>
      </c>
      <c r="AL389">
        <v>3</v>
      </c>
      <c r="AM389">
        <v>0</v>
      </c>
      <c r="AN389">
        <v>0</v>
      </c>
      <c r="AO389" s="1">
        <v>450</v>
      </c>
    </row>
    <row r="390" spans="7:41" x14ac:dyDescent="0.35">
      <c r="G390">
        <v>388</v>
      </c>
      <c r="H390">
        <v>0</v>
      </c>
      <c r="I390">
        <v>0</v>
      </c>
      <c r="J390">
        <v>3</v>
      </c>
      <c r="K390">
        <v>2</v>
      </c>
      <c r="L390">
        <v>0</v>
      </c>
      <c r="M390" s="1">
        <v>300</v>
      </c>
      <c r="N390">
        <v>388</v>
      </c>
      <c r="O390">
        <v>0</v>
      </c>
      <c r="P390">
        <v>0</v>
      </c>
      <c r="Q390">
        <v>3</v>
      </c>
      <c r="R390">
        <v>0</v>
      </c>
      <c r="S390">
        <v>0</v>
      </c>
      <c r="T390" s="1">
        <v>240</v>
      </c>
      <c r="U390">
        <v>388</v>
      </c>
      <c r="V390">
        <v>0</v>
      </c>
      <c r="W390">
        <v>0</v>
      </c>
      <c r="X390">
        <v>0</v>
      </c>
      <c r="Y390">
        <v>0</v>
      </c>
      <c r="Z390">
        <v>0</v>
      </c>
      <c r="AA390" s="1">
        <v>0</v>
      </c>
      <c r="AB390">
        <v>388</v>
      </c>
      <c r="AC390">
        <v>0</v>
      </c>
      <c r="AD390">
        <v>0</v>
      </c>
      <c r="AE390">
        <v>0</v>
      </c>
      <c r="AF390">
        <v>0</v>
      </c>
      <c r="AG390">
        <v>0</v>
      </c>
      <c r="AH390" s="1">
        <v>0</v>
      </c>
      <c r="AI390">
        <v>388</v>
      </c>
      <c r="AJ390">
        <v>0</v>
      </c>
      <c r="AK390">
        <v>0</v>
      </c>
      <c r="AL390">
        <v>1</v>
      </c>
      <c r="AM390">
        <v>0</v>
      </c>
      <c r="AN390">
        <v>0</v>
      </c>
      <c r="AO390" s="1">
        <v>150</v>
      </c>
    </row>
    <row r="391" spans="7:41" x14ac:dyDescent="0.35">
      <c r="G391">
        <v>389</v>
      </c>
      <c r="H391">
        <v>1</v>
      </c>
      <c r="I391">
        <v>3</v>
      </c>
      <c r="J391">
        <v>1</v>
      </c>
      <c r="K391">
        <v>0</v>
      </c>
      <c r="L391">
        <v>3</v>
      </c>
      <c r="M391" s="1">
        <v>480</v>
      </c>
      <c r="N391">
        <v>389</v>
      </c>
      <c r="O391">
        <v>1</v>
      </c>
      <c r="P391">
        <v>0</v>
      </c>
      <c r="Q391">
        <v>0</v>
      </c>
      <c r="R391">
        <v>0</v>
      </c>
      <c r="S391">
        <v>1</v>
      </c>
      <c r="T391" s="1">
        <v>160</v>
      </c>
      <c r="U391">
        <v>389</v>
      </c>
      <c r="V391">
        <v>0</v>
      </c>
      <c r="W391">
        <v>3</v>
      </c>
      <c r="X391">
        <v>0</v>
      </c>
      <c r="Y391">
        <v>0</v>
      </c>
      <c r="Z391">
        <v>0</v>
      </c>
      <c r="AA391" s="1">
        <v>300</v>
      </c>
      <c r="AB391">
        <v>389</v>
      </c>
      <c r="AC391">
        <v>0</v>
      </c>
      <c r="AD391">
        <v>0</v>
      </c>
      <c r="AE391">
        <v>0</v>
      </c>
      <c r="AF391">
        <v>0</v>
      </c>
      <c r="AG391">
        <v>0</v>
      </c>
      <c r="AH391" s="1">
        <v>0</v>
      </c>
      <c r="AI391">
        <v>389</v>
      </c>
      <c r="AJ391">
        <v>0</v>
      </c>
      <c r="AK391">
        <v>0</v>
      </c>
      <c r="AL391">
        <v>0</v>
      </c>
      <c r="AM391">
        <v>0</v>
      </c>
      <c r="AN391">
        <v>0</v>
      </c>
      <c r="AO391" s="1">
        <v>0</v>
      </c>
    </row>
    <row r="392" spans="7:41" x14ac:dyDescent="0.35">
      <c r="G392">
        <v>390</v>
      </c>
      <c r="H392">
        <v>0</v>
      </c>
      <c r="I392">
        <v>0</v>
      </c>
      <c r="J392">
        <v>0</v>
      </c>
      <c r="K392">
        <v>0</v>
      </c>
      <c r="L392">
        <v>1</v>
      </c>
      <c r="M392" s="1">
        <v>60</v>
      </c>
      <c r="N392">
        <v>390</v>
      </c>
      <c r="O392">
        <v>0</v>
      </c>
      <c r="P392">
        <v>0</v>
      </c>
      <c r="Q392">
        <v>0</v>
      </c>
      <c r="R392">
        <v>0</v>
      </c>
      <c r="S392">
        <v>0</v>
      </c>
      <c r="T392" s="1">
        <v>0</v>
      </c>
      <c r="U392">
        <v>390</v>
      </c>
      <c r="V392">
        <v>0</v>
      </c>
      <c r="W392">
        <v>3</v>
      </c>
      <c r="X392">
        <v>0</v>
      </c>
      <c r="Y392">
        <v>0</v>
      </c>
      <c r="Z392">
        <v>0</v>
      </c>
      <c r="AA392" s="1">
        <v>300</v>
      </c>
      <c r="AB392">
        <v>390</v>
      </c>
      <c r="AC392">
        <v>0</v>
      </c>
      <c r="AD392">
        <v>0</v>
      </c>
      <c r="AE392">
        <v>0</v>
      </c>
      <c r="AF392">
        <v>1</v>
      </c>
      <c r="AG392">
        <v>0</v>
      </c>
      <c r="AH392" s="1">
        <v>120</v>
      </c>
      <c r="AI392">
        <v>390</v>
      </c>
      <c r="AJ392">
        <v>0</v>
      </c>
      <c r="AK392">
        <v>0</v>
      </c>
      <c r="AL392">
        <v>2</v>
      </c>
      <c r="AM392">
        <v>0</v>
      </c>
      <c r="AN392">
        <v>0</v>
      </c>
      <c r="AO392" s="1">
        <v>300</v>
      </c>
    </row>
    <row r="393" spans="7:41" x14ac:dyDescent="0.35">
      <c r="G393">
        <v>391</v>
      </c>
      <c r="H393">
        <v>0</v>
      </c>
      <c r="I393">
        <v>1</v>
      </c>
      <c r="J393">
        <v>1</v>
      </c>
      <c r="K393">
        <v>2</v>
      </c>
      <c r="L393">
        <v>2</v>
      </c>
      <c r="M393" s="1">
        <v>360</v>
      </c>
      <c r="N393">
        <v>391</v>
      </c>
      <c r="O393">
        <v>0</v>
      </c>
      <c r="P393">
        <v>1</v>
      </c>
      <c r="Q393">
        <v>1</v>
      </c>
      <c r="R393">
        <v>0</v>
      </c>
      <c r="S393">
        <v>0</v>
      </c>
      <c r="T393" s="1">
        <v>160</v>
      </c>
      <c r="U393">
        <v>391</v>
      </c>
      <c r="V393">
        <v>0</v>
      </c>
      <c r="W393">
        <v>3</v>
      </c>
      <c r="X393">
        <v>0</v>
      </c>
      <c r="Y393">
        <v>0</v>
      </c>
      <c r="Z393">
        <v>0</v>
      </c>
      <c r="AA393" s="1">
        <v>300</v>
      </c>
      <c r="AB393">
        <v>391</v>
      </c>
      <c r="AC393">
        <v>0</v>
      </c>
      <c r="AD393">
        <v>0</v>
      </c>
      <c r="AE393">
        <v>0</v>
      </c>
      <c r="AF393">
        <v>0</v>
      </c>
      <c r="AG393">
        <v>0</v>
      </c>
      <c r="AH393" s="1">
        <v>0</v>
      </c>
      <c r="AI393">
        <v>391</v>
      </c>
      <c r="AJ393">
        <v>0</v>
      </c>
      <c r="AK393">
        <v>0</v>
      </c>
      <c r="AL393">
        <v>1</v>
      </c>
      <c r="AM393">
        <v>0</v>
      </c>
      <c r="AN393">
        <v>0</v>
      </c>
      <c r="AO393" s="1">
        <v>150</v>
      </c>
    </row>
    <row r="394" spans="7:41" x14ac:dyDescent="0.35">
      <c r="G394">
        <v>392</v>
      </c>
      <c r="H394">
        <v>0</v>
      </c>
      <c r="I394">
        <v>0</v>
      </c>
      <c r="J394">
        <v>1</v>
      </c>
      <c r="K394">
        <v>3</v>
      </c>
      <c r="L394">
        <v>0</v>
      </c>
      <c r="M394" s="1">
        <v>240</v>
      </c>
      <c r="N394">
        <v>392</v>
      </c>
      <c r="O394">
        <v>0</v>
      </c>
      <c r="P394">
        <v>2</v>
      </c>
      <c r="Q394">
        <v>0</v>
      </c>
      <c r="R394">
        <v>0</v>
      </c>
      <c r="S394">
        <v>0</v>
      </c>
      <c r="T394" s="1">
        <v>160</v>
      </c>
      <c r="U394">
        <v>392</v>
      </c>
      <c r="V394">
        <v>0</v>
      </c>
      <c r="W394">
        <v>0</v>
      </c>
      <c r="X394">
        <v>0</v>
      </c>
      <c r="Y394">
        <v>0</v>
      </c>
      <c r="Z394">
        <v>0</v>
      </c>
      <c r="AA394" s="1">
        <v>0</v>
      </c>
      <c r="AB394">
        <v>392</v>
      </c>
      <c r="AC394">
        <v>0</v>
      </c>
      <c r="AD394">
        <v>0</v>
      </c>
      <c r="AE394">
        <v>0</v>
      </c>
      <c r="AF394">
        <v>0</v>
      </c>
      <c r="AG394">
        <v>0</v>
      </c>
      <c r="AH394" s="1">
        <v>0</v>
      </c>
      <c r="AI394">
        <v>392</v>
      </c>
      <c r="AJ394">
        <v>0</v>
      </c>
      <c r="AK394">
        <v>0</v>
      </c>
      <c r="AL394">
        <v>0</v>
      </c>
      <c r="AM394">
        <v>0</v>
      </c>
      <c r="AN394">
        <v>0</v>
      </c>
      <c r="AO394" s="1">
        <v>0</v>
      </c>
    </row>
    <row r="395" spans="7:41" x14ac:dyDescent="0.35">
      <c r="G395">
        <v>393</v>
      </c>
      <c r="H395">
        <v>0</v>
      </c>
      <c r="I395">
        <v>2</v>
      </c>
      <c r="J395">
        <v>0</v>
      </c>
      <c r="K395">
        <v>0</v>
      </c>
      <c r="L395">
        <v>4</v>
      </c>
      <c r="M395" s="1">
        <v>360</v>
      </c>
      <c r="N395">
        <v>393</v>
      </c>
      <c r="O395">
        <v>0</v>
      </c>
      <c r="P395">
        <v>0</v>
      </c>
      <c r="Q395">
        <v>0</v>
      </c>
      <c r="R395">
        <v>0</v>
      </c>
      <c r="S395">
        <v>1</v>
      </c>
      <c r="T395" s="1">
        <v>80</v>
      </c>
      <c r="U395">
        <v>393</v>
      </c>
      <c r="V395">
        <v>0</v>
      </c>
      <c r="W395">
        <v>0</v>
      </c>
      <c r="X395">
        <v>0</v>
      </c>
      <c r="Y395">
        <v>0</v>
      </c>
      <c r="Z395">
        <v>0</v>
      </c>
      <c r="AA395" s="1">
        <v>0</v>
      </c>
      <c r="AB395">
        <v>393</v>
      </c>
      <c r="AC395">
        <v>0</v>
      </c>
      <c r="AD395">
        <v>0</v>
      </c>
      <c r="AE395">
        <v>0</v>
      </c>
      <c r="AF395">
        <v>0</v>
      </c>
      <c r="AG395">
        <v>0</v>
      </c>
      <c r="AH395" s="1">
        <v>0</v>
      </c>
      <c r="AI395">
        <v>393</v>
      </c>
      <c r="AJ395">
        <v>0</v>
      </c>
      <c r="AK395">
        <v>0</v>
      </c>
      <c r="AL395">
        <v>0</v>
      </c>
      <c r="AM395">
        <v>0</v>
      </c>
      <c r="AN395">
        <v>0</v>
      </c>
      <c r="AO395" s="1">
        <v>0</v>
      </c>
    </row>
    <row r="396" spans="7:41" x14ac:dyDescent="0.35">
      <c r="G396">
        <v>394</v>
      </c>
      <c r="H396">
        <v>0</v>
      </c>
      <c r="I396">
        <v>0</v>
      </c>
      <c r="J396">
        <v>2</v>
      </c>
      <c r="K396">
        <v>0</v>
      </c>
      <c r="L396">
        <v>0</v>
      </c>
      <c r="M396" s="1">
        <v>120</v>
      </c>
      <c r="N396">
        <v>394</v>
      </c>
      <c r="O396">
        <v>0</v>
      </c>
      <c r="P396">
        <v>0</v>
      </c>
      <c r="Q396">
        <v>3</v>
      </c>
      <c r="R396">
        <v>0</v>
      </c>
      <c r="S396">
        <v>1</v>
      </c>
      <c r="T396" s="1">
        <v>320</v>
      </c>
      <c r="U396">
        <v>394</v>
      </c>
      <c r="V396">
        <v>0</v>
      </c>
      <c r="W396">
        <v>3</v>
      </c>
      <c r="X396">
        <v>0</v>
      </c>
      <c r="Y396">
        <v>1</v>
      </c>
      <c r="Z396">
        <v>0</v>
      </c>
      <c r="AA396" s="1">
        <v>400</v>
      </c>
      <c r="AB396">
        <v>394</v>
      </c>
      <c r="AC396">
        <v>0</v>
      </c>
      <c r="AD396">
        <v>0</v>
      </c>
      <c r="AE396">
        <v>0</v>
      </c>
      <c r="AF396">
        <v>0</v>
      </c>
      <c r="AG396">
        <v>0</v>
      </c>
      <c r="AH396" s="1">
        <v>0</v>
      </c>
      <c r="AI396">
        <v>394</v>
      </c>
      <c r="AJ396">
        <v>0</v>
      </c>
      <c r="AK396">
        <v>0</v>
      </c>
      <c r="AL396">
        <v>0</v>
      </c>
      <c r="AM396">
        <v>0</v>
      </c>
      <c r="AN396">
        <v>0</v>
      </c>
      <c r="AO396" s="1">
        <v>0</v>
      </c>
    </row>
    <row r="397" spans="7:41" x14ac:dyDescent="0.35">
      <c r="G397">
        <v>395</v>
      </c>
      <c r="H397">
        <v>2</v>
      </c>
      <c r="I397">
        <v>0</v>
      </c>
      <c r="J397">
        <v>0</v>
      </c>
      <c r="K397">
        <v>3</v>
      </c>
      <c r="L397">
        <v>1</v>
      </c>
      <c r="M397" s="1">
        <v>360</v>
      </c>
      <c r="N397">
        <v>395</v>
      </c>
      <c r="O397">
        <v>0</v>
      </c>
      <c r="P397">
        <v>1</v>
      </c>
      <c r="Q397">
        <v>0</v>
      </c>
      <c r="R397">
        <v>0</v>
      </c>
      <c r="S397">
        <v>0</v>
      </c>
      <c r="T397" s="1">
        <v>80</v>
      </c>
      <c r="U397">
        <v>395</v>
      </c>
      <c r="V397">
        <v>0</v>
      </c>
      <c r="W397">
        <v>1</v>
      </c>
      <c r="X397">
        <v>1</v>
      </c>
      <c r="Y397">
        <v>0</v>
      </c>
      <c r="Z397">
        <v>0</v>
      </c>
      <c r="AA397" s="1">
        <v>200</v>
      </c>
      <c r="AB397">
        <v>395</v>
      </c>
      <c r="AC397">
        <v>0</v>
      </c>
      <c r="AD397">
        <v>1</v>
      </c>
      <c r="AE397">
        <v>0</v>
      </c>
      <c r="AF397">
        <v>0</v>
      </c>
      <c r="AG397">
        <v>0</v>
      </c>
      <c r="AH397" s="1">
        <v>120</v>
      </c>
      <c r="AI397">
        <v>395</v>
      </c>
      <c r="AJ397">
        <v>0</v>
      </c>
      <c r="AK397">
        <v>0</v>
      </c>
      <c r="AL397">
        <v>1</v>
      </c>
      <c r="AM397">
        <v>0</v>
      </c>
      <c r="AN397">
        <v>0</v>
      </c>
      <c r="AO397" s="1">
        <v>150</v>
      </c>
    </row>
    <row r="398" spans="7:41" x14ac:dyDescent="0.35">
      <c r="G398">
        <v>396</v>
      </c>
      <c r="H398">
        <v>2</v>
      </c>
      <c r="I398">
        <v>0</v>
      </c>
      <c r="J398">
        <v>2</v>
      </c>
      <c r="K398">
        <v>1</v>
      </c>
      <c r="L398">
        <v>2</v>
      </c>
      <c r="M398" s="1">
        <v>420</v>
      </c>
      <c r="N398">
        <v>396</v>
      </c>
      <c r="O398">
        <v>0</v>
      </c>
      <c r="P398">
        <v>0</v>
      </c>
      <c r="Q398">
        <v>1</v>
      </c>
      <c r="R398">
        <v>0</v>
      </c>
      <c r="S398">
        <v>0</v>
      </c>
      <c r="T398" s="1">
        <v>80</v>
      </c>
      <c r="U398">
        <v>396</v>
      </c>
      <c r="V398">
        <v>0</v>
      </c>
      <c r="W398">
        <v>1</v>
      </c>
      <c r="X398">
        <v>1</v>
      </c>
      <c r="Y398">
        <v>1</v>
      </c>
      <c r="Z398">
        <v>0</v>
      </c>
      <c r="AA398" s="1">
        <v>300</v>
      </c>
      <c r="AB398">
        <v>396</v>
      </c>
      <c r="AC398">
        <v>0</v>
      </c>
      <c r="AD398">
        <v>0</v>
      </c>
      <c r="AE398">
        <v>0</v>
      </c>
      <c r="AF398">
        <v>0</v>
      </c>
      <c r="AG398">
        <v>0</v>
      </c>
      <c r="AH398" s="1">
        <v>0</v>
      </c>
      <c r="AI398">
        <v>396</v>
      </c>
      <c r="AJ398">
        <v>0</v>
      </c>
      <c r="AK398">
        <v>0</v>
      </c>
      <c r="AL398">
        <v>1</v>
      </c>
      <c r="AM398">
        <v>0</v>
      </c>
      <c r="AN398">
        <v>0</v>
      </c>
      <c r="AO398" s="1">
        <v>150</v>
      </c>
    </row>
    <row r="399" spans="7:41" x14ac:dyDescent="0.35">
      <c r="G399">
        <v>397</v>
      </c>
      <c r="H399">
        <v>0</v>
      </c>
      <c r="I399">
        <v>3</v>
      </c>
      <c r="J399">
        <v>0</v>
      </c>
      <c r="K399">
        <v>2</v>
      </c>
      <c r="L399">
        <v>2</v>
      </c>
      <c r="M399" s="1">
        <v>420</v>
      </c>
      <c r="N399">
        <v>397</v>
      </c>
      <c r="O399">
        <v>0</v>
      </c>
      <c r="P399">
        <v>0</v>
      </c>
      <c r="Q399">
        <v>0</v>
      </c>
      <c r="R399">
        <v>0</v>
      </c>
      <c r="S399">
        <v>0</v>
      </c>
      <c r="T399" s="1">
        <v>0</v>
      </c>
      <c r="U399">
        <v>397</v>
      </c>
      <c r="V399">
        <v>0</v>
      </c>
      <c r="W399">
        <v>1</v>
      </c>
      <c r="X399">
        <v>0</v>
      </c>
      <c r="Y399">
        <v>0</v>
      </c>
      <c r="Z399">
        <v>0</v>
      </c>
      <c r="AA399" s="1">
        <v>100</v>
      </c>
      <c r="AB399">
        <v>397</v>
      </c>
      <c r="AC399">
        <v>0</v>
      </c>
      <c r="AD399">
        <v>0</v>
      </c>
      <c r="AE399">
        <v>0</v>
      </c>
      <c r="AF399">
        <v>0</v>
      </c>
      <c r="AG399">
        <v>0</v>
      </c>
      <c r="AH399" s="1">
        <v>0</v>
      </c>
      <c r="AI399">
        <v>397</v>
      </c>
      <c r="AJ399">
        <v>0</v>
      </c>
      <c r="AK399">
        <v>0</v>
      </c>
      <c r="AL399">
        <v>0</v>
      </c>
      <c r="AM399">
        <v>0</v>
      </c>
      <c r="AN399">
        <v>0</v>
      </c>
      <c r="AO399" s="1">
        <v>0</v>
      </c>
    </row>
    <row r="400" spans="7:41" x14ac:dyDescent="0.35">
      <c r="G400">
        <v>398</v>
      </c>
      <c r="H400">
        <v>0</v>
      </c>
      <c r="I400">
        <v>0</v>
      </c>
      <c r="J400">
        <v>1</v>
      </c>
      <c r="K400">
        <v>0</v>
      </c>
      <c r="L400">
        <v>1</v>
      </c>
      <c r="M400" s="1">
        <v>120</v>
      </c>
      <c r="N400">
        <v>398</v>
      </c>
      <c r="O400">
        <v>0</v>
      </c>
      <c r="P400">
        <v>1</v>
      </c>
      <c r="Q400">
        <v>3</v>
      </c>
      <c r="R400">
        <v>0</v>
      </c>
      <c r="S400">
        <v>0</v>
      </c>
      <c r="T400" s="1">
        <v>320</v>
      </c>
      <c r="U400">
        <v>398</v>
      </c>
      <c r="V400">
        <v>0</v>
      </c>
      <c r="W400">
        <v>1</v>
      </c>
      <c r="X400">
        <v>0</v>
      </c>
      <c r="Y400">
        <v>0</v>
      </c>
      <c r="Z400">
        <v>0</v>
      </c>
      <c r="AA400" s="1">
        <v>100</v>
      </c>
      <c r="AB400">
        <v>398</v>
      </c>
      <c r="AC400">
        <v>0</v>
      </c>
      <c r="AD400">
        <v>0</v>
      </c>
      <c r="AE400">
        <v>0</v>
      </c>
      <c r="AF400">
        <v>1</v>
      </c>
      <c r="AG400">
        <v>0</v>
      </c>
      <c r="AH400" s="1">
        <v>120</v>
      </c>
      <c r="AI400">
        <v>398</v>
      </c>
      <c r="AJ400">
        <v>0</v>
      </c>
      <c r="AK400">
        <v>0</v>
      </c>
      <c r="AL400">
        <v>0</v>
      </c>
      <c r="AM400">
        <v>0</v>
      </c>
      <c r="AN400">
        <v>0</v>
      </c>
      <c r="AO400" s="1">
        <v>0</v>
      </c>
    </row>
    <row r="401" spans="7:41" x14ac:dyDescent="0.35">
      <c r="G401">
        <v>399</v>
      </c>
      <c r="H401">
        <v>0</v>
      </c>
      <c r="I401">
        <v>0</v>
      </c>
      <c r="J401">
        <v>5</v>
      </c>
      <c r="K401">
        <v>0</v>
      </c>
      <c r="L401">
        <v>3</v>
      </c>
      <c r="M401" s="1">
        <v>480</v>
      </c>
      <c r="N401">
        <v>399</v>
      </c>
      <c r="O401">
        <v>2</v>
      </c>
      <c r="P401">
        <v>1</v>
      </c>
      <c r="Q401">
        <v>0</v>
      </c>
      <c r="R401">
        <v>0</v>
      </c>
      <c r="S401">
        <v>1</v>
      </c>
      <c r="T401" s="1">
        <v>320</v>
      </c>
      <c r="U401">
        <v>399</v>
      </c>
      <c r="V401">
        <v>0</v>
      </c>
      <c r="W401">
        <v>0</v>
      </c>
      <c r="X401">
        <v>0</v>
      </c>
      <c r="Y401">
        <v>0</v>
      </c>
      <c r="Z401">
        <v>0</v>
      </c>
      <c r="AA401" s="1">
        <v>0</v>
      </c>
      <c r="AB401">
        <v>399</v>
      </c>
      <c r="AC401">
        <v>0</v>
      </c>
      <c r="AD401">
        <v>0</v>
      </c>
      <c r="AE401">
        <v>0</v>
      </c>
      <c r="AF401">
        <v>0</v>
      </c>
      <c r="AG401">
        <v>0</v>
      </c>
      <c r="AH401" s="1">
        <v>0</v>
      </c>
      <c r="AI401">
        <v>399</v>
      </c>
      <c r="AJ401">
        <v>0</v>
      </c>
      <c r="AK401">
        <v>0</v>
      </c>
      <c r="AL401">
        <v>0</v>
      </c>
      <c r="AM401">
        <v>0</v>
      </c>
      <c r="AN401">
        <v>0</v>
      </c>
      <c r="AO401" s="1">
        <v>0</v>
      </c>
    </row>
    <row r="402" spans="7:41" x14ac:dyDescent="0.35">
      <c r="G402">
        <v>400</v>
      </c>
      <c r="H402">
        <v>2</v>
      </c>
      <c r="I402">
        <v>1</v>
      </c>
      <c r="J402">
        <v>0</v>
      </c>
      <c r="K402">
        <v>4</v>
      </c>
      <c r="L402">
        <v>2</v>
      </c>
      <c r="M402" s="1">
        <v>540</v>
      </c>
      <c r="N402">
        <v>400</v>
      </c>
      <c r="O402">
        <v>0</v>
      </c>
      <c r="P402">
        <v>0</v>
      </c>
      <c r="Q402">
        <v>0</v>
      </c>
      <c r="R402">
        <v>0</v>
      </c>
      <c r="S402">
        <v>0</v>
      </c>
      <c r="T402" s="1">
        <v>0</v>
      </c>
      <c r="U402">
        <v>400</v>
      </c>
      <c r="V402">
        <v>0</v>
      </c>
      <c r="W402">
        <v>0</v>
      </c>
      <c r="X402">
        <v>0</v>
      </c>
      <c r="Y402">
        <v>1</v>
      </c>
      <c r="Z402">
        <v>0</v>
      </c>
      <c r="AA402" s="1">
        <v>100</v>
      </c>
      <c r="AB402">
        <v>400</v>
      </c>
      <c r="AC402">
        <v>0</v>
      </c>
      <c r="AD402">
        <v>0</v>
      </c>
      <c r="AE402">
        <v>0</v>
      </c>
      <c r="AF402">
        <v>0</v>
      </c>
      <c r="AG402">
        <v>0</v>
      </c>
      <c r="AH402" s="1">
        <v>0</v>
      </c>
      <c r="AI402">
        <v>400</v>
      </c>
      <c r="AJ402">
        <v>0</v>
      </c>
      <c r="AK402">
        <v>0</v>
      </c>
      <c r="AL402">
        <v>2</v>
      </c>
      <c r="AM402">
        <v>0</v>
      </c>
      <c r="AN402">
        <v>0</v>
      </c>
      <c r="AO402" s="1">
        <v>300</v>
      </c>
    </row>
    <row r="403" spans="7:41" x14ac:dyDescent="0.35">
      <c r="G403">
        <v>401</v>
      </c>
      <c r="H403">
        <v>0</v>
      </c>
      <c r="I403">
        <v>0</v>
      </c>
      <c r="J403">
        <v>3</v>
      </c>
      <c r="K403">
        <v>0</v>
      </c>
      <c r="L403">
        <v>0</v>
      </c>
      <c r="M403" s="1">
        <v>180</v>
      </c>
      <c r="N403">
        <v>401</v>
      </c>
      <c r="O403">
        <v>0</v>
      </c>
      <c r="P403">
        <v>1</v>
      </c>
      <c r="Q403">
        <v>3</v>
      </c>
      <c r="R403">
        <v>0</v>
      </c>
      <c r="S403">
        <v>0</v>
      </c>
      <c r="T403" s="1">
        <v>320</v>
      </c>
      <c r="U403">
        <v>401</v>
      </c>
      <c r="V403">
        <v>0</v>
      </c>
      <c r="W403">
        <v>0</v>
      </c>
      <c r="X403">
        <v>0</v>
      </c>
      <c r="Y403">
        <v>0</v>
      </c>
      <c r="Z403">
        <v>0</v>
      </c>
      <c r="AA403" s="1">
        <v>0</v>
      </c>
      <c r="AB403">
        <v>401</v>
      </c>
      <c r="AC403">
        <v>0</v>
      </c>
      <c r="AD403">
        <v>0</v>
      </c>
      <c r="AE403">
        <v>0</v>
      </c>
      <c r="AF403">
        <v>0</v>
      </c>
      <c r="AG403">
        <v>0</v>
      </c>
      <c r="AH403" s="1">
        <v>0</v>
      </c>
      <c r="AI403">
        <v>401</v>
      </c>
      <c r="AJ403">
        <v>0</v>
      </c>
      <c r="AK403">
        <v>0</v>
      </c>
      <c r="AL403">
        <v>0</v>
      </c>
      <c r="AM403">
        <v>0</v>
      </c>
      <c r="AN403">
        <v>1</v>
      </c>
      <c r="AO403" s="1">
        <v>150</v>
      </c>
    </row>
    <row r="404" spans="7:41" x14ac:dyDescent="0.35">
      <c r="G404">
        <v>402</v>
      </c>
      <c r="H404">
        <v>0</v>
      </c>
      <c r="I404">
        <v>0</v>
      </c>
      <c r="J404">
        <v>1</v>
      </c>
      <c r="K404">
        <v>4</v>
      </c>
      <c r="L404">
        <v>2</v>
      </c>
      <c r="M404" s="1">
        <v>420</v>
      </c>
      <c r="N404">
        <v>402</v>
      </c>
      <c r="O404">
        <v>0</v>
      </c>
      <c r="P404">
        <v>0</v>
      </c>
      <c r="Q404">
        <v>3</v>
      </c>
      <c r="R404">
        <v>0</v>
      </c>
      <c r="S404">
        <v>1</v>
      </c>
      <c r="T404" s="1">
        <v>320</v>
      </c>
      <c r="U404">
        <v>402</v>
      </c>
      <c r="V404">
        <v>0</v>
      </c>
      <c r="W404">
        <v>2</v>
      </c>
      <c r="X404">
        <v>0</v>
      </c>
      <c r="Y404">
        <v>0</v>
      </c>
      <c r="Z404">
        <v>0</v>
      </c>
      <c r="AA404" s="1">
        <v>200</v>
      </c>
      <c r="AB404">
        <v>402</v>
      </c>
      <c r="AC404">
        <v>0</v>
      </c>
      <c r="AD404">
        <v>0</v>
      </c>
      <c r="AE404">
        <v>0</v>
      </c>
      <c r="AF404">
        <v>0</v>
      </c>
      <c r="AG404">
        <v>0</v>
      </c>
      <c r="AH404" s="1">
        <v>0</v>
      </c>
      <c r="AI404">
        <v>402</v>
      </c>
      <c r="AJ404">
        <v>0</v>
      </c>
      <c r="AK404">
        <v>0</v>
      </c>
      <c r="AL404">
        <v>0</v>
      </c>
      <c r="AM404">
        <v>0</v>
      </c>
      <c r="AN404">
        <v>0</v>
      </c>
      <c r="AO404" s="1">
        <v>0</v>
      </c>
    </row>
    <row r="405" spans="7:41" x14ac:dyDescent="0.35">
      <c r="G405">
        <v>403</v>
      </c>
      <c r="H405">
        <v>0</v>
      </c>
      <c r="I405">
        <v>2</v>
      </c>
      <c r="J405">
        <v>0</v>
      </c>
      <c r="K405">
        <v>3</v>
      </c>
      <c r="L405">
        <v>1</v>
      </c>
      <c r="M405" s="1">
        <v>360</v>
      </c>
      <c r="N405">
        <v>403</v>
      </c>
      <c r="O405">
        <v>1</v>
      </c>
      <c r="P405">
        <v>2</v>
      </c>
      <c r="Q405">
        <v>1</v>
      </c>
      <c r="R405">
        <v>0</v>
      </c>
      <c r="S405">
        <v>0</v>
      </c>
      <c r="T405" s="1">
        <v>320</v>
      </c>
      <c r="U405">
        <v>403</v>
      </c>
      <c r="V405">
        <v>0</v>
      </c>
      <c r="W405">
        <v>1</v>
      </c>
      <c r="X405">
        <v>0</v>
      </c>
      <c r="Y405">
        <v>1</v>
      </c>
      <c r="Z405">
        <v>0</v>
      </c>
      <c r="AA405" s="1">
        <v>200</v>
      </c>
      <c r="AB405">
        <v>403</v>
      </c>
      <c r="AC405">
        <v>0</v>
      </c>
      <c r="AD405">
        <v>0</v>
      </c>
      <c r="AE405">
        <v>0</v>
      </c>
      <c r="AF405">
        <v>0</v>
      </c>
      <c r="AG405">
        <v>1</v>
      </c>
      <c r="AH405" s="1">
        <v>120</v>
      </c>
      <c r="AI405">
        <v>403</v>
      </c>
      <c r="AJ405">
        <v>0</v>
      </c>
      <c r="AK405">
        <v>0</v>
      </c>
      <c r="AL405">
        <v>0</v>
      </c>
      <c r="AM405">
        <v>0</v>
      </c>
      <c r="AN405">
        <v>0</v>
      </c>
      <c r="AO405" s="1">
        <v>0</v>
      </c>
    </row>
    <row r="406" spans="7:41" x14ac:dyDescent="0.35">
      <c r="G406">
        <v>404</v>
      </c>
      <c r="H406">
        <v>1</v>
      </c>
      <c r="I406">
        <v>1</v>
      </c>
      <c r="J406">
        <v>0</v>
      </c>
      <c r="K406">
        <v>0</v>
      </c>
      <c r="L406">
        <v>2</v>
      </c>
      <c r="M406" s="1">
        <v>240</v>
      </c>
      <c r="N406">
        <v>404</v>
      </c>
      <c r="O406">
        <v>0</v>
      </c>
      <c r="P406">
        <v>1</v>
      </c>
      <c r="Q406">
        <v>0</v>
      </c>
      <c r="R406">
        <v>1</v>
      </c>
      <c r="S406">
        <v>0</v>
      </c>
      <c r="T406" s="1">
        <v>160</v>
      </c>
      <c r="U406">
        <v>404</v>
      </c>
      <c r="V406">
        <v>0</v>
      </c>
      <c r="W406">
        <v>3</v>
      </c>
      <c r="X406">
        <v>0</v>
      </c>
      <c r="Y406">
        <v>0</v>
      </c>
      <c r="Z406">
        <v>0</v>
      </c>
      <c r="AA406" s="1">
        <v>300</v>
      </c>
      <c r="AB406">
        <v>404</v>
      </c>
      <c r="AC406">
        <v>0</v>
      </c>
      <c r="AD406">
        <v>0</v>
      </c>
      <c r="AE406">
        <v>0</v>
      </c>
      <c r="AF406">
        <v>0</v>
      </c>
      <c r="AG406">
        <v>0</v>
      </c>
      <c r="AH406" s="1">
        <v>0</v>
      </c>
      <c r="AI406">
        <v>404</v>
      </c>
      <c r="AJ406">
        <v>0</v>
      </c>
      <c r="AK406">
        <v>0</v>
      </c>
      <c r="AL406">
        <v>1</v>
      </c>
      <c r="AM406">
        <v>0</v>
      </c>
      <c r="AN406">
        <v>0</v>
      </c>
      <c r="AO406" s="1">
        <v>150</v>
      </c>
    </row>
    <row r="407" spans="7:41" x14ac:dyDescent="0.35">
      <c r="G407">
        <v>405</v>
      </c>
      <c r="H407">
        <v>1</v>
      </c>
      <c r="I407">
        <v>0</v>
      </c>
      <c r="J407">
        <v>0</v>
      </c>
      <c r="K407">
        <v>0</v>
      </c>
      <c r="L407">
        <v>0</v>
      </c>
      <c r="M407" s="1">
        <v>60</v>
      </c>
      <c r="N407">
        <v>405</v>
      </c>
      <c r="O407">
        <v>0</v>
      </c>
      <c r="P407">
        <v>0</v>
      </c>
      <c r="Q407">
        <v>0</v>
      </c>
      <c r="R407">
        <v>0</v>
      </c>
      <c r="S407">
        <v>0</v>
      </c>
      <c r="T407" s="1">
        <v>0</v>
      </c>
      <c r="U407">
        <v>405</v>
      </c>
      <c r="V407">
        <v>0</v>
      </c>
      <c r="W407">
        <v>0</v>
      </c>
      <c r="X407">
        <v>0</v>
      </c>
      <c r="Y407">
        <v>0</v>
      </c>
      <c r="Z407">
        <v>0</v>
      </c>
      <c r="AA407" s="1">
        <v>0</v>
      </c>
      <c r="AB407">
        <v>405</v>
      </c>
      <c r="AC407">
        <v>0</v>
      </c>
      <c r="AD407">
        <v>0</v>
      </c>
      <c r="AE407">
        <v>0</v>
      </c>
      <c r="AF407">
        <v>0</v>
      </c>
      <c r="AG407">
        <v>1</v>
      </c>
      <c r="AH407" s="1">
        <v>120</v>
      </c>
      <c r="AI407">
        <v>405</v>
      </c>
      <c r="AJ407">
        <v>0</v>
      </c>
      <c r="AK407">
        <v>0</v>
      </c>
      <c r="AL407">
        <v>0</v>
      </c>
      <c r="AM407">
        <v>0</v>
      </c>
      <c r="AN407">
        <v>0</v>
      </c>
      <c r="AO407" s="1">
        <v>0</v>
      </c>
    </row>
    <row r="408" spans="7:41" x14ac:dyDescent="0.35">
      <c r="G408">
        <v>406</v>
      </c>
      <c r="H408">
        <v>0</v>
      </c>
      <c r="I408">
        <v>3</v>
      </c>
      <c r="J408">
        <v>1</v>
      </c>
      <c r="K408">
        <v>4</v>
      </c>
      <c r="L408">
        <v>0</v>
      </c>
      <c r="M408" s="1">
        <v>480</v>
      </c>
      <c r="N408">
        <v>406</v>
      </c>
      <c r="O408">
        <v>1</v>
      </c>
      <c r="P408">
        <v>0</v>
      </c>
      <c r="Q408">
        <v>1</v>
      </c>
      <c r="R408">
        <v>1</v>
      </c>
      <c r="S408">
        <v>0</v>
      </c>
      <c r="T408" s="1">
        <v>240</v>
      </c>
      <c r="U408">
        <v>406</v>
      </c>
      <c r="V408">
        <v>0</v>
      </c>
      <c r="W408">
        <v>0</v>
      </c>
      <c r="X408">
        <v>0</v>
      </c>
      <c r="Y408">
        <v>0</v>
      </c>
      <c r="Z408">
        <v>0</v>
      </c>
      <c r="AA408" s="1">
        <v>0</v>
      </c>
      <c r="AB408">
        <v>406</v>
      </c>
      <c r="AC408">
        <v>0</v>
      </c>
      <c r="AD408">
        <v>0</v>
      </c>
      <c r="AE408">
        <v>0</v>
      </c>
      <c r="AF408">
        <v>0</v>
      </c>
      <c r="AG408">
        <v>0</v>
      </c>
      <c r="AH408" s="1">
        <v>0</v>
      </c>
      <c r="AI408">
        <v>406</v>
      </c>
      <c r="AJ408">
        <v>0</v>
      </c>
      <c r="AK408">
        <v>0</v>
      </c>
      <c r="AL408">
        <v>0</v>
      </c>
      <c r="AM408">
        <v>0</v>
      </c>
      <c r="AN408">
        <v>0</v>
      </c>
      <c r="AO408" s="1">
        <v>0</v>
      </c>
    </row>
    <row r="409" spans="7:41" x14ac:dyDescent="0.35">
      <c r="G409">
        <v>407</v>
      </c>
      <c r="H409">
        <v>0</v>
      </c>
      <c r="I409">
        <v>0</v>
      </c>
      <c r="J409">
        <v>1</v>
      </c>
      <c r="K409">
        <v>2</v>
      </c>
      <c r="L409">
        <v>1</v>
      </c>
      <c r="M409" s="1">
        <v>240</v>
      </c>
      <c r="N409">
        <v>407</v>
      </c>
      <c r="O409">
        <v>0</v>
      </c>
      <c r="P409">
        <v>1</v>
      </c>
      <c r="Q409">
        <v>0</v>
      </c>
      <c r="R409">
        <v>0</v>
      </c>
      <c r="S409">
        <v>0</v>
      </c>
      <c r="T409" s="1">
        <v>80</v>
      </c>
      <c r="U409">
        <v>407</v>
      </c>
      <c r="V409">
        <v>0</v>
      </c>
      <c r="W409">
        <v>0</v>
      </c>
      <c r="X409">
        <v>0</v>
      </c>
      <c r="Y409">
        <v>1</v>
      </c>
      <c r="Z409">
        <v>0</v>
      </c>
      <c r="AA409" s="1">
        <v>100</v>
      </c>
      <c r="AB409">
        <v>407</v>
      </c>
      <c r="AC409">
        <v>0</v>
      </c>
      <c r="AD409">
        <v>0</v>
      </c>
      <c r="AE409">
        <v>0</v>
      </c>
      <c r="AF409">
        <v>0</v>
      </c>
      <c r="AG409">
        <v>0</v>
      </c>
      <c r="AH409" s="1">
        <v>0</v>
      </c>
      <c r="AI409">
        <v>407</v>
      </c>
      <c r="AJ409">
        <v>0</v>
      </c>
      <c r="AK409">
        <v>0</v>
      </c>
      <c r="AL409">
        <v>1</v>
      </c>
      <c r="AM409">
        <v>0</v>
      </c>
      <c r="AN409">
        <v>0</v>
      </c>
      <c r="AO409" s="1">
        <v>150</v>
      </c>
    </row>
    <row r="410" spans="7:41" x14ac:dyDescent="0.35">
      <c r="G410">
        <v>408</v>
      </c>
      <c r="H410">
        <v>0</v>
      </c>
      <c r="I410">
        <v>0</v>
      </c>
      <c r="J410">
        <v>2</v>
      </c>
      <c r="K410">
        <v>2</v>
      </c>
      <c r="L410">
        <v>0</v>
      </c>
      <c r="M410" s="1">
        <v>240</v>
      </c>
      <c r="N410">
        <v>408</v>
      </c>
      <c r="O410">
        <v>3</v>
      </c>
      <c r="P410">
        <v>0</v>
      </c>
      <c r="Q410">
        <v>1</v>
      </c>
      <c r="R410">
        <v>0</v>
      </c>
      <c r="S410">
        <v>0</v>
      </c>
      <c r="T410" s="1">
        <v>320</v>
      </c>
      <c r="U410">
        <v>408</v>
      </c>
      <c r="V410">
        <v>0</v>
      </c>
      <c r="W410">
        <v>1</v>
      </c>
      <c r="X410">
        <v>0</v>
      </c>
      <c r="Y410">
        <v>0</v>
      </c>
      <c r="Z410">
        <v>0</v>
      </c>
      <c r="AA410" s="1">
        <v>100</v>
      </c>
      <c r="AB410">
        <v>408</v>
      </c>
      <c r="AC410">
        <v>0</v>
      </c>
      <c r="AD410">
        <v>0</v>
      </c>
      <c r="AE410">
        <v>0</v>
      </c>
      <c r="AF410">
        <v>0</v>
      </c>
      <c r="AG410">
        <v>0</v>
      </c>
      <c r="AH410" s="1">
        <v>0</v>
      </c>
      <c r="AI410">
        <v>408</v>
      </c>
      <c r="AJ410">
        <v>0</v>
      </c>
      <c r="AK410">
        <v>0</v>
      </c>
      <c r="AL410">
        <v>0</v>
      </c>
      <c r="AM410">
        <v>0</v>
      </c>
      <c r="AN410">
        <v>0</v>
      </c>
      <c r="AO410" s="1">
        <v>0</v>
      </c>
    </row>
    <row r="411" spans="7:41" x14ac:dyDescent="0.35">
      <c r="G411">
        <v>409</v>
      </c>
      <c r="H411">
        <v>0</v>
      </c>
      <c r="I411">
        <v>2</v>
      </c>
      <c r="J411">
        <v>0</v>
      </c>
      <c r="K411">
        <v>4</v>
      </c>
      <c r="L411">
        <v>0</v>
      </c>
      <c r="M411" s="1">
        <v>360</v>
      </c>
      <c r="N411">
        <v>409</v>
      </c>
      <c r="O411">
        <v>2</v>
      </c>
      <c r="P411">
        <v>0</v>
      </c>
      <c r="Q411">
        <v>0</v>
      </c>
      <c r="R411">
        <v>0</v>
      </c>
      <c r="S411">
        <v>0</v>
      </c>
      <c r="T411" s="1">
        <v>160</v>
      </c>
      <c r="U411">
        <v>409</v>
      </c>
      <c r="V411">
        <v>1</v>
      </c>
      <c r="W411">
        <v>1</v>
      </c>
      <c r="X411">
        <v>0</v>
      </c>
      <c r="Y411">
        <v>0</v>
      </c>
      <c r="Z411">
        <v>0</v>
      </c>
      <c r="AA411" s="1">
        <v>200</v>
      </c>
      <c r="AB411">
        <v>409</v>
      </c>
      <c r="AC411">
        <v>0</v>
      </c>
      <c r="AD411">
        <v>0</v>
      </c>
      <c r="AE411">
        <v>0</v>
      </c>
      <c r="AF411">
        <v>0</v>
      </c>
      <c r="AG411">
        <v>0</v>
      </c>
      <c r="AH411" s="1">
        <v>0</v>
      </c>
      <c r="AI411">
        <v>409</v>
      </c>
      <c r="AJ411">
        <v>0</v>
      </c>
      <c r="AK411">
        <v>0</v>
      </c>
      <c r="AL411">
        <v>0</v>
      </c>
      <c r="AM411">
        <v>0</v>
      </c>
      <c r="AN411">
        <v>0</v>
      </c>
      <c r="AO411" s="1">
        <v>0</v>
      </c>
    </row>
    <row r="412" spans="7:41" x14ac:dyDescent="0.35">
      <c r="G412">
        <v>410</v>
      </c>
      <c r="H412">
        <v>1</v>
      </c>
      <c r="I412">
        <v>0</v>
      </c>
      <c r="J412">
        <v>1</v>
      </c>
      <c r="K412">
        <v>2</v>
      </c>
      <c r="L412">
        <v>0</v>
      </c>
      <c r="M412" s="1">
        <v>240</v>
      </c>
      <c r="N412">
        <v>410</v>
      </c>
      <c r="O412">
        <v>1</v>
      </c>
      <c r="P412">
        <v>0</v>
      </c>
      <c r="Q412">
        <v>0</v>
      </c>
      <c r="R412">
        <v>0</v>
      </c>
      <c r="S412">
        <v>0</v>
      </c>
      <c r="T412" s="1">
        <v>80</v>
      </c>
      <c r="U412">
        <v>410</v>
      </c>
      <c r="V412">
        <v>0</v>
      </c>
      <c r="W412">
        <v>0</v>
      </c>
      <c r="X412">
        <v>0</v>
      </c>
      <c r="Y412">
        <v>0</v>
      </c>
      <c r="Z412">
        <v>0</v>
      </c>
      <c r="AA412" s="1">
        <v>0</v>
      </c>
      <c r="AB412">
        <v>410</v>
      </c>
      <c r="AC412">
        <v>0</v>
      </c>
      <c r="AD412">
        <v>0</v>
      </c>
      <c r="AE412">
        <v>0</v>
      </c>
      <c r="AF412">
        <v>0</v>
      </c>
      <c r="AG412">
        <v>0</v>
      </c>
      <c r="AH412" s="1">
        <v>0</v>
      </c>
      <c r="AI412">
        <v>410</v>
      </c>
      <c r="AJ412">
        <v>0</v>
      </c>
      <c r="AK412">
        <v>0</v>
      </c>
      <c r="AL412">
        <v>0</v>
      </c>
      <c r="AM412">
        <v>0</v>
      </c>
      <c r="AN412">
        <v>0</v>
      </c>
      <c r="AO412" s="1">
        <v>0</v>
      </c>
    </row>
    <row r="413" spans="7:41" x14ac:dyDescent="0.35">
      <c r="G413">
        <v>411</v>
      </c>
      <c r="H413">
        <v>0</v>
      </c>
      <c r="I413">
        <v>1</v>
      </c>
      <c r="J413">
        <v>3</v>
      </c>
      <c r="K413">
        <v>0</v>
      </c>
      <c r="L413">
        <v>0</v>
      </c>
      <c r="M413" s="1">
        <v>240</v>
      </c>
      <c r="N413">
        <v>411</v>
      </c>
      <c r="O413">
        <v>0</v>
      </c>
      <c r="P413">
        <v>0</v>
      </c>
      <c r="Q413">
        <v>2</v>
      </c>
      <c r="R413">
        <v>1</v>
      </c>
      <c r="S413">
        <v>0</v>
      </c>
      <c r="T413" s="1">
        <v>240</v>
      </c>
      <c r="U413">
        <v>411</v>
      </c>
      <c r="V413">
        <v>0</v>
      </c>
      <c r="W413">
        <v>0</v>
      </c>
      <c r="X413">
        <v>0</v>
      </c>
      <c r="Y413">
        <v>0</v>
      </c>
      <c r="Z413">
        <v>0</v>
      </c>
      <c r="AA413" s="1">
        <v>0</v>
      </c>
      <c r="AB413">
        <v>411</v>
      </c>
      <c r="AC413">
        <v>0</v>
      </c>
      <c r="AD413">
        <v>1</v>
      </c>
      <c r="AE413">
        <v>0</v>
      </c>
      <c r="AF413">
        <v>0</v>
      </c>
      <c r="AG413">
        <v>0</v>
      </c>
      <c r="AH413" s="1">
        <v>120</v>
      </c>
      <c r="AI413">
        <v>411</v>
      </c>
      <c r="AJ413">
        <v>0</v>
      </c>
      <c r="AK413">
        <v>0</v>
      </c>
      <c r="AL413">
        <v>0</v>
      </c>
      <c r="AM413">
        <v>0</v>
      </c>
      <c r="AN413">
        <v>0</v>
      </c>
      <c r="AO413" s="1">
        <v>0</v>
      </c>
    </row>
    <row r="414" spans="7:41" x14ac:dyDescent="0.35">
      <c r="G414">
        <v>412</v>
      </c>
      <c r="H414">
        <v>0</v>
      </c>
      <c r="I414">
        <v>1</v>
      </c>
      <c r="J414">
        <v>3</v>
      </c>
      <c r="K414">
        <v>3</v>
      </c>
      <c r="L414">
        <v>0</v>
      </c>
      <c r="M414" s="1">
        <v>420</v>
      </c>
      <c r="N414">
        <v>412</v>
      </c>
      <c r="O414">
        <v>0</v>
      </c>
      <c r="P414">
        <v>0</v>
      </c>
      <c r="Q414">
        <v>1</v>
      </c>
      <c r="R414">
        <v>0</v>
      </c>
      <c r="S414">
        <v>0</v>
      </c>
      <c r="T414" s="1">
        <v>80</v>
      </c>
      <c r="U414">
        <v>412</v>
      </c>
      <c r="V414">
        <v>0</v>
      </c>
      <c r="W414">
        <v>0</v>
      </c>
      <c r="X414">
        <v>1</v>
      </c>
      <c r="Y414">
        <v>0</v>
      </c>
      <c r="Z414">
        <v>0</v>
      </c>
      <c r="AA414" s="1">
        <v>100</v>
      </c>
      <c r="AB414">
        <v>412</v>
      </c>
      <c r="AC414">
        <v>0</v>
      </c>
      <c r="AD414">
        <v>0</v>
      </c>
      <c r="AE414">
        <v>0</v>
      </c>
      <c r="AF414">
        <v>0</v>
      </c>
      <c r="AG414">
        <v>0</v>
      </c>
      <c r="AH414" s="1">
        <v>0</v>
      </c>
      <c r="AI414">
        <v>412</v>
      </c>
      <c r="AJ414">
        <v>0</v>
      </c>
      <c r="AK414">
        <v>0</v>
      </c>
      <c r="AL414">
        <v>2</v>
      </c>
      <c r="AM414">
        <v>0</v>
      </c>
      <c r="AN414">
        <v>0</v>
      </c>
      <c r="AO414" s="1">
        <v>300</v>
      </c>
    </row>
    <row r="415" spans="7:41" x14ac:dyDescent="0.35">
      <c r="G415">
        <v>413</v>
      </c>
      <c r="H415">
        <v>1</v>
      </c>
      <c r="I415">
        <v>0</v>
      </c>
      <c r="J415">
        <v>3</v>
      </c>
      <c r="K415">
        <v>0</v>
      </c>
      <c r="L415">
        <v>0</v>
      </c>
      <c r="M415" s="1">
        <v>240</v>
      </c>
      <c r="N415">
        <v>413</v>
      </c>
      <c r="O415">
        <v>0</v>
      </c>
      <c r="P415">
        <v>1</v>
      </c>
      <c r="Q415">
        <v>2</v>
      </c>
      <c r="R415">
        <v>1</v>
      </c>
      <c r="S415">
        <v>0</v>
      </c>
      <c r="T415" s="1">
        <v>320</v>
      </c>
      <c r="U415">
        <v>413</v>
      </c>
      <c r="V415">
        <v>0</v>
      </c>
      <c r="W415">
        <v>1</v>
      </c>
      <c r="X415">
        <v>0</v>
      </c>
      <c r="Y415">
        <v>0</v>
      </c>
      <c r="Z415">
        <v>0</v>
      </c>
      <c r="AA415" s="1">
        <v>100</v>
      </c>
      <c r="AB415">
        <v>413</v>
      </c>
      <c r="AC415">
        <v>0</v>
      </c>
      <c r="AD415">
        <v>0</v>
      </c>
      <c r="AE415">
        <v>0</v>
      </c>
      <c r="AF415">
        <v>0</v>
      </c>
      <c r="AG415">
        <v>1</v>
      </c>
      <c r="AH415" s="1">
        <v>120</v>
      </c>
      <c r="AI415">
        <v>413</v>
      </c>
      <c r="AJ415">
        <v>0</v>
      </c>
      <c r="AK415">
        <v>0</v>
      </c>
      <c r="AL415">
        <v>0</v>
      </c>
      <c r="AM415">
        <v>0</v>
      </c>
      <c r="AN415">
        <v>0</v>
      </c>
      <c r="AO415" s="1">
        <v>0</v>
      </c>
    </row>
    <row r="416" spans="7:41" x14ac:dyDescent="0.35">
      <c r="G416">
        <v>414</v>
      </c>
      <c r="H416">
        <v>1</v>
      </c>
      <c r="I416">
        <v>0</v>
      </c>
      <c r="J416">
        <v>0</v>
      </c>
      <c r="K416">
        <v>2</v>
      </c>
      <c r="L416">
        <v>0</v>
      </c>
      <c r="M416" s="1">
        <v>180</v>
      </c>
      <c r="N416">
        <v>414</v>
      </c>
      <c r="O416">
        <v>1</v>
      </c>
      <c r="P416">
        <v>2</v>
      </c>
      <c r="Q416">
        <v>0</v>
      </c>
      <c r="R416">
        <v>0</v>
      </c>
      <c r="S416">
        <v>0</v>
      </c>
      <c r="T416" s="1">
        <v>240</v>
      </c>
      <c r="U416">
        <v>414</v>
      </c>
      <c r="V416">
        <v>0</v>
      </c>
      <c r="W416">
        <v>0</v>
      </c>
      <c r="X416">
        <v>0</v>
      </c>
      <c r="Y416">
        <v>0</v>
      </c>
      <c r="Z416">
        <v>0</v>
      </c>
      <c r="AA416" s="1">
        <v>0</v>
      </c>
      <c r="AB416">
        <v>414</v>
      </c>
      <c r="AC416">
        <v>0</v>
      </c>
      <c r="AD416">
        <v>0</v>
      </c>
      <c r="AE416">
        <v>0</v>
      </c>
      <c r="AF416">
        <v>0</v>
      </c>
      <c r="AG416">
        <v>0</v>
      </c>
      <c r="AH416" s="1">
        <v>0</v>
      </c>
      <c r="AI416">
        <v>414</v>
      </c>
      <c r="AJ416">
        <v>0</v>
      </c>
      <c r="AK416">
        <v>0</v>
      </c>
      <c r="AL416">
        <v>0</v>
      </c>
      <c r="AM416">
        <v>0</v>
      </c>
      <c r="AN416">
        <v>0</v>
      </c>
      <c r="AO416" s="1">
        <v>0</v>
      </c>
    </row>
    <row r="417" spans="7:41" x14ac:dyDescent="0.35">
      <c r="G417">
        <v>415</v>
      </c>
      <c r="H417">
        <v>1</v>
      </c>
      <c r="I417">
        <v>0</v>
      </c>
      <c r="J417">
        <v>1</v>
      </c>
      <c r="K417">
        <v>2</v>
      </c>
      <c r="L417">
        <v>0</v>
      </c>
      <c r="M417" s="1">
        <v>240</v>
      </c>
      <c r="N417">
        <v>415</v>
      </c>
      <c r="O417">
        <v>0</v>
      </c>
      <c r="P417">
        <v>2</v>
      </c>
      <c r="Q417">
        <v>0</v>
      </c>
      <c r="R417">
        <v>0</v>
      </c>
      <c r="S417">
        <v>0</v>
      </c>
      <c r="T417" s="1">
        <v>160</v>
      </c>
      <c r="U417">
        <v>415</v>
      </c>
      <c r="V417">
        <v>1</v>
      </c>
      <c r="W417">
        <v>0</v>
      </c>
      <c r="X417">
        <v>0</v>
      </c>
      <c r="Y417">
        <v>0</v>
      </c>
      <c r="Z417">
        <v>0</v>
      </c>
      <c r="AA417" s="1">
        <v>100</v>
      </c>
      <c r="AB417">
        <v>415</v>
      </c>
      <c r="AC417">
        <v>0</v>
      </c>
      <c r="AD417">
        <v>0</v>
      </c>
      <c r="AE417">
        <v>0</v>
      </c>
      <c r="AF417">
        <v>0</v>
      </c>
      <c r="AG417">
        <v>0</v>
      </c>
      <c r="AH417" s="1">
        <v>0</v>
      </c>
      <c r="AI417">
        <v>415</v>
      </c>
      <c r="AJ417">
        <v>0</v>
      </c>
      <c r="AK417">
        <v>0</v>
      </c>
      <c r="AL417">
        <v>1</v>
      </c>
      <c r="AM417">
        <v>0</v>
      </c>
      <c r="AN417">
        <v>0</v>
      </c>
      <c r="AO417" s="1">
        <v>150</v>
      </c>
    </row>
    <row r="418" spans="7:41" x14ac:dyDescent="0.35">
      <c r="G418">
        <v>416</v>
      </c>
      <c r="H418">
        <v>0</v>
      </c>
      <c r="I418">
        <v>0</v>
      </c>
      <c r="J418">
        <v>0</v>
      </c>
      <c r="K418">
        <v>0</v>
      </c>
      <c r="L418">
        <v>1</v>
      </c>
      <c r="M418" s="1">
        <v>60</v>
      </c>
      <c r="N418">
        <v>416</v>
      </c>
      <c r="O418">
        <v>0</v>
      </c>
      <c r="P418">
        <v>0</v>
      </c>
      <c r="Q418">
        <v>0</v>
      </c>
      <c r="R418">
        <v>1</v>
      </c>
      <c r="S418">
        <v>0</v>
      </c>
      <c r="T418" s="1">
        <v>80</v>
      </c>
      <c r="U418">
        <v>416</v>
      </c>
      <c r="V418">
        <v>0</v>
      </c>
      <c r="W418">
        <v>0</v>
      </c>
      <c r="X418">
        <v>0</v>
      </c>
      <c r="Y418">
        <v>0</v>
      </c>
      <c r="Z418">
        <v>0</v>
      </c>
      <c r="AA418" s="1">
        <v>0</v>
      </c>
      <c r="AB418">
        <v>416</v>
      </c>
      <c r="AC418">
        <v>0</v>
      </c>
      <c r="AD418">
        <v>0</v>
      </c>
      <c r="AE418">
        <v>0</v>
      </c>
      <c r="AF418">
        <v>0</v>
      </c>
      <c r="AG418">
        <v>0</v>
      </c>
      <c r="AH418" s="1">
        <v>0</v>
      </c>
      <c r="AI418">
        <v>416</v>
      </c>
      <c r="AJ418">
        <v>0</v>
      </c>
      <c r="AK418">
        <v>0</v>
      </c>
      <c r="AL418">
        <v>0</v>
      </c>
      <c r="AM418">
        <v>0</v>
      </c>
      <c r="AN418">
        <v>0</v>
      </c>
      <c r="AO418" s="1">
        <v>0</v>
      </c>
    </row>
    <row r="419" spans="7:41" x14ac:dyDescent="0.35">
      <c r="G419">
        <v>417</v>
      </c>
      <c r="H419">
        <v>0</v>
      </c>
      <c r="I419">
        <v>0</v>
      </c>
      <c r="J419">
        <v>0</v>
      </c>
      <c r="K419">
        <v>4</v>
      </c>
      <c r="L419">
        <v>0</v>
      </c>
      <c r="M419" s="1">
        <v>240</v>
      </c>
      <c r="N419">
        <v>417</v>
      </c>
      <c r="O419">
        <v>0</v>
      </c>
      <c r="P419">
        <v>0</v>
      </c>
      <c r="Q419">
        <v>2</v>
      </c>
      <c r="R419">
        <v>0</v>
      </c>
      <c r="S419">
        <v>0</v>
      </c>
      <c r="T419" s="1">
        <v>160</v>
      </c>
      <c r="U419">
        <v>417</v>
      </c>
      <c r="V419">
        <v>0</v>
      </c>
      <c r="W419">
        <v>2</v>
      </c>
      <c r="X419">
        <v>0</v>
      </c>
      <c r="Y419">
        <v>0</v>
      </c>
      <c r="Z419">
        <v>0</v>
      </c>
      <c r="AA419" s="1">
        <v>200</v>
      </c>
      <c r="AB419">
        <v>417</v>
      </c>
      <c r="AC419">
        <v>0</v>
      </c>
      <c r="AD419">
        <v>0</v>
      </c>
      <c r="AE419">
        <v>0</v>
      </c>
      <c r="AF419">
        <v>0</v>
      </c>
      <c r="AG419">
        <v>0</v>
      </c>
      <c r="AH419" s="1">
        <v>0</v>
      </c>
      <c r="AI419">
        <v>417</v>
      </c>
      <c r="AJ419">
        <v>0</v>
      </c>
      <c r="AK419">
        <v>0</v>
      </c>
      <c r="AL419">
        <v>0</v>
      </c>
      <c r="AM419">
        <v>0</v>
      </c>
      <c r="AN419">
        <v>0</v>
      </c>
      <c r="AO419" s="1">
        <v>0</v>
      </c>
    </row>
    <row r="420" spans="7:41" x14ac:dyDescent="0.35">
      <c r="G420">
        <v>418</v>
      </c>
      <c r="H420">
        <v>0</v>
      </c>
      <c r="I420">
        <v>0</v>
      </c>
      <c r="J420">
        <v>2</v>
      </c>
      <c r="K420">
        <v>2</v>
      </c>
      <c r="L420">
        <v>0</v>
      </c>
      <c r="M420" s="1">
        <v>240</v>
      </c>
      <c r="N420">
        <v>418</v>
      </c>
      <c r="O420">
        <v>0</v>
      </c>
      <c r="P420">
        <v>0</v>
      </c>
      <c r="Q420">
        <v>0</v>
      </c>
      <c r="R420">
        <v>0</v>
      </c>
      <c r="S420">
        <v>0</v>
      </c>
      <c r="T420" s="1">
        <v>0</v>
      </c>
      <c r="U420">
        <v>418</v>
      </c>
      <c r="V420">
        <v>0</v>
      </c>
      <c r="W420">
        <v>1</v>
      </c>
      <c r="X420">
        <v>1</v>
      </c>
      <c r="Y420">
        <v>0</v>
      </c>
      <c r="Z420">
        <v>1</v>
      </c>
      <c r="AA420" s="1">
        <v>300</v>
      </c>
      <c r="AB420">
        <v>418</v>
      </c>
      <c r="AC420">
        <v>0</v>
      </c>
      <c r="AD420">
        <v>1</v>
      </c>
      <c r="AE420">
        <v>0</v>
      </c>
      <c r="AF420">
        <v>0</v>
      </c>
      <c r="AG420">
        <v>0</v>
      </c>
      <c r="AH420" s="1">
        <v>120</v>
      </c>
      <c r="AI420">
        <v>418</v>
      </c>
      <c r="AJ420">
        <v>0</v>
      </c>
      <c r="AK420">
        <v>0</v>
      </c>
      <c r="AL420">
        <v>0</v>
      </c>
      <c r="AM420">
        <v>0</v>
      </c>
      <c r="AN420">
        <v>0</v>
      </c>
      <c r="AO420" s="1">
        <v>0</v>
      </c>
    </row>
    <row r="421" spans="7:41" x14ac:dyDescent="0.35">
      <c r="G421">
        <v>419</v>
      </c>
      <c r="H421">
        <v>0</v>
      </c>
      <c r="I421">
        <v>0</v>
      </c>
      <c r="J421">
        <v>1</v>
      </c>
      <c r="K421">
        <v>4</v>
      </c>
      <c r="L421">
        <v>0</v>
      </c>
      <c r="M421" s="1">
        <v>300</v>
      </c>
      <c r="N421">
        <v>419</v>
      </c>
      <c r="O421">
        <v>1</v>
      </c>
      <c r="P421">
        <v>2</v>
      </c>
      <c r="Q421">
        <v>0</v>
      </c>
      <c r="R421">
        <v>0</v>
      </c>
      <c r="S421">
        <v>0</v>
      </c>
      <c r="T421" s="1">
        <v>240</v>
      </c>
      <c r="U421">
        <v>419</v>
      </c>
      <c r="V421">
        <v>0</v>
      </c>
      <c r="W421">
        <v>0</v>
      </c>
      <c r="X421">
        <v>0</v>
      </c>
      <c r="Y421">
        <v>0</v>
      </c>
      <c r="Z421">
        <v>0</v>
      </c>
      <c r="AA421" s="1">
        <v>0</v>
      </c>
      <c r="AB421">
        <v>419</v>
      </c>
      <c r="AC421">
        <v>0</v>
      </c>
      <c r="AD421">
        <v>0</v>
      </c>
      <c r="AE421">
        <v>0</v>
      </c>
      <c r="AF421">
        <v>0</v>
      </c>
      <c r="AG421">
        <v>0</v>
      </c>
      <c r="AH421" s="1">
        <v>0</v>
      </c>
      <c r="AI421">
        <v>419</v>
      </c>
      <c r="AJ421">
        <v>0</v>
      </c>
      <c r="AK421">
        <v>0</v>
      </c>
      <c r="AL421">
        <v>0</v>
      </c>
      <c r="AM421">
        <v>0</v>
      </c>
      <c r="AN421">
        <v>0</v>
      </c>
      <c r="AO421" s="1">
        <v>0</v>
      </c>
    </row>
    <row r="422" spans="7:41" x14ac:dyDescent="0.35">
      <c r="G422">
        <v>420</v>
      </c>
      <c r="H422">
        <v>1</v>
      </c>
      <c r="I422">
        <v>0</v>
      </c>
      <c r="J422">
        <v>2</v>
      </c>
      <c r="K422">
        <v>2</v>
      </c>
      <c r="L422">
        <v>0</v>
      </c>
      <c r="M422" s="1">
        <v>300</v>
      </c>
      <c r="N422">
        <v>420</v>
      </c>
      <c r="O422">
        <v>0</v>
      </c>
      <c r="P422">
        <v>0</v>
      </c>
      <c r="Q422">
        <v>0</v>
      </c>
      <c r="R422">
        <v>0</v>
      </c>
      <c r="S422">
        <v>0</v>
      </c>
      <c r="T422" s="1">
        <v>0</v>
      </c>
      <c r="U422">
        <v>420</v>
      </c>
      <c r="V422">
        <v>0</v>
      </c>
      <c r="W422">
        <v>0</v>
      </c>
      <c r="X422">
        <v>0</v>
      </c>
      <c r="Y422">
        <v>0</v>
      </c>
      <c r="Z422">
        <v>0</v>
      </c>
      <c r="AA422" s="1">
        <v>0</v>
      </c>
      <c r="AB422">
        <v>420</v>
      </c>
      <c r="AC422">
        <v>0</v>
      </c>
      <c r="AD422">
        <v>0</v>
      </c>
      <c r="AE422">
        <v>0</v>
      </c>
      <c r="AF422">
        <v>1</v>
      </c>
      <c r="AG422">
        <v>0</v>
      </c>
      <c r="AH422" s="1">
        <v>120</v>
      </c>
      <c r="AI422">
        <v>420</v>
      </c>
      <c r="AJ422">
        <v>0</v>
      </c>
      <c r="AK422">
        <v>0</v>
      </c>
      <c r="AL422">
        <v>2</v>
      </c>
      <c r="AM422">
        <v>0</v>
      </c>
      <c r="AN422">
        <v>0</v>
      </c>
      <c r="AO422" s="1">
        <v>300</v>
      </c>
    </row>
    <row r="423" spans="7:41" x14ac:dyDescent="0.35">
      <c r="G423">
        <v>421</v>
      </c>
      <c r="H423">
        <v>1</v>
      </c>
      <c r="I423">
        <v>0</v>
      </c>
      <c r="J423">
        <v>0</v>
      </c>
      <c r="K423">
        <v>4</v>
      </c>
      <c r="L423">
        <v>2</v>
      </c>
      <c r="M423" s="1">
        <v>420</v>
      </c>
      <c r="N423">
        <v>421</v>
      </c>
      <c r="O423">
        <v>0</v>
      </c>
      <c r="P423">
        <v>1</v>
      </c>
      <c r="Q423">
        <v>3</v>
      </c>
      <c r="R423">
        <v>0</v>
      </c>
      <c r="S423">
        <v>1</v>
      </c>
      <c r="T423" s="1">
        <v>400</v>
      </c>
      <c r="U423">
        <v>421</v>
      </c>
      <c r="V423">
        <v>0</v>
      </c>
      <c r="W423">
        <v>1</v>
      </c>
      <c r="X423">
        <v>0</v>
      </c>
      <c r="Y423">
        <v>0</v>
      </c>
      <c r="Z423">
        <v>1</v>
      </c>
      <c r="AA423" s="1">
        <v>200</v>
      </c>
      <c r="AB423">
        <v>421</v>
      </c>
      <c r="AC423">
        <v>0</v>
      </c>
      <c r="AD423">
        <v>1</v>
      </c>
      <c r="AE423">
        <v>0</v>
      </c>
      <c r="AF423">
        <v>0</v>
      </c>
      <c r="AG423">
        <v>0</v>
      </c>
      <c r="AH423" s="1">
        <v>120</v>
      </c>
      <c r="AI423">
        <v>421</v>
      </c>
      <c r="AJ423">
        <v>0</v>
      </c>
      <c r="AK423">
        <v>0</v>
      </c>
      <c r="AL423">
        <v>0</v>
      </c>
      <c r="AM423">
        <v>0</v>
      </c>
      <c r="AN423">
        <v>0</v>
      </c>
      <c r="AO423" s="1">
        <v>0</v>
      </c>
    </row>
    <row r="424" spans="7:41" x14ac:dyDescent="0.35">
      <c r="G424">
        <v>422</v>
      </c>
      <c r="H424">
        <v>0</v>
      </c>
      <c r="I424">
        <v>3</v>
      </c>
      <c r="J424">
        <v>0</v>
      </c>
      <c r="K424">
        <v>0</v>
      </c>
      <c r="L424">
        <v>2</v>
      </c>
      <c r="M424" s="1">
        <v>300</v>
      </c>
      <c r="N424">
        <v>422</v>
      </c>
      <c r="O424">
        <v>0</v>
      </c>
      <c r="P424">
        <v>1</v>
      </c>
      <c r="Q424">
        <v>2</v>
      </c>
      <c r="R424">
        <v>0</v>
      </c>
      <c r="S424">
        <v>0</v>
      </c>
      <c r="T424" s="1">
        <v>240</v>
      </c>
      <c r="U424">
        <v>422</v>
      </c>
      <c r="V424">
        <v>0</v>
      </c>
      <c r="W424">
        <v>0</v>
      </c>
      <c r="X424">
        <v>0</v>
      </c>
      <c r="Y424">
        <v>0</v>
      </c>
      <c r="Z424">
        <v>0</v>
      </c>
      <c r="AA424" s="1">
        <v>0</v>
      </c>
      <c r="AB424">
        <v>422</v>
      </c>
      <c r="AC424">
        <v>0</v>
      </c>
      <c r="AD424">
        <v>0</v>
      </c>
      <c r="AE424">
        <v>0</v>
      </c>
      <c r="AF424">
        <v>0</v>
      </c>
      <c r="AG424">
        <v>0</v>
      </c>
      <c r="AH424" s="1">
        <v>0</v>
      </c>
      <c r="AI424">
        <v>422</v>
      </c>
      <c r="AJ424">
        <v>0</v>
      </c>
      <c r="AK424">
        <v>0</v>
      </c>
      <c r="AL424">
        <v>0</v>
      </c>
      <c r="AM424">
        <v>0</v>
      </c>
      <c r="AN424">
        <v>2</v>
      </c>
      <c r="AO424" s="1">
        <v>300</v>
      </c>
    </row>
    <row r="425" spans="7:41" x14ac:dyDescent="0.35">
      <c r="G425">
        <v>423</v>
      </c>
      <c r="H425">
        <v>0</v>
      </c>
      <c r="I425">
        <v>1</v>
      </c>
      <c r="J425">
        <v>1</v>
      </c>
      <c r="K425">
        <v>0</v>
      </c>
      <c r="L425">
        <v>0</v>
      </c>
      <c r="M425" s="1">
        <v>120</v>
      </c>
      <c r="N425">
        <v>423</v>
      </c>
      <c r="O425">
        <v>0</v>
      </c>
      <c r="P425">
        <v>1</v>
      </c>
      <c r="Q425">
        <v>0</v>
      </c>
      <c r="R425">
        <v>0</v>
      </c>
      <c r="S425">
        <v>1</v>
      </c>
      <c r="T425" s="1">
        <v>160</v>
      </c>
      <c r="U425">
        <v>423</v>
      </c>
      <c r="V425">
        <v>0</v>
      </c>
      <c r="W425">
        <v>3</v>
      </c>
      <c r="X425">
        <v>0</v>
      </c>
      <c r="Y425">
        <v>0</v>
      </c>
      <c r="Z425">
        <v>1</v>
      </c>
      <c r="AA425" s="1">
        <v>400</v>
      </c>
      <c r="AB425">
        <v>423</v>
      </c>
      <c r="AC425">
        <v>0</v>
      </c>
      <c r="AD425">
        <v>0</v>
      </c>
      <c r="AE425">
        <v>0</v>
      </c>
      <c r="AF425">
        <v>0</v>
      </c>
      <c r="AG425">
        <v>0</v>
      </c>
      <c r="AH425" s="1">
        <v>0</v>
      </c>
      <c r="AI425">
        <v>423</v>
      </c>
      <c r="AJ425">
        <v>0</v>
      </c>
      <c r="AK425">
        <v>0</v>
      </c>
      <c r="AL425">
        <v>3</v>
      </c>
      <c r="AM425">
        <v>0</v>
      </c>
      <c r="AN425">
        <v>0</v>
      </c>
      <c r="AO425" s="1">
        <v>450</v>
      </c>
    </row>
    <row r="426" spans="7:41" x14ac:dyDescent="0.35">
      <c r="G426">
        <v>424</v>
      </c>
      <c r="H426">
        <v>0</v>
      </c>
      <c r="I426">
        <v>0</v>
      </c>
      <c r="J426">
        <v>1</v>
      </c>
      <c r="K426">
        <v>1</v>
      </c>
      <c r="L426">
        <v>0</v>
      </c>
      <c r="M426" s="1">
        <v>120</v>
      </c>
      <c r="N426">
        <v>424</v>
      </c>
      <c r="O426">
        <v>0</v>
      </c>
      <c r="P426">
        <v>0</v>
      </c>
      <c r="Q426">
        <v>0</v>
      </c>
      <c r="R426">
        <v>2</v>
      </c>
      <c r="S426">
        <v>0</v>
      </c>
      <c r="T426" s="1">
        <v>160</v>
      </c>
      <c r="U426">
        <v>424</v>
      </c>
      <c r="V426">
        <v>0</v>
      </c>
      <c r="W426">
        <v>0</v>
      </c>
      <c r="X426">
        <v>0</v>
      </c>
      <c r="Y426">
        <v>0</v>
      </c>
      <c r="Z426">
        <v>0</v>
      </c>
      <c r="AA426" s="1">
        <v>0</v>
      </c>
      <c r="AB426">
        <v>424</v>
      </c>
      <c r="AC426">
        <v>0</v>
      </c>
      <c r="AD426">
        <v>0</v>
      </c>
      <c r="AE426">
        <v>0</v>
      </c>
      <c r="AF426">
        <v>0</v>
      </c>
      <c r="AG426">
        <v>0</v>
      </c>
      <c r="AH426" s="1">
        <v>0</v>
      </c>
      <c r="AI426">
        <v>424</v>
      </c>
      <c r="AJ426">
        <v>0</v>
      </c>
      <c r="AK426">
        <v>0</v>
      </c>
      <c r="AL426">
        <v>0</v>
      </c>
      <c r="AM426">
        <v>0</v>
      </c>
      <c r="AN426">
        <v>0</v>
      </c>
      <c r="AO426" s="1">
        <v>0</v>
      </c>
    </row>
    <row r="427" spans="7:41" x14ac:dyDescent="0.35">
      <c r="G427">
        <v>425</v>
      </c>
      <c r="H427">
        <v>0</v>
      </c>
      <c r="I427">
        <v>0</v>
      </c>
      <c r="J427">
        <v>1</v>
      </c>
      <c r="K427">
        <v>2</v>
      </c>
      <c r="L427">
        <v>0</v>
      </c>
      <c r="M427" s="1">
        <v>180</v>
      </c>
      <c r="N427">
        <v>425</v>
      </c>
      <c r="O427">
        <v>1</v>
      </c>
      <c r="P427">
        <v>0</v>
      </c>
      <c r="Q427">
        <v>1</v>
      </c>
      <c r="R427">
        <v>1</v>
      </c>
      <c r="S427">
        <v>1</v>
      </c>
      <c r="T427" s="1">
        <v>320</v>
      </c>
      <c r="U427">
        <v>425</v>
      </c>
      <c r="V427">
        <v>0</v>
      </c>
      <c r="W427">
        <v>0</v>
      </c>
      <c r="X427">
        <v>0</v>
      </c>
      <c r="Y427">
        <v>0</v>
      </c>
      <c r="Z427">
        <v>0</v>
      </c>
      <c r="AA427" s="1">
        <v>0</v>
      </c>
      <c r="AB427">
        <v>425</v>
      </c>
      <c r="AC427">
        <v>0</v>
      </c>
      <c r="AD427">
        <v>0</v>
      </c>
      <c r="AE427">
        <v>0</v>
      </c>
      <c r="AF427">
        <v>0</v>
      </c>
      <c r="AG427">
        <v>0</v>
      </c>
      <c r="AH427" s="1">
        <v>0</v>
      </c>
      <c r="AI427">
        <v>425</v>
      </c>
      <c r="AJ427">
        <v>0</v>
      </c>
      <c r="AK427">
        <v>0</v>
      </c>
      <c r="AL427">
        <v>0</v>
      </c>
      <c r="AM427">
        <v>0</v>
      </c>
      <c r="AN427">
        <v>0</v>
      </c>
      <c r="AO427" s="1">
        <v>0</v>
      </c>
    </row>
    <row r="428" spans="7:41" x14ac:dyDescent="0.35">
      <c r="G428">
        <v>426</v>
      </c>
      <c r="H428">
        <v>2</v>
      </c>
      <c r="I428">
        <v>3</v>
      </c>
      <c r="J428">
        <v>1</v>
      </c>
      <c r="K428">
        <v>3</v>
      </c>
      <c r="L428">
        <v>0</v>
      </c>
      <c r="M428" s="1">
        <v>540</v>
      </c>
      <c r="N428">
        <v>426</v>
      </c>
      <c r="O428">
        <v>0</v>
      </c>
      <c r="P428">
        <v>0</v>
      </c>
      <c r="Q428">
        <v>3</v>
      </c>
      <c r="R428">
        <v>0</v>
      </c>
      <c r="S428">
        <v>1</v>
      </c>
      <c r="T428" s="1">
        <v>320</v>
      </c>
      <c r="U428">
        <v>426</v>
      </c>
      <c r="V428">
        <v>0</v>
      </c>
      <c r="W428">
        <v>0</v>
      </c>
      <c r="X428">
        <v>0</v>
      </c>
      <c r="Y428">
        <v>0</v>
      </c>
      <c r="Z428">
        <v>0</v>
      </c>
      <c r="AA428" s="1">
        <v>0</v>
      </c>
      <c r="AB428">
        <v>426</v>
      </c>
      <c r="AC428">
        <v>0</v>
      </c>
      <c r="AD428">
        <v>0</v>
      </c>
      <c r="AE428">
        <v>0</v>
      </c>
      <c r="AF428">
        <v>0</v>
      </c>
      <c r="AG428">
        <v>0</v>
      </c>
      <c r="AH428" s="1">
        <v>0</v>
      </c>
      <c r="AI428">
        <v>426</v>
      </c>
      <c r="AJ428">
        <v>0</v>
      </c>
      <c r="AK428">
        <v>0</v>
      </c>
      <c r="AL428">
        <v>3</v>
      </c>
      <c r="AM428">
        <v>0</v>
      </c>
      <c r="AN428">
        <v>0</v>
      </c>
      <c r="AO428" s="1">
        <v>450</v>
      </c>
    </row>
    <row r="429" spans="7:41" x14ac:dyDescent="0.35">
      <c r="G429">
        <v>427</v>
      </c>
      <c r="H429">
        <v>1</v>
      </c>
      <c r="I429">
        <v>0</v>
      </c>
      <c r="J429">
        <v>0</v>
      </c>
      <c r="K429">
        <v>0</v>
      </c>
      <c r="L429">
        <v>0</v>
      </c>
      <c r="M429" s="1">
        <v>60</v>
      </c>
      <c r="N429">
        <v>427</v>
      </c>
      <c r="O429">
        <v>0</v>
      </c>
      <c r="P429">
        <v>0</v>
      </c>
      <c r="Q429">
        <v>2</v>
      </c>
      <c r="R429">
        <v>2</v>
      </c>
      <c r="S429">
        <v>0</v>
      </c>
      <c r="T429" s="1">
        <v>320</v>
      </c>
      <c r="U429">
        <v>427</v>
      </c>
      <c r="V429">
        <v>0</v>
      </c>
      <c r="W429">
        <v>0</v>
      </c>
      <c r="X429">
        <v>0</v>
      </c>
      <c r="Y429">
        <v>0</v>
      </c>
      <c r="Z429">
        <v>0</v>
      </c>
      <c r="AA429" s="1">
        <v>0</v>
      </c>
      <c r="AB429">
        <v>427</v>
      </c>
      <c r="AC429">
        <v>0</v>
      </c>
      <c r="AD429">
        <v>0</v>
      </c>
      <c r="AE429">
        <v>0</v>
      </c>
      <c r="AF429">
        <v>0</v>
      </c>
      <c r="AG429">
        <v>1</v>
      </c>
      <c r="AH429" s="1">
        <v>120</v>
      </c>
      <c r="AI429">
        <v>427</v>
      </c>
      <c r="AJ429">
        <v>0</v>
      </c>
      <c r="AK429">
        <v>0</v>
      </c>
      <c r="AL429">
        <v>0</v>
      </c>
      <c r="AM429">
        <v>0</v>
      </c>
      <c r="AN429">
        <v>0</v>
      </c>
      <c r="AO429" s="1">
        <v>0</v>
      </c>
    </row>
    <row r="430" spans="7:41" x14ac:dyDescent="0.35">
      <c r="G430">
        <v>428</v>
      </c>
      <c r="H430">
        <v>0</v>
      </c>
      <c r="I430">
        <v>1</v>
      </c>
      <c r="J430">
        <v>2</v>
      </c>
      <c r="K430">
        <v>0</v>
      </c>
      <c r="L430">
        <v>2</v>
      </c>
      <c r="M430" s="1">
        <v>300</v>
      </c>
      <c r="N430">
        <v>428</v>
      </c>
      <c r="O430">
        <v>1</v>
      </c>
      <c r="P430">
        <v>1</v>
      </c>
      <c r="Q430">
        <v>0</v>
      </c>
      <c r="R430">
        <v>0</v>
      </c>
      <c r="S430">
        <v>1</v>
      </c>
      <c r="T430" s="1">
        <v>240</v>
      </c>
      <c r="U430">
        <v>428</v>
      </c>
      <c r="V430">
        <v>0</v>
      </c>
      <c r="W430">
        <v>2</v>
      </c>
      <c r="X430">
        <v>0</v>
      </c>
      <c r="Y430">
        <v>1</v>
      </c>
      <c r="Z430">
        <v>0</v>
      </c>
      <c r="AA430" s="1">
        <v>300</v>
      </c>
      <c r="AB430">
        <v>428</v>
      </c>
      <c r="AC430">
        <v>0</v>
      </c>
      <c r="AD430">
        <v>0</v>
      </c>
      <c r="AE430">
        <v>0</v>
      </c>
      <c r="AF430">
        <v>0</v>
      </c>
      <c r="AG430">
        <v>0</v>
      </c>
      <c r="AH430" s="1">
        <v>0</v>
      </c>
      <c r="AI430">
        <v>428</v>
      </c>
      <c r="AJ430">
        <v>0</v>
      </c>
      <c r="AK430">
        <v>0</v>
      </c>
      <c r="AL430">
        <v>0</v>
      </c>
      <c r="AM430">
        <v>0</v>
      </c>
      <c r="AN430">
        <v>0</v>
      </c>
      <c r="AO430" s="1">
        <v>0</v>
      </c>
    </row>
    <row r="431" spans="7:41" x14ac:dyDescent="0.35">
      <c r="G431">
        <v>429</v>
      </c>
      <c r="H431">
        <v>0</v>
      </c>
      <c r="I431">
        <v>0</v>
      </c>
      <c r="J431">
        <v>2</v>
      </c>
      <c r="K431">
        <v>1</v>
      </c>
      <c r="L431">
        <v>0</v>
      </c>
      <c r="M431" s="1">
        <v>180</v>
      </c>
      <c r="N431">
        <v>429</v>
      </c>
      <c r="O431">
        <v>0</v>
      </c>
      <c r="P431">
        <v>1</v>
      </c>
      <c r="Q431">
        <v>3</v>
      </c>
      <c r="R431">
        <v>0</v>
      </c>
      <c r="S431">
        <v>0</v>
      </c>
      <c r="T431" s="1">
        <v>320</v>
      </c>
      <c r="U431">
        <v>429</v>
      </c>
      <c r="V431">
        <v>0</v>
      </c>
      <c r="W431">
        <v>0</v>
      </c>
      <c r="X431">
        <v>0</v>
      </c>
      <c r="Y431">
        <v>0</v>
      </c>
      <c r="Z431">
        <v>0</v>
      </c>
      <c r="AA431" s="1">
        <v>0</v>
      </c>
      <c r="AB431">
        <v>429</v>
      </c>
      <c r="AC431">
        <v>0</v>
      </c>
      <c r="AD431">
        <v>0</v>
      </c>
      <c r="AE431">
        <v>0</v>
      </c>
      <c r="AF431">
        <v>1</v>
      </c>
      <c r="AG431">
        <v>0</v>
      </c>
      <c r="AH431" s="1">
        <v>120</v>
      </c>
      <c r="AI431">
        <v>429</v>
      </c>
      <c r="AJ431">
        <v>0</v>
      </c>
      <c r="AK431">
        <v>0</v>
      </c>
      <c r="AL431">
        <v>0</v>
      </c>
      <c r="AM431">
        <v>0</v>
      </c>
      <c r="AN431">
        <v>0</v>
      </c>
      <c r="AO431" s="1">
        <v>0</v>
      </c>
    </row>
    <row r="432" spans="7:41" x14ac:dyDescent="0.35">
      <c r="G432">
        <v>430</v>
      </c>
      <c r="H432">
        <v>0</v>
      </c>
      <c r="I432">
        <v>0</v>
      </c>
      <c r="J432">
        <v>0</v>
      </c>
      <c r="K432">
        <v>4</v>
      </c>
      <c r="L432">
        <v>0</v>
      </c>
      <c r="M432" s="1">
        <v>240</v>
      </c>
      <c r="N432">
        <v>430</v>
      </c>
      <c r="O432">
        <v>1</v>
      </c>
      <c r="P432">
        <v>1</v>
      </c>
      <c r="Q432">
        <v>0</v>
      </c>
      <c r="R432">
        <v>0</v>
      </c>
      <c r="S432">
        <v>0</v>
      </c>
      <c r="T432" s="1">
        <v>160</v>
      </c>
      <c r="U432">
        <v>430</v>
      </c>
      <c r="V432">
        <v>0</v>
      </c>
      <c r="W432">
        <v>1</v>
      </c>
      <c r="X432">
        <v>0</v>
      </c>
      <c r="Y432">
        <v>0</v>
      </c>
      <c r="Z432">
        <v>0</v>
      </c>
      <c r="AA432" s="1">
        <v>100</v>
      </c>
      <c r="AB432">
        <v>430</v>
      </c>
      <c r="AC432">
        <v>0</v>
      </c>
      <c r="AD432">
        <v>0</v>
      </c>
      <c r="AE432">
        <v>0</v>
      </c>
      <c r="AF432">
        <v>0</v>
      </c>
      <c r="AG432">
        <v>0</v>
      </c>
      <c r="AH432" s="1">
        <v>0</v>
      </c>
      <c r="AI432">
        <v>430</v>
      </c>
      <c r="AJ432">
        <v>0</v>
      </c>
      <c r="AK432">
        <v>0</v>
      </c>
      <c r="AL432">
        <v>0</v>
      </c>
      <c r="AM432">
        <v>0</v>
      </c>
      <c r="AN432">
        <v>0</v>
      </c>
      <c r="AO432" s="1">
        <v>0</v>
      </c>
    </row>
    <row r="433" spans="7:41" x14ac:dyDescent="0.35">
      <c r="G433">
        <v>431</v>
      </c>
      <c r="H433">
        <v>1</v>
      </c>
      <c r="I433">
        <v>0</v>
      </c>
      <c r="J433">
        <v>3</v>
      </c>
      <c r="K433">
        <v>3</v>
      </c>
      <c r="L433">
        <v>0</v>
      </c>
      <c r="M433" s="1">
        <v>420</v>
      </c>
      <c r="N433">
        <v>431</v>
      </c>
      <c r="O433">
        <v>0</v>
      </c>
      <c r="P433">
        <v>0</v>
      </c>
      <c r="Q433">
        <v>0</v>
      </c>
      <c r="R433">
        <v>2</v>
      </c>
      <c r="S433">
        <v>0</v>
      </c>
      <c r="T433" s="1">
        <v>160</v>
      </c>
      <c r="U433">
        <v>431</v>
      </c>
      <c r="V433">
        <v>0</v>
      </c>
      <c r="W433">
        <v>0</v>
      </c>
      <c r="X433">
        <v>0</v>
      </c>
      <c r="Y433">
        <v>0</v>
      </c>
      <c r="Z433">
        <v>0</v>
      </c>
      <c r="AA433" s="1">
        <v>0</v>
      </c>
      <c r="AB433">
        <v>431</v>
      </c>
      <c r="AC433">
        <v>0</v>
      </c>
      <c r="AD433">
        <v>0</v>
      </c>
      <c r="AE433">
        <v>0</v>
      </c>
      <c r="AF433">
        <v>1</v>
      </c>
      <c r="AG433">
        <v>0</v>
      </c>
      <c r="AH433" s="1">
        <v>120</v>
      </c>
      <c r="AI433">
        <v>431</v>
      </c>
      <c r="AJ433">
        <v>0</v>
      </c>
      <c r="AK433">
        <v>0</v>
      </c>
      <c r="AL433">
        <v>1</v>
      </c>
      <c r="AM433">
        <v>0</v>
      </c>
      <c r="AN433">
        <v>0</v>
      </c>
      <c r="AO433" s="1">
        <v>150</v>
      </c>
    </row>
    <row r="434" spans="7:41" x14ac:dyDescent="0.35">
      <c r="G434">
        <v>432</v>
      </c>
      <c r="H434">
        <v>0</v>
      </c>
      <c r="I434">
        <v>0</v>
      </c>
      <c r="J434">
        <v>0</v>
      </c>
      <c r="K434">
        <v>3</v>
      </c>
      <c r="L434">
        <v>0</v>
      </c>
      <c r="M434" s="1">
        <v>180</v>
      </c>
      <c r="N434">
        <v>432</v>
      </c>
      <c r="O434">
        <v>0</v>
      </c>
      <c r="P434">
        <v>1</v>
      </c>
      <c r="Q434">
        <v>1</v>
      </c>
      <c r="R434">
        <v>0</v>
      </c>
      <c r="S434">
        <v>1</v>
      </c>
      <c r="T434" s="1">
        <v>240</v>
      </c>
      <c r="U434">
        <v>432</v>
      </c>
      <c r="V434">
        <v>0</v>
      </c>
      <c r="W434">
        <v>0</v>
      </c>
      <c r="X434">
        <v>0</v>
      </c>
      <c r="Y434">
        <v>1</v>
      </c>
      <c r="Z434">
        <v>0</v>
      </c>
      <c r="AA434" s="1">
        <v>100</v>
      </c>
      <c r="AB434">
        <v>432</v>
      </c>
      <c r="AC434">
        <v>0</v>
      </c>
      <c r="AD434">
        <v>0</v>
      </c>
      <c r="AE434">
        <v>0</v>
      </c>
      <c r="AF434">
        <v>0</v>
      </c>
      <c r="AG434">
        <v>0</v>
      </c>
      <c r="AH434" s="1">
        <v>0</v>
      </c>
      <c r="AI434">
        <v>432</v>
      </c>
      <c r="AJ434">
        <v>0</v>
      </c>
      <c r="AK434">
        <v>0</v>
      </c>
      <c r="AL434">
        <v>0</v>
      </c>
      <c r="AM434">
        <v>0</v>
      </c>
      <c r="AN434">
        <v>0</v>
      </c>
      <c r="AO434" s="1">
        <v>0</v>
      </c>
    </row>
    <row r="435" spans="7:41" x14ac:dyDescent="0.35">
      <c r="G435">
        <v>433</v>
      </c>
      <c r="H435">
        <v>0</v>
      </c>
      <c r="I435">
        <v>0</v>
      </c>
      <c r="J435">
        <v>1</v>
      </c>
      <c r="K435">
        <v>4</v>
      </c>
      <c r="L435">
        <v>4</v>
      </c>
      <c r="M435" s="1">
        <v>540</v>
      </c>
      <c r="N435">
        <v>433</v>
      </c>
      <c r="O435">
        <v>2</v>
      </c>
      <c r="P435">
        <v>0</v>
      </c>
      <c r="Q435">
        <v>0</v>
      </c>
      <c r="R435">
        <v>0</v>
      </c>
      <c r="S435">
        <v>0</v>
      </c>
      <c r="T435" s="1">
        <v>160</v>
      </c>
      <c r="U435">
        <v>433</v>
      </c>
      <c r="V435">
        <v>0</v>
      </c>
      <c r="W435">
        <v>2</v>
      </c>
      <c r="X435">
        <v>1</v>
      </c>
      <c r="Y435">
        <v>0</v>
      </c>
      <c r="Z435">
        <v>0</v>
      </c>
      <c r="AA435" s="1">
        <v>300</v>
      </c>
      <c r="AB435">
        <v>433</v>
      </c>
      <c r="AC435">
        <v>0</v>
      </c>
      <c r="AD435">
        <v>0</v>
      </c>
      <c r="AE435">
        <v>0</v>
      </c>
      <c r="AF435">
        <v>0</v>
      </c>
      <c r="AG435">
        <v>1</v>
      </c>
      <c r="AH435" s="1">
        <v>120</v>
      </c>
      <c r="AI435">
        <v>433</v>
      </c>
      <c r="AJ435">
        <v>0</v>
      </c>
      <c r="AK435">
        <v>0</v>
      </c>
      <c r="AL435">
        <v>3</v>
      </c>
      <c r="AM435">
        <v>0</v>
      </c>
      <c r="AN435">
        <v>0</v>
      </c>
      <c r="AO435" s="1">
        <v>450</v>
      </c>
    </row>
    <row r="436" spans="7:41" x14ac:dyDescent="0.35">
      <c r="G436">
        <v>434</v>
      </c>
      <c r="H436">
        <v>0</v>
      </c>
      <c r="I436">
        <v>0</v>
      </c>
      <c r="J436">
        <v>0</v>
      </c>
      <c r="K436">
        <v>0</v>
      </c>
      <c r="L436">
        <v>1</v>
      </c>
      <c r="M436" s="1">
        <v>60</v>
      </c>
      <c r="N436">
        <v>434</v>
      </c>
      <c r="O436">
        <v>0</v>
      </c>
      <c r="P436">
        <v>1</v>
      </c>
      <c r="Q436">
        <v>0</v>
      </c>
      <c r="R436">
        <v>0</v>
      </c>
      <c r="S436">
        <v>0</v>
      </c>
      <c r="T436" s="1">
        <v>80</v>
      </c>
      <c r="U436">
        <v>434</v>
      </c>
      <c r="V436">
        <v>0</v>
      </c>
      <c r="W436">
        <v>1</v>
      </c>
      <c r="X436">
        <v>0</v>
      </c>
      <c r="Y436">
        <v>0</v>
      </c>
      <c r="Z436">
        <v>0</v>
      </c>
      <c r="AA436" s="1">
        <v>100</v>
      </c>
      <c r="AB436">
        <v>434</v>
      </c>
      <c r="AC436">
        <v>0</v>
      </c>
      <c r="AD436">
        <v>0</v>
      </c>
      <c r="AE436">
        <v>0</v>
      </c>
      <c r="AF436">
        <v>0</v>
      </c>
      <c r="AG436">
        <v>1</v>
      </c>
      <c r="AH436" s="1">
        <v>120</v>
      </c>
      <c r="AI436">
        <v>434</v>
      </c>
      <c r="AJ436">
        <v>0</v>
      </c>
      <c r="AK436">
        <v>0</v>
      </c>
      <c r="AL436">
        <v>0</v>
      </c>
      <c r="AM436">
        <v>0</v>
      </c>
      <c r="AN436">
        <v>0</v>
      </c>
      <c r="AO436" s="1">
        <v>0</v>
      </c>
    </row>
    <row r="437" spans="7:41" x14ac:dyDescent="0.35">
      <c r="G437">
        <v>435</v>
      </c>
      <c r="H437">
        <v>0</v>
      </c>
      <c r="I437">
        <v>1</v>
      </c>
      <c r="J437">
        <v>1</v>
      </c>
      <c r="K437">
        <v>2</v>
      </c>
      <c r="L437">
        <v>2</v>
      </c>
      <c r="M437" s="1">
        <v>360</v>
      </c>
      <c r="N437">
        <v>435</v>
      </c>
      <c r="O437">
        <v>2</v>
      </c>
      <c r="P437">
        <v>1</v>
      </c>
      <c r="Q437">
        <v>0</v>
      </c>
      <c r="R437">
        <v>0</v>
      </c>
      <c r="S437">
        <v>0</v>
      </c>
      <c r="T437" s="1">
        <v>240</v>
      </c>
      <c r="U437">
        <v>435</v>
      </c>
      <c r="V437">
        <v>0</v>
      </c>
      <c r="W437">
        <v>0</v>
      </c>
      <c r="X437">
        <v>0</v>
      </c>
      <c r="Y437">
        <v>0</v>
      </c>
      <c r="Z437">
        <v>0</v>
      </c>
      <c r="AA437" s="1">
        <v>0</v>
      </c>
      <c r="AB437">
        <v>435</v>
      </c>
      <c r="AC437">
        <v>0</v>
      </c>
      <c r="AD437">
        <v>0</v>
      </c>
      <c r="AE437">
        <v>0</v>
      </c>
      <c r="AF437">
        <v>0</v>
      </c>
      <c r="AG437">
        <v>1</v>
      </c>
      <c r="AH437" s="1">
        <v>120</v>
      </c>
      <c r="AI437">
        <v>435</v>
      </c>
      <c r="AJ437">
        <v>0</v>
      </c>
      <c r="AK437">
        <v>0</v>
      </c>
      <c r="AL437">
        <v>1</v>
      </c>
      <c r="AM437">
        <v>0</v>
      </c>
      <c r="AN437">
        <v>0</v>
      </c>
      <c r="AO437" s="1">
        <v>150</v>
      </c>
    </row>
    <row r="438" spans="7:41" x14ac:dyDescent="0.35">
      <c r="G438">
        <v>436</v>
      </c>
      <c r="H438">
        <v>0</v>
      </c>
      <c r="I438">
        <v>0</v>
      </c>
      <c r="J438">
        <v>1</v>
      </c>
      <c r="K438">
        <v>0</v>
      </c>
      <c r="L438">
        <v>2</v>
      </c>
      <c r="M438" s="1">
        <v>180</v>
      </c>
      <c r="N438">
        <v>436</v>
      </c>
      <c r="O438">
        <v>0</v>
      </c>
      <c r="P438">
        <v>0</v>
      </c>
      <c r="Q438">
        <v>1</v>
      </c>
      <c r="R438">
        <v>0</v>
      </c>
      <c r="S438">
        <v>1</v>
      </c>
      <c r="T438" s="1">
        <v>160</v>
      </c>
      <c r="U438">
        <v>436</v>
      </c>
      <c r="V438">
        <v>0</v>
      </c>
      <c r="W438">
        <v>0</v>
      </c>
      <c r="X438">
        <v>0</v>
      </c>
      <c r="Y438">
        <v>0</v>
      </c>
      <c r="Z438">
        <v>1</v>
      </c>
      <c r="AA438" s="1">
        <v>100</v>
      </c>
      <c r="AB438">
        <v>436</v>
      </c>
      <c r="AC438">
        <v>0</v>
      </c>
      <c r="AD438">
        <v>0</v>
      </c>
      <c r="AE438">
        <v>0</v>
      </c>
      <c r="AF438">
        <v>1</v>
      </c>
      <c r="AG438">
        <v>0</v>
      </c>
      <c r="AH438" s="1">
        <v>120</v>
      </c>
      <c r="AI438">
        <v>436</v>
      </c>
      <c r="AJ438">
        <v>0</v>
      </c>
      <c r="AK438">
        <v>0</v>
      </c>
      <c r="AL438">
        <v>0</v>
      </c>
      <c r="AM438">
        <v>0</v>
      </c>
      <c r="AN438">
        <v>0</v>
      </c>
      <c r="AO438" s="1">
        <v>0</v>
      </c>
    </row>
    <row r="439" spans="7:41" x14ac:dyDescent="0.35">
      <c r="G439">
        <v>437</v>
      </c>
      <c r="H439">
        <v>2</v>
      </c>
      <c r="I439">
        <v>1</v>
      </c>
      <c r="J439">
        <v>0</v>
      </c>
      <c r="K439">
        <v>0</v>
      </c>
      <c r="L439">
        <v>0</v>
      </c>
      <c r="M439" s="1">
        <v>180</v>
      </c>
      <c r="N439">
        <v>437</v>
      </c>
      <c r="O439">
        <v>0</v>
      </c>
      <c r="P439">
        <v>0</v>
      </c>
      <c r="Q439">
        <v>0</v>
      </c>
      <c r="R439">
        <v>1</v>
      </c>
      <c r="S439">
        <v>0</v>
      </c>
      <c r="T439" s="1">
        <v>80</v>
      </c>
      <c r="U439">
        <v>437</v>
      </c>
      <c r="V439">
        <v>0</v>
      </c>
      <c r="W439">
        <v>1</v>
      </c>
      <c r="X439">
        <v>0</v>
      </c>
      <c r="Y439">
        <v>0</v>
      </c>
      <c r="Z439">
        <v>0</v>
      </c>
      <c r="AA439" s="1">
        <v>100</v>
      </c>
      <c r="AB439">
        <v>437</v>
      </c>
      <c r="AC439">
        <v>0</v>
      </c>
      <c r="AD439">
        <v>0</v>
      </c>
      <c r="AE439">
        <v>0</v>
      </c>
      <c r="AF439">
        <v>1</v>
      </c>
      <c r="AG439">
        <v>0</v>
      </c>
      <c r="AH439" s="1">
        <v>120</v>
      </c>
      <c r="AI439">
        <v>437</v>
      </c>
      <c r="AJ439">
        <v>0</v>
      </c>
      <c r="AK439">
        <v>0</v>
      </c>
      <c r="AL439">
        <v>1</v>
      </c>
      <c r="AM439">
        <v>0</v>
      </c>
      <c r="AN439">
        <v>0</v>
      </c>
      <c r="AO439" s="1">
        <v>150</v>
      </c>
    </row>
    <row r="440" spans="7:41" x14ac:dyDescent="0.35">
      <c r="G440">
        <v>438</v>
      </c>
      <c r="H440">
        <v>0</v>
      </c>
      <c r="I440">
        <v>0</v>
      </c>
      <c r="J440">
        <v>1</v>
      </c>
      <c r="K440">
        <v>2</v>
      </c>
      <c r="L440">
        <v>0</v>
      </c>
      <c r="M440" s="1">
        <v>180</v>
      </c>
      <c r="N440">
        <v>438</v>
      </c>
      <c r="O440">
        <v>0</v>
      </c>
      <c r="P440">
        <v>0</v>
      </c>
      <c r="Q440">
        <v>0</v>
      </c>
      <c r="R440">
        <v>0</v>
      </c>
      <c r="S440">
        <v>0</v>
      </c>
      <c r="T440" s="1">
        <v>0</v>
      </c>
      <c r="U440">
        <v>438</v>
      </c>
      <c r="V440">
        <v>0</v>
      </c>
      <c r="W440">
        <v>1</v>
      </c>
      <c r="X440">
        <v>0</v>
      </c>
      <c r="Y440">
        <v>0</v>
      </c>
      <c r="Z440">
        <v>0</v>
      </c>
      <c r="AA440" s="1">
        <v>100</v>
      </c>
      <c r="AB440">
        <v>438</v>
      </c>
      <c r="AC440">
        <v>0</v>
      </c>
      <c r="AD440">
        <v>0</v>
      </c>
      <c r="AE440">
        <v>1</v>
      </c>
      <c r="AF440">
        <v>0</v>
      </c>
      <c r="AG440">
        <v>0</v>
      </c>
      <c r="AH440" s="1">
        <v>120</v>
      </c>
      <c r="AI440">
        <v>438</v>
      </c>
      <c r="AJ440">
        <v>0</v>
      </c>
      <c r="AK440">
        <v>0</v>
      </c>
      <c r="AL440">
        <v>0</v>
      </c>
      <c r="AM440">
        <v>0</v>
      </c>
      <c r="AN440">
        <v>0</v>
      </c>
      <c r="AO440" s="1">
        <v>0</v>
      </c>
    </row>
    <row r="441" spans="7:41" x14ac:dyDescent="0.35">
      <c r="G441">
        <v>439</v>
      </c>
      <c r="H441">
        <v>0</v>
      </c>
      <c r="I441">
        <v>2</v>
      </c>
      <c r="J441">
        <v>1</v>
      </c>
      <c r="K441">
        <v>2</v>
      </c>
      <c r="L441">
        <v>0</v>
      </c>
      <c r="M441" s="1">
        <v>300</v>
      </c>
      <c r="N441">
        <v>439</v>
      </c>
      <c r="O441">
        <v>2</v>
      </c>
      <c r="P441">
        <v>0</v>
      </c>
      <c r="Q441">
        <v>2</v>
      </c>
      <c r="R441">
        <v>0</v>
      </c>
      <c r="S441">
        <v>0</v>
      </c>
      <c r="T441" s="1">
        <v>320</v>
      </c>
      <c r="U441">
        <v>439</v>
      </c>
      <c r="V441">
        <v>0</v>
      </c>
      <c r="W441">
        <v>1</v>
      </c>
      <c r="X441">
        <v>0</v>
      </c>
      <c r="Y441">
        <v>0</v>
      </c>
      <c r="Z441">
        <v>0</v>
      </c>
      <c r="AA441" s="1">
        <v>100</v>
      </c>
      <c r="AB441">
        <v>439</v>
      </c>
      <c r="AC441">
        <v>0</v>
      </c>
      <c r="AD441">
        <v>0</v>
      </c>
      <c r="AE441">
        <v>0</v>
      </c>
      <c r="AF441">
        <v>0</v>
      </c>
      <c r="AG441">
        <v>1</v>
      </c>
      <c r="AH441" s="1">
        <v>120</v>
      </c>
      <c r="AI441">
        <v>439</v>
      </c>
      <c r="AJ441">
        <v>0</v>
      </c>
      <c r="AK441">
        <v>0</v>
      </c>
      <c r="AL441">
        <v>0</v>
      </c>
      <c r="AM441">
        <v>0</v>
      </c>
      <c r="AN441">
        <v>0</v>
      </c>
      <c r="AO441" s="1">
        <v>0</v>
      </c>
    </row>
    <row r="442" spans="7:41" x14ac:dyDescent="0.35">
      <c r="G442">
        <v>440</v>
      </c>
      <c r="H442">
        <v>0</v>
      </c>
      <c r="I442">
        <v>0</v>
      </c>
      <c r="J442">
        <v>1</v>
      </c>
      <c r="K442">
        <v>3</v>
      </c>
      <c r="L442">
        <v>0</v>
      </c>
      <c r="M442" s="1">
        <v>240</v>
      </c>
      <c r="N442">
        <v>440</v>
      </c>
      <c r="O442">
        <v>2</v>
      </c>
      <c r="P442">
        <v>0</v>
      </c>
      <c r="Q442">
        <v>1</v>
      </c>
      <c r="R442">
        <v>0</v>
      </c>
      <c r="S442">
        <v>0</v>
      </c>
      <c r="T442" s="1">
        <v>240</v>
      </c>
      <c r="U442">
        <v>440</v>
      </c>
      <c r="V442">
        <v>0</v>
      </c>
      <c r="W442">
        <v>1</v>
      </c>
      <c r="X442">
        <v>0</v>
      </c>
      <c r="Y442">
        <v>0</v>
      </c>
      <c r="Z442">
        <v>1</v>
      </c>
      <c r="AA442" s="1">
        <v>200</v>
      </c>
      <c r="AB442">
        <v>440</v>
      </c>
      <c r="AC442">
        <v>0</v>
      </c>
      <c r="AD442">
        <v>0</v>
      </c>
      <c r="AE442">
        <v>0</v>
      </c>
      <c r="AF442">
        <v>0</v>
      </c>
      <c r="AG442">
        <v>1</v>
      </c>
      <c r="AH442" s="1">
        <v>120</v>
      </c>
      <c r="AI442">
        <v>440</v>
      </c>
      <c r="AJ442">
        <v>0</v>
      </c>
      <c r="AK442">
        <v>0</v>
      </c>
      <c r="AL442">
        <v>1</v>
      </c>
      <c r="AM442">
        <v>0</v>
      </c>
      <c r="AN442">
        <v>1</v>
      </c>
      <c r="AO442" s="1">
        <v>300</v>
      </c>
    </row>
    <row r="443" spans="7:41" x14ac:dyDescent="0.35">
      <c r="G443">
        <v>441</v>
      </c>
      <c r="H443">
        <v>0</v>
      </c>
      <c r="I443">
        <v>0</v>
      </c>
      <c r="J443">
        <v>1</v>
      </c>
      <c r="K443">
        <v>0</v>
      </c>
      <c r="L443">
        <v>1</v>
      </c>
      <c r="M443" s="1">
        <v>120</v>
      </c>
      <c r="N443">
        <v>441</v>
      </c>
      <c r="O443">
        <v>0</v>
      </c>
      <c r="P443">
        <v>0</v>
      </c>
      <c r="Q443">
        <v>1</v>
      </c>
      <c r="R443">
        <v>0</v>
      </c>
      <c r="S443">
        <v>0</v>
      </c>
      <c r="T443" s="1">
        <v>80</v>
      </c>
      <c r="U443">
        <v>441</v>
      </c>
      <c r="V443">
        <v>0</v>
      </c>
      <c r="W443">
        <v>0</v>
      </c>
      <c r="X443">
        <v>0</v>
      </c>
      <c r="Y443">
        <v>1</v>
      </c>
      <c r="Z443">
        <v>0</v>
      </c>
      <c r="AA443" s="1">
        <v>100</v>
      </c>
      <c r="AB443">
        <v>441</v>
      </c>
      <c r="AC443">
        <v>0</v>
      </c>
      <c r="AD443">
        <v>0</v>
      </c>
      <c r="AE443">
        <v>0</v>
      </c>
      <c r="AF443">
        <v>0</v>
      </c>
      <c r="AG443">
        <v>0</v>
      </c>
      <c r="AH443" s="1">
        <v>0</v>
      </c>
      <c r="AI443">
        <v>441</v>
      </c>
      <c r="AJ443">
        <v>0</v>
      </c>
      <c r="AK443">
        <v>0</v>
      </c>
      <c r="AL443">
        <v>0</v>
      </c>
      <c r="AM443">
        <v>0</v>
      </c>
      <c r="AN443">
        <v>0</v>
      </c>
      <c r="AO443" s="1">
        <v>0</v>
      </c>
    </row>
    <row r="444" spans="7:41" x14ac:dyDescent="0.35">
      <c r="G444">
        <v>442</v>
      </c>
      <c r="H444">
        <v>1</v>
      </c>
      <c r="I444">
        <v>0</v>
      </c>
      <c r="J444">
        <v>2</v>
      </c>
      <c r="K444">
        <v>4</v>
      </c>
      <c r="L444">
        <v>2</v>
      </c>
      <c r="M444" s="1">
        <v>540</v>
      </c>
      <c r="N444">
        <v>442</v>
      </c>
      <c r="O444">
        <v>1</v>
      </c>
      <c r="P444">
        <v>1</v>
      </c>
      <c r="Q444">
        <v>0</v>
      </c>
      <c r="R444">
        <v>1</v>
      </c>
      <c r="S444">
        <v>1</v>
      </c>
      <c r="T444" s="1">
        <v>320</v>
      </c>
      <c r="U444">
        <v>442</v>
      </c>
      <c r="V444">
        <v>0</v>
      </c>
      <c r="W444">
        <v>2</v>
      </c>
      <c r="X444">
        <v>0</v>
      </c>
      <c r="Y444">
        <v>0</v>
      </c>
      <c r="Z444">
        <v>1</v>
      </c>
      <c r="AA444" s="1">
        <v>300</v>
      </c>
      <c r="AB444">
        <v>442</v>
      </c>
      <c r="AC444">
        <v>0</v>
      </c>
      <c r="AD444">
        <v>0</v>
      </c>
      <c r="AE444">
        <v>0</v>
      </c>
      <c r="AF444">
        <v>0</v>
      </c>
      <c r="AG444">
        <v>0</v>
      </c>
      <c r="AH444" s="1">
        <v>0</v>
      </c>
      <c r="AI444">
        <v>442</v>
      </c>
      <c r="AJ444">
        <v>0</v>
      </c>
      <c r="AK444">
        <v>0</v>
      </c>
      <c r="AL444">
        <v>0</v>
      </c>
      <c r="AM444">
        <v>0</v>
      </c>
      <c r="AN444">
        <v>0</v>
      </c>
      <c r="AO444" s="1">
        <v>0</v>
      </c>
    </row>
    <row r="445" spans="7:41" x14ac:dyDescent="0.35">
      <c r="G445">
        <v>443</v>
      </c>
      <c r="H445">
        <v>0</v>
      </c>
      <c r="I445">
        <v>1</v>
      </c>
      <c r="J445">
        <v>3</v>
      </c>
      <c r="K445">
        <v>1</v>
      </c>
      <c r="L445">
        <v>0</v>
      </c>
      <c r="M445" s="1">
        <v>300</v>
      </c>
      <c r="N445">
        <v>443</v>
      </c>
      <c r="O445">
        <v>0</v>
      </c>
      <c r="P445">
        <v>2</v>
      </c>
      <c r="Q445">
        <v>0</v>
      </c>
      <c r="R445">
        <v>1</v>
      </c>
      <c r="S445">
        <v>0</v>
      </c>
      <c r="T445" s="1">
        <v>240</v>
      </c>
      <c r="U445">
        <v>443</v>
      </c>
      <c r="V445">
        <v>0</v>
      </c>
      <c r="W445">
        <v>0</v>
      </c>
      <c r="X445">
        <v>0</v>
      </c>
      <c r="Y445">
        <v>1</v>
      </c>
      <c r="Z445">
        <v>0</v>
      </c>
      <c r="AA445" s="1">
        <v>100</v>
      </c>
      <c r="AB445">
        <v>443</v>
      </c>
      <c r="AC445">
        <v>0</v>
      </c>
      <c r="AD445">
        <v>0</v>
      </c>
      <c r="AE445">
        <v>0</v>
      </c>
      <c r="AF445">
        <v>0</v>
      </c>
      <c r="AG445">
        <v>1</v>
      </c>
      <c r="AH445" s="1">
        <v>120</v>
      </c>
      <c r="AI445">
        <v>443</v>
      </c>
      <c r="AJ445">
        <v>0</v>
      </c>
      <c r="AK445">
        <v>0</v>
      </c>
      <c r="AL445">
        <v>2</v>
      </c>
      <c r="AM445">
        <v>0</v>
      </c>
      <c r="AN445">
        <v>0</v>
      </c>
      <c r="AO445" s="1">
        <v>300</v>
      </c>
    </row>
    <row r="446" spans="7:41" x14ac:dyDescent="0.35">
      <c r="G446">
        <v>444</v>
      </c>
      <c r="H446">
        <v>0</v>
      </c>
      <c r="I446">
        <v>0</v>
      </c>
      <c r="J446">
        <v>3</v>
      </c>
      <c r="K446">
        <v>4</v>
      </c>
      <c r="L446">
        <v>0</v>
      </c>
      <c r="M446" s="1">
        <v>420</v>
      </c>
      <c r="N446">
        <v>444</v>
      </c>
      <c r="O446">
        <v>0</v>
      </c>
      <c r="P446">
        <v>1</v>
      </c>
      <c r="Q446">
        <v>0</v>
      </c>
      <c r="R446">
        <v>1</v>
      </c>
      <c r="S446">
        <v>0</v>
      </c>
      <c r="T446" s="1">
        <v>160</v>
      </c>
      <c r="U446">
        <v>444</v>
      </c>
      <c r="V446">
        <v>0</v>
      </c>
      <c r="W446">
        <v>2</v>
      </c>
      <c r="X446">
        <v>0</v>
      </c>
      <c r="Y446">
        <v>0</v>
      </c>
      <c r="Z446">
        <v>0</v>
      </c>
      <c r="AA446" s="1">
        <v>200</v>
      </c>
      <c r="AB446">
        <v>444</v>
      </c>
      <c r="AC446">
        <v>0</v>
      </c>
      <c r="AD446">
        <v>0</v>
      </c>
      <c r="AE446">
        <v>0</v>
      </c>
      <c r="AF446">
        <v>0</v>
      </c>
      <c r="AG446">
        <v>0</v>
      </c>
      <c r="AH446" s="1">
        <v>0</v>
      </c>
      <c r="AI446">
        <v>444</v>
      </c>
      <c r="AJ446">
        <v>0</v>
      </c>
      <c r="AK446">
        <v>0</v>
      </c>
      <c r="AL446">
        <v>0</v>
      </c>
      <c r="AM446">
        <v>0</v>
      </c>
      <c r="AN446">
        <v>0</v>
      </c>
      <c r="AO446" s="1">
        <v>0</v>
      </c>
    </row>
    <row r="447" spans="7:41" x14ac:dyDescent="0.35">
      <c r="G447">
        <v>445</v>
      </c>
      <c r="H447">
        <v>0</v>
      </c>
      <c r="I447">
        <v>5</v>
      </c>
      <c r="J447">
        <v>2</v>
      </c>
      <c r="K447">
        <v>3</v>
      </c>
      <c r="L447">
        <v>1</v>
      </c>
      <c r="M447" s="1">
        <v>660</v>
      </c>
      <c r="N447">
        <v>445</v>
      </c>
      <c r="O447">
        <v>0</v>
      </c>
      <c r="P447">
        <v>0</v>
      </c>
      <c r="Q447">
        <v>2</v>
      </c>
      <c r="R447">
        <v>0</v>
      </c>
      <c r="S447">
        <v>0</v>
      </c>
      <c r="T447" s="1">
        <v>160</v>
      </c>
      <c r="U447">
        <v>445</v>
      </c>
      <c r="V447">
        <v>0</v>
      </c>
      <c r="W447">
        <v>0</v>
      </c>
      <c r="X447">
        <v>0</v>
      </c>
      <c r="Y447">
        <v>0</v>
      </c>
      <c r="Z447">
        <v>0</v>
      </c>
      <c r="AA447" s="1">
        <v>0</v>
      </c>
      <c r="AB447">
        <v>445</v>
      </c>
      <c r="AC447">
        <v>0</v>
      </c>
      <c r="AD447">
        <v>0</v>
      </c>
      <c r="AE447">
        <v>0</v>
      </c>
      <c r="AF447">
        <v>0</v>
      </c>
      <c r="AG447">
        <v>0</v>
      </c>
      <c r="AH447" s="1">
        <v>0</v>
      </c>
      <c r="AI447">
        <v>445</v>
      </c>
      <c r="AJ447">
        <v>0</v>
      </c>
      <c r="AK447">
        <v>0</v>
      </c>
      <c r="AL447">
        <v>0</v>
      </c>
      <c r="AM447">
        <v>0</v>
      </c>
      <c r="AN447">
        <v>0</v>
      </c>
      <c r="AO447" s="1">
        <v>0</v>
      </c>
    </row>
    <row r="448" spans="7:41" x14ac:dyDescent="0.35">
      <c r="G448">
        <v>446</v>
      </c>
      <c r="H448">
        <v>0</v>
      </c>
      <c r="I448">
        <v>1</v>
      </c>
      <c r="J448">
        <v>2</v>
      </c>
      <c r="K448">
        <v>0</v>
      </c>
      <c r="L448">
        <v>1</v>
      </c>
      <c r="M448" s="1">
        <v>240</v>
      </c>
      <c r="N448">
        <v>446</v>
      </c>
      <c r="O448">
        <v>0</v>
      </c>
      <c r="P448">
        <v>2</v>
      </c>
      <c r="Q448">
        <v>1</v>
      </c>
      <c r="R448">
        <v>0</v>
      </c>
      <c r="S448">
        <v>0</v>
      </c>
      <c r="T448" s="1">
        <v>240</v>
      </c>
      <c r="U448">
        <v>446</v>
      </c>
      <c r="V448">
        <v>0</v>
      </c>
      <c r="W448">
        <v>0</v>
      </c>
      <c r="X448">
        <v>0</v>
      </c>
      <c r="Y448">
        <v>0</v>
      </c>
      <c r="Z448">
        <v>0</v>
      </c>
      <c r="AA448" s="1">
        <v>0</v>
      </c>
      <c r="AB448">
        <v>446</v>
      </c>
      <c r="AC448">
        <v>0</v>
      </c>
      <c r="AD448">
        <v>0</v>
      </c>
      <c r="AE448">
        <v>0</v>
      </c>
      <c r="AF448">
        <v>0</v>
      </c>
      <c r="AG448">
        <v>0</v>
      </c>
      <c r="AH448" s="1">
        <v>0</v>
      </c>
      <c r="AI448">
        <v>446</v>
      </c>
      <c r="AJ448">
        <v>0</v>
      </c>
      <c r="AK448">
        <v>0</v>
      </c>
      <c r="AL448">
        <v>2</v>
      </c>
      <c r="AM448">
        <v>0</v>
      </c>
      <c r="AN448">
        <v>0</v>
      </c>
      <c r="AO448" s="1">
        <v>300</v>
      </c>
    </row>
    <row r="449" spans="7:41" x14ac:dyDescent="0.35">
      <c r="G449">
        <v>447</v>
      </c>
      <c r="H449">
        <v>0</v>
      </c>
      <c r="I449">
        <v>0</v>
      </c>
      <c r="J449">
        <v>0</v>
      </c>
      <c r="K449">
        <v>2</v>
      </c>
      <c r="L449">
        <v>0</v>
      </c>
      <c r="M449" s="1">
        <v>120</v>
      </c>
      <c r="N449">
        <v>447</v>
      </c>
      <c r="O449">
        <v>0</v>
      </c>
      <c r="P449">
        <v>2</v>
      </c>
      <c r="Q449">
        <v>0</v>
      </c>
      <c r="R449">
        <v>0</v>
      </c>
      <c r="S449">
        <v>0</v>
      </c>
      <c r="T449" s="1">
        <v>160</v>
      </c>
      <c r="U449">
        <v>447</v>
      </c>
      <c r="V449">
        <v>0</v>
      </c>
      <c r="W449">
        <v>1</v>
      </c>
      <c r="X449">
        <v>0</v>
      </c>
      <c r="Y449">
        <v>0</v>
      </c>
      <c r="Z449">
        <v>0</v>
      </c>
      <c r="AA449" s="1">
        <v>100</v>
      </c>
      <c r="AB449">
        <v>447</v>
      </c>
      <c r="AC449">
        <v>0</v>
      </c>
      <c r="AD449">
        <v>1</v>
      </c>
      <c r="AE449">
        <v>0</v>
      </c>
      <c r="AF449">
        <v>0</v>
      </c>
      <c r="AG449">
        <v>0</v>
      </c>
      <c r="AH449" s="1">
        <v>120</v>
      </c>
      <c r="AI449">
        <v>447</v>
      </c>
      <c r="AJ449">
        <v>0</v>
      </c>
      <c r="AK449">
        <v>0</v>
      </c>
      <c r="AL449">
        <v>3</v>
      </c>
      <c r="AM449">
        <v>0</v>
      </c>
      <c r="AN449">
        <v>0</v>
      </c>
      <c r="AO449" s="1">
        <v>450</v>
      </c>
    </row>
    <row r="450" spans="7:41" x14ac:dyDescent="0.35">
      <c r="G450">
        <v>448</v>
      </c>
      <c r="H450">
        <v>0</v>
      </c>
      <c r="I450">
        <v>0</v>
      </c>
      <c r="J450">
        <v>4</v>
      </c>
      <c r="K450">
        <v>0</v>
      </c>
      <c r="L450">
        <v>0</v>
      </c>
      <c r="M450" s="1">
        <v>240</v>
      </c>
      <c r="N450">
        <v>448</v>
      </c>
      <c r="O450">
        <v>0</v>
      </c>
      <c r="P450">
        <v>1</v>
      </c>
      <c r="Q450">
        <v>1</v>
      </c>
      <c r="R450">
        <v>0</v>
      </c>
      <c r="S450">
        <v>0</v>
      </c>
      <c r="T450" s="1">
        <v>160</v>
      </c>
      <c r="U450">
        <v>448</v>
      </c>
      <c r="V450">
        <v>0</v>
      </c>
      <c r="W450">
        <v>0</v>
      </c>
      <c r="X450">
        <v>0</v>
      </c>
      <c r="Y450">
        <v>0</v>
      </c>
      <c r="Z450">
        <v>0</v>
      </c>
      <c r="AA450" s="1">
        <v>0</v>
      </c>
      <c r="AB450">
        <v>448</v>
      </c>
      <c r="AC450">
        <v>0</v>
      </c>
      <c r="AD450">
        <v>0</v>
      </c>
      <c r="AE450">
        <v>0</v>
      </c>
      <c r="AF450">
        <v>0</v>
      </c>
      <c r="AG450">
        <v>0</v>
      </c>
      <c r="AH450" s="1">
        <v>0</v>
      </c>
      <c r="AI450">
        <v>448</v>
      </c>
      <c r="AJ450">
        <v>0</v>
      </c>
      <c r="AK450">
        <v>0</v>
      </c>
      <c r="AL450">
        <v>0</v>
      </c>
      <c r="AM450">
        <v>0</v>
      </c>
      <c r="AN450">
        <v>0</v>
      </c>
      <c r="AO450" s="1">
        <v>0</v>
      </c>
    </row>
    <row r="451" spans="7:41" x14ac:dyDescent="0.35">
      <c r="G451">
        <v>449</v>
      </c>
      <c r="H451">
        <v>2</v>
      </c>
      <c r="I451">
        <v>1</v>
      </c>
      <c r="J451">
        <v>1</v>
      </c>
      <c r="K451">
        <v>0</v>
      </c>
      <c r="L451">
        <v>2</v>
      </c>
      <c r="M451" s="1">
        <v>360</v>
      </c>
      <c r="N451">
        <v>449</v>
      </c>
      <c r="O451">
        <v>0</v>
      </c>
      <c r="P451">
        <v>0</v>
      </c>
      <c r="Q451">
        <v>1</v>
      </c>
      <c r="R451">
        <v>0</v>
      </c>
      <c r="S451">
        <v>0</v>
      </c>
      <c r="T451" s="1">
        <v>80</v>
      </c>
      <c r="U451">
        <v>449</v>
      </c>
      <c r="V451">
        <v>0</v>
      </c>
      <c r="W451">
        <v>1</v>
      </c>
      <c r="X451">
        <v>0</v>
      </c>
      <c r="Y451">
        <v>0</v>
      </c>
      <c r="Z451">
        <v>0</v>
      </c>
      <c r="AA451" s="1">
        <v>100</v>
      </c>
      <c r="AB451">
        <v>449</v>
      </c>
      <c r="AC451">
        <v>0</v>
      </c>
      <c r="AD451">
        <v>0</v>
      </c>
      <c r="AE451">
        <v>0</v>
      </c>
      <c r="AF451">
        <v>0</v>
      </c>
      <c r="AG451">
        <v>0</v>
      </c>
      <c r="AH451" s="1">
        <v>0</v>
      </c>
      <c r="AI451">
        <v>449</v>
      </c>
      <c r="AJ451">
        <v>0</v>
      </c>
      <c r="AK451">
        <v>0</v>
      </c>
      <c r="AL451">
        <v>2</v>
      </c>
      <c r="AM451">
        <v>0</v>
      </c>
      <c r="AN451">
        <v>0</v>
      </c>
      <c r="AO451" s="1">
        <v>300</v>
      </c>
    </row>
    <row r="452" spans="7:41" x14ac:dyDescent="0.35">
      <c r="G452">
        <v>450</v>
      </c>
      <c r="H452">
        <v>0</v>
      </c>
      <c r="I452">
        <v>0</v>
      </c>
      <c r="J452">
        <v>2</v>
      </c>
      <c r="K452">
        <v>2</v>
      </c>
      <c r="L452">
        <v>1</v>
      </c>
      <c r="M452" s="1">
        <v>300</v>
      </c>
      <c r="N452">
        <v>450</v>
      </c>
      <c r="O452">
        <v>0</v>
      </c>
      <c r="P452">
        <v>0</v>
      </c>
      <c r="Q452">
        <v>1</v>
      </c>
      <c r="R452">
        <v>3</v>
      </c>
      <c r="S452">
        <v>0</v>
      </c>
      <c r="T452" s="1">
        <v>320</v>
      </c>
      <c r="U452">
        <v>450</v>
      </c>
      <c r="V452">
        <v>0</v>
      </c>
      <c r="W452">
        <v>0</v>
      </c>
      <c r="X452">
        <v>0</v>
      </c>
      <c r="Y452">
        <v>0</v>
      </c>
      <c r="Z452">
        <v>0</v>
      </c>
      <c r="AA452" s="1">
        <v>0</v>
      </c>
      <c r="AB452">
        <v>450</v>
      </c>
      <c r="AC452">
        <v>0</v>
      </c>
      <c r="AD452">
        <v>0</v>
      </c>
      <c r="AE452">
        <v>0</v>
      </c>
      <c r="AF452">
        <v>0</v>
      </c>
      <c r="AG452">
        <v>0</v>
      </c>
      <c r="AH452" s="1">
        <v>0</v>
      </c>
      <c r="AI452">
        <v>450</v>
      </c>
      <c r="AJ452">
        <v>0</v>
      </c>
      <c r="AK452">
        <v>0</v>
      </c>
      <c r="AL452">
        <v>0</v>
      </c>
      <c r="AM452">
        <v>0</v>
      </c>
      <c r="AN452">
        <v>0</v>
      </c>
      <c r="AO452" s="1">
        <v>0</v>
      </c>
    </row>
    <row r="453" spans="7:41" x14ac:dyDescent="0.35">
      <c r="G453">
        <v>451</v>
      </c>
      <c r="H453">
        <v>1</v>
      </c>
      <c r="I453">
        <v>0</v>
      </c>
      <c r="J453">
        <v>2</v>
      </c>
      <c r="K453">
        <v>1</v>
      </c>
      <c r="L453">
        <v>2</v>
      </c>
      <c r="M453" s="1">
        <v>360</v>
      </c>
      <c r="N453">
        <v>451</v>
      </c>
      <c r="O453">
        <v>0</v>
      </c>
      <c r="P453">
        <v>1</v>
      </c>
      <c r="Q453">
        <v>0</v>
      </c>
      <c r="R453">
        <v>0</v>
      </c>
      <c r="S453">
        <v>0</v>
      </c>
      <c r="T453" s="1">
        <v>80</v>
      </c>
      <c r="U453">
        <v>451</v>
      </c>
      <c r="V453">
        <v>0</v>
      </c>
      <c r="W453">
        <v>0</v>
      </c>
      <c r="X453">
        <v>0</v>
      </c>
      <c r="Y453">
        <v>0</v>
      </c>
      <c r="Z453">
        <v>0</v>
      </c>
      <c r="AA453" s="1">
        <v>0</v>
      </c>
      <c r="AB453">
        <v>451</v>
      </c>
      <c r="AC453">
        <v>0</v>
      </c>
      <c r="AD453">
        <v>0</v>
      </c>
      <c r="AE453">
        <v>0</v>
      </c>
      <c r="AF453">
        <v>0</v>
      </c>
      <c r="AG453">
        <v>0</v>
      </c>
      <c r="AH453" s="1">
        <v>0</v>
      </c>
      <c r="AI453">
        <v>451</v>
      </c>
      <c r="AJ453">
        <v>0</v>
      </c>
      <c r="AK453">
        <v>0</v>
      </c>
      <c r="AL453">
        <v>2</v>
      </c>
      <c r="AM453">
        <v>0</v>
      </c>
      <c r="AN453">
        <v>0</v>
      </c>
      <c r="AO453" s="1">
        <v>300</v>
      </c>
    </row>
    <row r="454" spans="7:41" x14ac:dyDescent="0.35">
      <c r="G454">
        <v>452</v>
      </c>
      <c r="H454">
        <v>1</v>
      </c>
      <c r="I454">
        <v>2</v>
      </c>
      <c r="J454">
        <v>1</v>
      </c>
      <c r="K454">
        <v>2</v>
      </c>
      <c r="L454">
        <v>2</v>
      </c>
      <c r="M454" s="1">
        <v>480</v>
      </c>
      <c r="N454">
        <v>452</v>
      </c>
      <c r="O454">
        <v>0</v>
      </c>
      <c r="P454">
        <v>0</v>
      </c>
      <c r="Q454">
        <v>0</v>
      </c>
      <c r="R454">
        <v>0</v>
      </c>
      <c r="S454">
        <v>0</v>
      </c>
      <c r="T454" s="1">
        <v>0</v>
      </c>
      <c r="U454">
        <v>452</v>
      </c>
      <c r="V454">
        <v>0</v>
      </c>
      <c r="W454">
        <v>0</v>
      </c>
      <c r="X454">
        <v>0</v>
      </c>
      <c r="Y454">
        <v>0</v>
      </c>
      <c r="Z454">
        <v>0</v>
      </c>
      <c r="AA454" s="1">
        <v>0</v>
      </c>
      <c r="AB454">
        <v>452</v>
      </c>
      <c r="AC454">
        <v>1</v>
      </c>
      <c r="AD454">
        <v>0</v>
      </c>
      <c r="AE454">
        <v>0</v>
      </c>
      <c r="AF454">
        <v>1</v>
      </c>
      <c r="AG454">
        <v>0</v>
      </c>
      <c r="AH454" s="1">
        <v>240</v>
      </c>
      <c r="AI454">
        <v>452</v>
      </c>
      <c r="AJ454">
        <v>0</v>
      </c>
      <c r="AK454">
        <v>0</v>
      </c>
      <c r="AL454">
        <v>1</v>
      </c>
      <c r="AM454">
        <v>0</v>
      </c>
      <c r="AN454">
        <v>0</v>
      </c>
      <c r="AO454" s="1">
        <v>150</v>
      </c>
    </row>
    <row r="455" spans="7:41" x14ac:dyDescent="0.35">
      <c r="G455">
        <v>453</v>
      </c>
      <c r="H455">
        <v>0</v>
      </c>
      <c r="I455">
        <v>2</v>
      </c>
      <c r="J455">
        <v>3</v>
      </c>
      <c r="K455">
        <v>2</v>
      </c>
      <c r="L455">
        <v>0</v>
      </c>
      <c r="M455" s="1">
        <v>420</v>
      </c>
      <c r="N455">
        <v>453</v>
      </c>
      <c r="O455">
        <v>2</v>
      </c>
      <c r="P455">
        <v>0</v>
      </c>
      <c r="Q455">
        <v>2</v>
      </c>
      <c r="R455">
        <v>0</v>
      </c>
      <c r="S455">
        <v>1</v>
      </c>
      <c r="T455" s="1">
        <v>400</v>
      </c>
      <c r="U455">
        <v>453</v>
      </c>
      <c r="V455">
        <v>0</v>
      </c>
      <c r="W455">
        <v>0</v>
      </c>
      <c r="X455">
        <v>0</v>
      </c>
      <c r="Y455">
        <v>0</v>
      </c>
      <c r="Z455">
        <v>0</v>
      </c>
      <c r="AA455" s="1">
        <v>0</v>
      </c>
      <c r="AB455">
        <v>453</v>
      </c>
      <c r="AC455">
        <v>0</v>
      </c>
      <c r="AD455">
        <v>1</v>
      </c>
      <c r="AE455">
        <v>1</v>
      </c>
      <c r="AF455">
        <v>0</v>
      </c>
      <c r="AG455">
        <v>0</v>
      </c>
      <c r="AH455" s="1">
        <v>240</v>
      </c>
      <c r="AI455">
        <v>453</v>
      </c>
      <c r="AJ455">
        <v>0</v>
      </c>
      <c r="AK455">
        <v>0</v>
      </c>
      <c r="AL455">
        <v>0</v>
      </c>
      <c r="AM455">
        <v>0</v>
      </c>
      <c r="AN455">
        <v>0</v>
      </c>
      <c r="AO455" s="1">
        <v>0</v>
      </c>
    </row>
    <row r="456" spans="7:41" x14ac:dyDescent="0.35">
      <c r="G456">
        <v>454</v>
      </c>
      <c r="H456">
        <v>0</v>
      </c>
      <c r="I456">
        <v>1</v>
      </c>
      <c r="J456">
        <v>1</v>
      </c>
      <c r="K456">
        <v>1</v>
      </c>
      <c r="L456">
        <v>0</v>
      </c>
      <c r="M456" s="1">
        <v>180</v>
      </c>
      <c r="N456">
        <v>454</v>
      </c>
      <c r="O456">
        <v>0</v>
      </c>
      <c r="P456">
        <v>0</v>
      </c>
      <c r="Q456">
        <v>0</v>
      </c>
      <c r="R456">
        <v>0</v>
      </c>
      <c r="S456">
        <v>0</v>
      </c>
      <c r="T456" s="1">
        <v>0</v>
      </c>
      <c r="U456">
        <v>454</v>
      </c>
      <c r="V456">
        <v>0</v>
      </c>
      <c r="W456">
        <v>1</v>
      </c>
      <c r="X456">
        <v>0</v>
      </c>
      <c r="Y456">
        <v>0</v>
      </c>
      <c r="Z456">
        <v>1</v>
      </c>
      <c r="AA456" s="1">
        <v>200</v>
      </c>
      <c r="AB456">
        <v>454</v>
      </c>
      <c r="AC456">
        <v>0</v>
      </c>
      <c r="AD456">
        <v>0</v>
      </c>
      <c r="AE456">
        <v>0</v>
      </c>
      <c r="AF456">
        <v>0</v>
      </c>
      <c r="AG456">
        <v>0</v>
      </c>
      <c r="AH456" s="1">
        <v>0</v>
      </c>
      <c r="AI456">
        <v>454</v>
      </c>
      <c r="AJ456">
        <v>0</v>
      </c>
      <c r="AK456">
        <v>0</v>
      </c>
      <c r="AL456">
        <v>0</v>
      </c>
      <c r="AM456">
        <v>0</v>
      </c>
      <c r="AN456">
        <v>0</v>
      </c>
      <c r="AO456" s="1">
        <v>0</v>
      </c>
    </row>
    <row r="457" spans="7:41" x14ac:dyDescent="0.35">
      <c r="G457">
        <v>455</v>
      </c>
      <c r="H457">
        <v>0</v>
      </c>
      <c r="I457">
        <v>0</v>
      </c>
      <c r="J457">
        <v>0</v>
      </c>
      <c r="K457">
        <v>4</v>
      </c>
      <c r="L457">
        <v>0</v>
      </c>
      <c r="M457" s="1">
        <v>240</v>
      </c>
      <c r="N457">
        <v>455</v>
      </c>
      <c r="O457">
        <v>0</v>
      </c>
      <c r="P457">
        <v>2</v>
      </c>
      <c r="Q457">
        <v>3</v>
      </c>
      <c r="R457">
        <v>0</v>
      </c>
      <c r="S457">
        <v>0</v>
      </c>
      <c r="T457" s="1">
        <v>400</v>
      </c>
      <c r="U457">
        <v>455</v>
      </c>
      <c r="V457">
        <v>0</v>
      </c>
      <c r="W457">
        <v>2</v>
      </c>
      <c r="X457">
        <v>0</v>
      </c>
      <c r="Y457">
        <v>0</v>
      </c>
      <c r="Z457">
        <v>1</v>
      </c>
      <c r="AA457" s="1">
        <v>300</v>
      </c>
      <c r="AB457">
        <v>455</v>
      </c>
      <c r="AC457">
        <v>0</v>
      </c>
      <c r="AD457">
        <v>0</v>
      </c>
      <c r="AE457">
        <v>0</v>
      </c>
      <c r="AF457">
        <v>0</v>
      </c>
      <c r="AG457">
        <v>0</v>
      </c>
      <c r="AH457" s="1">
        <v>0</v>
      </c>
      <c r="AI457">
        <v>455</v>
      </c>
      <c r="AJ457">
        <v>2</v>
      </c>
      <c r="AK457">
        <v>0</v>
      </c>
      <c r="AL457">
        <v>0</v>
      </c>
      <c r="AM457">
        <v>0</v>
      </c>
      <c r="AN457">
        <v>0</v>
      </c>
      <c r="AO457" s="1">
        <v>300</v>
      </c>
    </row>
    <row r="458" spans="7:41" x14ac:dyDescent="0.35">
      <c r="G458">
        <v>456</v>
      </c>
      <c r="H458">
        <v>0</v>
      </c>
      <c r="I458">
        <v>3</v>
      </c>
      <c r="J458">
        <v>0</v>
      </c>
      <c r="K458">
        <v>2</v>
      </c>
      <c r="L458">
        <v>1</v>
      </c>
      <c r="M458" s="1">
        <v>360</v>
      </c>
      <c r="N458">
        <v>456</v>
      </c>
      <c r="O458">
        <v>1</v>
      </c>
      <c r="P458">
        <v>1</v>
      </c>
      <c r="Q458">
        <v>0</v>
      </c>
      <c r="R458">
        <v>0</v>
      </c>
      <c r="S458">
        <v>0</v>
      </c>
      <c r="T458" s="1">
        <v>160</v>
      </c>
      <c r="U458">
        <v>456</v>
      </c>
      <c r="V458">
        <v>0</v>
      </c>
      <c r="W458">
        <v>0</v>
      </c>
      <c r="X458">
        <v>0</v>
      </c>
      <c r="Y458">
        <v>0</v>
      </c>
      <c r="Z458">
        <v>1</v>
      </c>
      <c r="AA458" s="1">
        <v>100</v>
      </c>
      <c r="AB458">
        <v>456</v>
      </c>
      <c r="AC458">
        <v>0</v>
      </c>
      <c r="AD458">
        <v>0</v>
      </c>
      <c r="AE458">
        <v>0</v>
      </c>
      <c r="AF458">
        <v>0</v>
      </c>
      <c r="AG458">
        <v>0</v>
      </c>
      <c r="AH458" s="1">
        <v>0</v>
      </c>
      <c r="AI458">
        <v>456</v>
      </c>
      <c r="AJ458">
        <v>0</v>
      </c>
      <c r="AK458">
        <v>0</v>
      </c>
      <c r="AL458">
        <v>2</v>
      </c>
      <c r="AM458">
        <v>0</v>
      </c>
      <c r="AN458">
        <v>0</v>
      </c>
      <c r="AO458" s="1">
        <v>300</v>
      </c>
    </row>
    <row r="459" spans="7:41" x14ac:dyDescent="0.35">
      <c r="G459">
        <v>457</v>
      </c>
      <c r="H459">
        <v>0</v>
      </c>
      <c r="I459">
        <v>2</v>
      </c>
      <c r="J459">
        <v>1</v>
      </c>
      <c r="K459">
        <v>0</v>
      </c>
      <c r="L459">
        <v>1</v>
      </c>
      <c r="M459" s="1">
        <v>240</v>
      </c>
      <c r="N459">
        <v>457</v>
      </c>
      <c r="O459">
        <v>1</v>
      </c>
      <c r="P459">
        <v>0</v>
      </c>
      <c r="Q459">
        <v>3</v>
      </c>
      <c r="R459">
        <v>0</v>
      </c>
      <c r="S459">
        <v>0</v>
      </c>
      <c r="T459" s="1">
        <v>320</v>
      </c>
      <c r="U459">
        <v>457</v>
      </c>
      <c r="V459">
        <v>0</v>
      </c>
      <c r="W459">
        <v>0</v>
      </c>
      <c r="X459">
        <v>1</v>
      </c>
      <c r="Y459">
        <v>0</v>
      </c>
      <c r="Z459">
        <v>0</v>
      </c>
      <c r="AA459" s="1">
        <v>100</v>
      </c>
      <c r="AB459">
        <v>457</v>
      </c>
      <c r="AC459">
        <v>0</v>
      </c>
      <c r="AD459">
        <v>0</v>
      </c>
      <c r="AE459">
        <v>0</v>
      </c>
      <c r="AF459">
        <v>0</v>
      </c>
      <c r="AG459">
        <v>0</v>
      </c>
      <c r="AH459" s="1">
        <v>0</v>
      </c>
      <c r="AI459">
        <v>457</v>
      </c>
      <c r="AJ459">
        <v>0</v>
      </c>
      <c r="AK459">
        <v>0</v>
      </c>
      <c r="AL459">
        <v>2</v>
      </c>
      <c r="AM459">
        <v>0</v>
      </c>
      <c r="AN459">
        <v>0</v>
      </c>
      <c r="AO459" s="1">
        <v>300</v>
      </c>
    </row>
    <row r="460" spans="7:41" x14ac:dyDescent="0.35">
      <c r="G460">
        <v>458</v>
      </c>
      <c r="H460">
        <v>0</v>
      </c>
      <c r="I460">
        <v>0</v>
      </c>
      <c r="J460">
        <v>1</v>
      </c>
      <c r="K460">
        <v>0</v>
      </c>
      <c r="L460">
        <v>1</v>
      </c>
      <c r="M460" s="1">
        <v>120</v>
      </c>
      <c r="N460">
        <v>458</v>
      </c>
      <c r="O460">
        <v>0</v>
      </c>
      <c r="P460">
        <v>0</v>
      </c>
      <c r="Q460">
        <v>0</v>
      </c>
      <c r="R460">
        <v>0</v>
      </c>
      <c r="S460">
        <v>0</v>
      </c>
      <c r="T460" s="1">
        <v>0</v>
      </c>
      <c r="U460">
        <v>458</v>
      </c>
      <c r="V460">
        <v>0</v>
      </c>
      <c r="W460">
        <v>2</v>
      </c>
      <c r="X460">
        <v>0</v>
      </c>
      <c r="Y460">
        <v>1</v>
      </c>
      <c r="Z460">
        <v>0</v>
      </c>
      <c r="AA460" s="1">
        <v>300</v>
      </c>
      <c r="AB460">
        <v>458</v>
      </c>
      <c r="AC460">
        <v>0</v>
      </c>
      <c r="AD460">
        <v>0</v>
      </c>
      <c r="AE460">
        <v>0</v>
      </c>
      <c r="AF460">
        <v>0</v>
      </c>
      <c r="AG460">
        <v>0</v>
      </c>
      <c r="AH460" s="1">
        <v>0</v>
      </c>
      <c r="AI460">
        <v>458</v>
      </c>
      <c r="AJ460">
        <v>0</v>
      </c>
      <c r="AK460">
        <v>0</v>
      </c>
      <c r="AL460">
        <v>0</v>
      </c>
      <c r="AM460">
        <v>0</v>
      </c>
      <c r="AN460">
        <v>0</v>
      </c>
      <c r="AO460" s="1">
        <v>0</v>
      </c>
    </row>
    <row r="461" spans="7:41" x14ac:dyDescent="0.35">
      <c r="G461">
        <v>459</v>
      </c>
      <c r="H461">
        <v>0</v>
      </c>
      <c r="I461">
        <v>1</v>
      </c>
      <c r="J461">
        <v>3</v>
      </c>
      <c r="K461">
        <v>0</v>
      </c>
      <c r="L461">
        <v>0</v>
      </c>
      <c r="M461" s="1">
        <v>240</v>
      </c>
      <c r="N461">
        <v>459</v>
      </c>
      <c r="O461">
        <v>0</v>
      </c>
      <c r="P461">
        <v>0</v>
      </c>
      <c r="Q461">
        <v>0</v>
      </c>
      <c r="R461">
        <v>2</v>
      </c>
      <c r="S461">
        <v>0</v>
      </c>
      <c r="T461" s="1">
        <v>160</v>
      </c>
      <c r="U461">
        <v>459</v>
      </c>
      <c r="V461">
        <v>0</v>
      </c>
      <c r="W461">
        <v>0</v>
      </c>
      <c r="X461">
        <v>0</v>
      </c>
      <c r="Y461">
        <v>0</v>
      </c>
      <c r="Z461">
        <v>0</v>
      </c>
      <c r="AA461" s="1">
        <v>0</v>
      </c>
      <c r="AB461">
        <v>459</v>
      </c>
      <c r="AC461">
        <v>0</v>
      </c>
      <c r="AD461">
        <v>0</v>
      </c>
      <c r="AE461">
        <v>0</v>
      </c>
      <c r="AF461">
        <v>0</v>
      </c>
      <c r="AG461">
        <v>0</v>
      </c>
      <c r="AH461" s="1">
        <v>0</v>
      </c>
      <c r="AI461">
        <v>459</v>
      </c>
      <c r="AJ461">
        <v>0</v>
      </c>
      <c r="AK461">
        <v>0</v>
      </c>
      <c r="AL461">
        <v>0</v>
      </c>
      <c r="AM461">
        <v>0</v>
      </c>
      <c r="AN461">
        <v>1</v>
      </c>
      <c r="AO461" s="1">
        <v>150</v>
      </c>
    </row>
    <row r="462" spans="7:41" x14ac:dyDescent="0.35">
      <c r="G462">
        <v>460</v>
      </c>
      <c r="H462">
        <v>2</v>
      </c>
      <c r="I462">
        <v>0</v>
      </c>
      <c r="J462">
        <v>2</v>
      </c>
      <c r="K462">
        <v>1</v>
      </c>
      <c r="L462">
        <v>0</v>
      </c>
      <c r="M462" s="1">
        <v>300</v>
      </c>
      <c r="N462">
        <v>460</v>
      </c>
      <c r="O462">
        <v>0</v>
      </c>
      <c r="P462">
        <v>1</v>
      </c>
      <c r="Q462">
        <v>3</v>
      </c>
      <c r="R462">
        <v>1</v>
      </c>
      <c r="S462">
        <v>0</v>
      </c>
      <c r="T462" s="1">
        <v>400</v>
      </c>
      <c r="U462">
        <v>460</v>
      </c>
      <c r="V462">
        <v>0</v>
      </c>
      <c r="W462">
        <v>0</v>
      </c>
      <c r="X462">
        <v>0</v>
      </c>
      <c r="Y462">
        <v>0</v>
      </c>
      <c r="Z462">
        <v>1</v>
      </c>
      <c r="AA462" s="1">
        <v>100</v>
      </c>
      <c r="AB462">
        <v>460</v>
      </c>
      <c r="AC462">
        <v>0</v>
      </c>
      <c r="AD462">
        <v>0</v>
      </c>
      <c r="AE462">
        <v>0</v>
      </c>
      <c r="AF462">
        <v>0</v>
      </c>
      <c r="AG462">
        <v>0</v>
      </c>
      <c r="AH462" s="1">
        <v>0</v>
      </c>
      <c r="AI462">
        <v>460</v>
      </c>
      <c r="AJ462">
        <v>0</v>
      </c>
      <c r="AK462">
        <v>0</v>
      </c>
      <c r="AL462">
        <v>1</v>
      </c>
      <c r="AM462">
        <v>0</v>
      </c>
      <c r="AN462">
        <v>0</v>
      </c>
      <c r="AO462" s="1">
        <v>150</v>
      </c>
    </row>
    <row r="463" spans="7:41" x14ac:dyDescent="0.35">
      <c r="G463">
        <v>461</v>
      </c>
      <c r="H463">
        <v>0</v>
      </c>
      <c r="I463">
        <v>1</v>
      </c>
      <c r="J463">
        <v>2</v>
      </c>
      <c r="K463">
        <v>2</v>
      </c>
      <c r="L463">
        <v>0</v>
      </c>
      <c r="M463" s="1">
        <v>300</v>
      </c>
      <c r="N463">
        <v>461</v>
      </c>
      <c r="O463">
        <v>0</v>
      </c>
      <c r="P463">
        <v>0</v>
      </c>
      <c r="Q463">
        <v>0</v>
      </c>
      <c r="R463">
        <v>0</v>
      </c>
      <c r="S463">
        <v>0</v>
      </c>
      <c r="T463" s="1">
        <v>0</v>
      </c>
      <c r="U463">
        <v>461</v>
      </c>
      <c r="V463">
        <v>0</v>
      </c>
      <c r="W463">
        <v>0</v>
      </c>
      <c r="X463">
        <v>0</v>
      </c>
      <c r="Y463">
        <v>0</v>
      </c>
      <c r="Z463">
        <v>0</v>
      </c>
      <c r="AA463" s="1">
        <v>0</v>
      </c>
      <c r="AB463">
        <v>461</v>
      </c>
      <c r="AC463">
        <v>0</v>
      </c>
      <c r="AD463">
        <v>0</v>
      </c>
      <c r="AE463">
        <v>0</v>
      </c>
      <c r="AF463">
        <v>0</v>
      </c>
      <c r="AG463">
        <v>0</v>
      </c>
      <c r="AH463" s="1">
        <v>0</v>
      </c>
      <c r="AI463">
        <v>461</v>
      </c>
      <c r="AJ463">
        <v>0</v>
      </c>
      <c r="AK463">
        <v>0</v>
      </c>
      <c r="AL463">
        <v>1</v>
      </c>
      <c r="AM463">
        <v>0</v>
      </c>
      <c r="AN463">
        <v>0</v>
      </c>
      <c r="AO463" s="1">
        <v>150</v>
      </c>
    </row>
    <row r="464" spans="7:41" x14ac:dyDescent="0.35">
      <c r="G464">
        <v>462</v>
      </c>
      <c r="H464">
        <v>1</v>
      </c>
      <c r="I464">
        <v>0</v>
      </c>
      <c r="J464">
        <v>0</v>
      </c>
      <c r="K464">
        <v>2</v>
      </c>
      <c r="L464">
        <v>1</v>
      </c>
      <c r="M464" s="1">
        <v>240</v>
      </c>
      <c r="N464">
        <v>462</v>
      </c>
      <c r="O464">
        <v>0</v>
      </c>
      <c r="P464">
        <v>0</v>
      </c>
      <c r="Q464">
        <v>0</v>
      </c>
      <c r="R464">
        <v>1</v>
      </c>
      <c r="S464">
        <v>0</v>
      </c>
      <c r="T464" s="1">
        <v>80</v>
      </c>
      <c r="U464">
        <v>462</v>
      </c>
      <c r="V464">
        <v>0</v>
      </c>
      <c r="W464">
        <v>3</v>
      </c>
      <c r="X464">
        <v>0</v>
      </c>
      <c r="Y464">
        <v>0</v>
      </c>
      <c r="Z464">
        <v>0</v>
      </c>
      <c r="AA464" s="1">
        <v>300</v>
      </c>
      <c r="AB464">
        <v>462</v>
      </c>
      <c r="AC464">
        <v>0</v>
      </c>
      <c r="AD464">
        <v>1</v>
      </c>
      <c r="AE464">
        <v>0</v>
      </c>
      <c r="AF464">
        <v>0</v>
      </c>
      <c r="AG464">
        <v>0</v>
      </c>
      <c r="AH464" s="1">
        <v>120</v>
      </c>
      <c r="AI464">
        <v>462</v>
      </c>
      <c r="AJ464">
        <v>0</v>
      </c>
      <c r="AK464">
        <v>0</v>
      </c>
      <c r="AL464">
        <v>0</v>
      </c>
      <c r="AM464">
        <v>0</v>
      </c>
      <c r="AN464">
        <v>0</v>
      </c>
      <c r="AO464" s="1">
        <v>0</v>
      </c>
    </row>
    <row r="465" spans="7:41" x14ac:dyDescent="0.35">
      <c r="G465">
        <v>463</v>
      </c>
      <c r="H465">
        <v>0</v>
      </c>
      <c r="I465">
        <v>0</v>
      </c>
      <c r="J465">
        <v>1</v>
      </c>
      <c r="K465">
        <v>4</v>
      </c>
      <c r="L465">
        <v>0</v>
      </c>
      <c r="M465" s="1">
        <v>300</v>
      </c>
      <c r="N465">
        <v>463</v>
      </c>
      <c r="O465">
        <v>0</v>
      </c>
      <c r="P465">
        <v>1</v>
      </c>
      <c r="Q465">
        <v>0</v>
      </c>
      <c r="R465">
        <v>0</v>
      </c>
      <c r="S465">
        <v>0</v>
      </c>
      <c r="T465" s="1">
        <v>80</v>
      </c>
      <c r="U465">
        <v>463</v>
      </c>
      <c r="V465">
        <v>0</v>
      </c>
      <c r="W465">
        <v>0</v>
      </c>
      <c r="X465">
        <v>0</v>
      </c>
      <c r="Y465">
        <v>0</v>
      </c>
      <c r="Z465">
        <v>0</v>
      </c>
      <c r="AA465" s="1">
        <v>0</v>
      </c>
      <c r="AB465">
        <v>463</v>
      </c>
      <c r="AC465">
        <v>0</v>
      </c>
      <c r="AD465">
        <v>0</v>
      </c>
      <c r="AE465">
        <v>0</v>
      </c>
      <c r="AF465">
        <v>0</v>
      </c>
      <c r="AG465">
        <v>0</v>
      </c>
      <c r="AH465" s="1">
        <v>0</v>
      </c>
      <c r="AI465">
        <v>463</v>
      </c>
      <c r="AJ465">
        <v>0</v>
      </c>
      <c r="AK465">
        <v>0</v>
      </c>
      <c r="AL465">
        <v>0</v>
      </c>
      <c r="AM465">
        <v>0</v>
      </c>
      <c r="AN465">
        <v>0</v>
      </c>
      <c r="AO465" s="1">
        <v>0</v>
      </c>
    </row>
    <row r="466" spans="7:41" x14ac:dyDescent="0.35">
      <c r="G466">
        <v>464</v>
      </c>
      <c r="H466">
        <v>2</v>
      </c>
      <c r="I466">
        <v>0</v>
      </c>
      <c r="J466">
        <v>1</v>
      </c>
      <c r="K466">
        <v>3</v>
      </c>
      <c r="L466">
        <v>0</v>
      </c>
      <c r="M466" s="1">
        <v>360</v>
      </c>
      <c r="N466">
        <v>464</v>
      </c>
      <c r="O466">
        <v>0</v>
      </c>
      <c r="P466">
        <v>2</v>
      </c>
      <c r="Q466">
        <v>0</v>
      </c>
      <c r="R466">
        <v>0</v>
      </c>
      <c r="S466">
        <v>0</v>
      </c>
      <c r="T466" s="1">
        <v>160</v>
      </c>
      <c r="U466">
        <v>464</v>
      </c>
      <c r="V466">
        <v>1</v>
      </c>
      <c r="W466">
        <v>1</v>
      </c>
      <c r="X466">
        <v>1</v>
      </c>
      <c r="Y466">
        <v>0</v>
      </c>
      <c r="Z466">
        <v>0</v>
      </c>
      <c r="AA466" s="1">
        <v>300</v>
      </c>
      <c r="AB466">
        <v>464</v>
      </c>
      <c r="AC466">
        <v>0</v>
      </c>
      <c r="AD466">
        <v>0</v>
      </c>
      <c r="AE466">
        <v>0</v>
      </c>
      <c r="AF466">
        <v>0</v>
      </c>
      <c r="AG466">
        <v>0</v>
      </c>
      <c r="AH466" s="1">
        <v>0</v>
      </c>
      <c r="AI466">
        <v>464</v>
      </c>
      <c r="AJ466">
        <v>0</v>
      </c>
      <c r="AK466">
        <v>0</v>
      </c>
      <c r="AL466">
        <v>1</v>
      </c>
      <c r="AM466">
        <v>0</v>
      </c>
      <c r="AN466">
        <v>0</v>
      </c>
      <c r="AO466" s="1">
        <v>150</v>
      </c>
    </row>
    <row r="467" spans="7:41" x14ac:dyDescent="0.35">
      <c r="G467">
        <v>465</v>
      </c>
      <c r="H467">
        <v>0</v>
      </c>
      <c r="I467">
        <v>1</v>
      </c>
      <c r="J467">
        <v>1</v>
      </c>
      <c r="K467">
        <v>2</v>
      </c>
      <c r="L467">
        <v>2</v>
      </c>
      <c r="M467" s="1">
        <v>360</v>
      </c>
      <c r="N467">
        <v>465</v>
      </c>
      <c r="O467">
        <v>0</v>
      </c>
      <c r="P467">
        <v>0</v>
      </c>
      <c r="Q467">
        <v>0</v>
      </c>
      <c r="R467">
        <v>3</v>
      </c>
      <c r="S467">
        <v>0</v>
      </c>
      <c r="T467" s="1">
        <v>240</v>
      </c>
      <c r="U467">
        <v>465</v>
      </c>
      <c r="V467">
        <v>0</v>
      </c>
      <c r="W467">
        <v>1</v>
      </c>
      <c r="X467">
        <v>0</v>
      </c>
      <c r="Y467">
        <v>0</v>
      </c>
      <c r="Z467">
        <v>0</v>
      </c>
      <c r="AA467" s="1">
        <v>100</v>
      </c>
      <c r="AB467">
        <v>465</v>
      </c>
      <c r="AC467">
        <v>0</v>
      </c>
      <c r="AD467">
        <v>0</v>
      </c>
      <c r="AE467">
        <v>0</v>
      </c>
      <c r="AF467">
        <v>0</v>
      </c>
      <c r="AG467">
        <v>0</v>
      </c>
      <c r="AH467" s="1">
        <v>0</v>
      </c>
      <c r="AI467">
        <v>465</v>
      </c>
      <c r="AJ467">
        <v>0</v>
      </c>
      <c r="AK467">
        <v>0</v>
      </c>
      <c r="AL467">
        <v>1</v>
      </c>
      <c r="AM467">
        <v>0</v>
      </c>
      <c r="AN467">
        <v>0</v>
      </c>
      <c r="AO467" s="1">
        <v>150</v>
      </c>
    </row>
    <row r="468" spans="7:41" x14ac:dyDescent="0.35">
      <c r="G468">
        <v>466</v>
      </c>
      <c r="H468">
        <v>1</v>
      </c>
      <c r="I468">
        <v>1</v>
      </c>
      <c r="J468">
        <v>0</v>
      </c>
      <c r="K468">
        <v>4</v>
      </c>
      <c r="L468">
        <v>0</v>
      </c>
      <c r="M468" s="1">
        <v>360</v>
      </c>
      <c r="N468">
        <v>466</v>
      </c>
      <c r="O468">
        <v>0</v>
      </c>
      <c r="P468">
        <v>0</v>
      </c>
      <c r="Q468">
        <v>1</v>
      </c>
      <c r="R468">
        <v>0</v>
      </c>
      <c r="S468">
        <v>0</v>
      </c>
      <c r="T468" s="1">
        <v>80</v>
      </c>
      <c r="U468">
        <v>466</v>
      </c>
      <c r="V468">
        <v>0</v>
      </c>
      <c r="W468">
        <v>0</v>
      </c>
      <c r="X468">
        <v>0</v>
      </c>
      <c r="Y468">
        <v>0</v>
      </c>
      <c r="Z468">
        <v>0</v>
      </c>
      <c r="AA468" s="1">
        <v>0</v>
      </c>
      <c r="AB468">
        <v>466</v>
      </c>
      <c r="AC468">
        <v>0</v>
      </c>
      <c r="AD468">
        <v>0</v>
      </c>
      <c r="AE468">
        <v>0</v>
      </c>
      <c r="AF468">
        <v>0</v>
      </c>
      <c r="AG468">
        <v>0</v>
      </c>
      <c r="AH468" s="1">
        <v>0</v>
      </c>
      <c r="AI468">
        <v>466</v>
      </c>
      <c r="AJ468">
        <v>0</v>
      </c>
      <c r="AK468">
        <v>0</v>
      </c>
      <c r="AL468">
        <v>3</v>
      </c>
      <c r="AM468">
        <v>0</v>
      </c>
      <c r="AN468">
        <v>0</v>
      </c>
      <c r="AO468" s="1">
        <v>450</v>
      </c>
    </row>
    <row r="469" spans="7:41" x14ac:dyDescent="0.35">
      <c r="G469">
        <v>467</v>
      </c>
      <c r="H469">
        <v>0</v>
      </c>
      <c r="I469">
        <v>2</v>
      </c>
      <c r="J469">
        <v>0</v>
      </c>
      <c r="K469">
        <v>0</v>
      </c>
      <c r="L469">
        <v>0</v>
      </c>
      <c r="M469" s="1">
        <v>120</v>
      </c>
      <c r="N469">
        <v>467</v>
      </c>
      <c r="O469">
        <v>0</v>
      </c>
      <c r="P469">
        <v>0</v>
      </c>
      <c r="Q469">
        <v>1</v>
      </c>
      <c r="R469">
        <v>0</v>
      </c>
      <c r="S469">
        <v>1</v>
      </c>
      <c r="T469" s="1">
        <v>160</v>
      </c>
      <c r="U469">
        <v>467</v>
      </c>
      <c r="V469">
        <v>0</v>
      </c>
      <c r="W469">
        <v>0</v>
      </c>
      <c r="X469">
        <v>0</v>
      </c>
      <c r="Y469">
        <v>0</v>
      </c>
      <c r="Z469">
        <v>0</v>
      </c>
      <c r="AA469" s="1">
        <v>0</v>
      </c>
      <c r="AB469">
        <v>467</v>
      </c>
      <c r="AC469">
        <v>0</v>
      </c>
      <c r="AD469">
        <v>0</v>
      </c>
      <c r="AE469">
        <v>0</v>
      </c>
      <c r="AF469">
        <v>0</v>
      </c>
      <c r="AG469">
        <v>0</v>
      </c>
      <c r="AH469" s="1">
        <v>0</v>
      </c>
      <c r="AI469">
        <v>467</v>
      </c>
      <c r="AJ469">
        <v>0</v>
      </c>
      <c r="AK469">
        <v>0</v>
      </c>
      <c r="AL469">
        <v>1</v>
      </c>
      <c r="AM469">
        <v>0</v>
      </c>
      <c r="AN469">
        <v>0</v>
      </c>
      <c r="AO469" s="1">
        <v>150</v>
      </c>
    </row>
    <row r="470" spans="7:41" x14ac:dyDescent="0.35">
      <c r="G470">
        <v>468</v>
      </c>
      <c r="H470">
        <v>0</v>
      </c>
      <c r="I470">
        <v>1</v>
      </c>
      <c r="J470">
        <v>2</v>
      </c>
      <c r="K470">
        <v>1</v>
      </c>
      <c r="L470">
        <v>0</v>
      </c>
      <c r="M470" s="1">
        <v>240</v>
      </c>
      <c r="N470">
        <v>468</v>
      </c>
      <c r="O470">
        <v>0</v>
      </c>
      <c r="P470">
        <v>0</v>
      </c>
      <c r="Q470">
        <v>0</v>
      </c>
      <c r="R470">
        <v>1</v>
      </c>
      <c r="S470">
        <v>0</v>
      </c>
      <c r="T470" s="1">
        <v>80</v>
      </c>
      <c r="U470">
        <v>468</v>
      </c>
      <c r="V470">
        <v>0</v>
      </c>
      <c r="W470">
        <v>0</v>
      </c>
      <c r="X470">
        <v>0</v>
      </c>
      <c r="Y470">
        <v>0</v>
      </c>
      <c r="Z470">
        <v>0</v>
      </c>
      <c r="AA470" s="1">
        <v>0</v>
      </c>
      <c r="AB470">
        <v>468</v>
      </c>
      <c r="AC470">
        <v>0</v>
      </c>
      <c r="AD470">
        <v>0</v>
      </c>
      <c r="AE470">
        <v>0</v>
      </c>
      <c r="AF470">
        <v>0</v>
      </c>
      <c r="AG470">
        <v>0</v>
      </c>
      <c r="AH470" s="1">
        <v>0</v>
      </c>
      <c r="AI470">
        <v>468</v>
      </c>
      <c r="AJ470">
        <v>0</v>
      </c>
      <c r="AK470">
        <v>0</v>
      </c>
      <c r="AL470">
        <v>0</v>
      </c>
      <c r="AM470">
        <v>0</v>
      </c>
      <c r="AN470">
        <v>0</v>
      </c>
      <c r="AO470" s="1">
        <v>0</v>
      </c>
    </row>
    <row r="471" spans="7:41" x14ac:dyDescent="0.35">
      <c r="G471">
        <v>469</v>
      </c>
      <c r="H471">
        <v>0</v>
      </c>
      <c r="I471">
        <v>0</v>
      </c>
      <c r="J471">
        <v>2</v>
      </c>
      <c r="K471">
        <v>2</v>
      </c>
      <c r="L471">
        <v>0</v>
      </c>
      <c r="M471" s="1">
        <v>240</v>
      </c>
      <c r="N471">
        <v>469</v>
      </c>
      <c r="O471">
        <v>0</v>
      </c>
      <c r="P471">
        <v>0</v>
      </c>
      <c r="Q471">
        <v>0</v>
      </c>
      <c r="R471">
        <v>0</v>
      </c>
      <c r="S471">
        <v>1</v>
      </c>
      <c r="T471" s="1">
        <v>80</v>
      </c>
      <c r="U471">
        <v>469</v>
      </c>
      <c r="V471">
        <v>0</v>
      </c>
      <c r="W471">
        <v>0</v>
      </c>
      <c r="X471">
        <v>1</v>
      </c>
      <c r="Y471">
        <v>0</v>
      </c>
      <c r="Z471">
        <v>0</v>
      </c>
      <c r="AA471" s="1">
        <v>100</v>
      </c>
      <c r="AB471">
        <v>469</v>
      </c>
      <c r="AC471">
        <v>1</v>
      </c>
      <c r="AD471">
        <v>0</v>
      </c>
      <c r="AE471">
        <v>0</v>
      </c>
      <c r="AF471">
        <v>0</v>
      </c>
      <c r="AG471">
        <v>0</v>
      </c>
      <c r="AH471" s="1">
        <v>120</v>
      </c>
      <c r="AI471">
        <v>469</v>
      </c>
      <c r="AJ471">
        <v>0</v>
      </c>
      <c r="AK471">
        <v>0</v>
      </c>
      <c r="AL471">
        <v>0</v>
      </c>
      <c r="AM471">
        <v>0</v>
      </c>
      <c r="AN471">
        <v>0</v>
      </c>
      <c r="AO471" s="1">
        <v>0</v>
      </c>
    </row>
    <row r="472" spans="7:41" x14ac:dyDescent="0.35">
      <c r="G472">
        <v>470</v>
      </c>
      <c r="H472">
        <v>1</v>
      </c>
      <c r="I472">
        <v>1</v>
      </c>
      <c r="J472">
        <v>0</v>
      </c>
      <c r="K472">
        <v>1</v>
      </c>
      <c r="L472">
        <v>0</v>
      </c>
      <c r="M472" s="1">
        <v>180</v>
      </c>
      <c r="N472">
        <v>470</v>
      </c>
      <c r="O472">
        <v>1</v>
      </c>
      <c r="P472">
        <v>2</v>
      </c>
      <c r="Q472">
        <v>0</v>
      </c>
      <c r="R472">
        <v>0</v>
      </c>
      <c r="S472">
        <v>0</v>
      </c>
      <c r="T472" s="1">
        <v>240</v>
      </c>
      <c r="U472">
        <v>470</v>
      </c>
      <c r="V472">
        <v>0</v>
      </c>
      <c r="W472">
        <v>0</v>
      </c>
      <c r="X472">
        <v>0</v>
      </c>
      <c r="Y472">
        <v>0</v>
      </c>
      <c r="Z472">
        <v>0</v>
      </c>
      <c r="AA472" s="1">
        <v>0</v>
      </c>
      <c r="AB472">
        <v>470</v>
      </c>
      <c r="AC472">
        <v>0</v>
      </c>
      <c r="AD472">
        <v>0</v>
      </c>
      <c r="AE472">
        <v>0</v>
      </c>
      <c r="AF472">
        <v>0</v>
      </c>
      <c r="AG472">
        <v>0</v>
      </c>
      <c r="AH472" s="1">
        <v>0</v>
      </c>
      <c r="AI472">
        <v>470</v>
      </c>
      <c r="AJ472">
        <v>0</v>
      </c>
      <c r="AK472">
        <v>0</v>
      </c>
      <c r="AL472">
        <v>0</v>
      </c>
      <c r="AM472">
        <v>0</v>
      </c>
      <c r="AN472">
        <v>0</v>
      </c>
      <c r="AO472" s="1">
        <v>0</v>
      </c>
    </row>
    <row r="473" spans="7:41" x14ac:dyDescent="0.35">
      <c r="G473">
        <v>471</v>
      </c>
      <c r="H473">
        <v>2</v>
      </c>
      <c r="I473">
        <v>1</v>
      </c>
      <c r="J473">
        <v>2</v>
      </c>
      <c r="K473">
        <v>0</v>
      </c>
      <c r="L473">
        <v>2</v>
      </c>
      <c r="M473" s="1">
        <v>420</v>
      </c>
      <c r="N473">
        <v>471</v>
      </c>
      <c r="O473">
        <v>1</v>
      </c>
      <c r="P473">
        <v>0</v>
      </c>
      <c r="Q473">
        <v>1</v>
      </c>
      <c r="R473">
        <v>1</v>
      </c>
      <c r="S473">
        <v>0</v>
      </c>
      <c r="T473" s="1">
        <v>240</v>
      </c>
      <c r="U473">
        <v>471</v>
      </c>
      <c r="V473">
        <v>0</v>
      </c>
      <c r="W473">
        <v>1</v>
      </c>
      <c r="X473">
        <v>0</v>
      </c>
      <c r="Y473">
        <v>2</v>
      </c>
      <c r="Z473">
        <v>0</v>
      </c>
      <c r="AA473" s="1">
        <v>300</v>
      </c>
      <c r="AB473">
        <v>471</v>
      </c>
      <c r="AC473">
        <v>0</v>
      </c>
      <c r="AD473">
        <v>0</v>
      </c>
      <c r="AE473">
        <v>0</v>
      </c>
      <c r="AF473">
        <v>0</v>
      </c>
      <c r="AG473">
        <v>0</v>
      </c>
      <c r="AH473" s="1">
        <v>0</v>
      </c>
      <c r="AI473">
        <v>471</v>
      </c>
      <c r="AJ473">
        <v>0</v>
      </c>
      <c r="AK473">
        <v>0</v>
      </c>
      <c r="AL473">
        <v>0</v>
      </c>
      <c r="AM473">
        <v>0</v>
      </c>
      <c r="AN473">
        <v>0</v>
      </c>
      <c r="AO473" s="1">
        <v>0</v>
      </c>
    </row>
    <row r="474" spans="7:41" x14ac:dyDescent="0.35">
      <c r="G474">
        <v>472</v>
      </c>
      <c r="H474">
        <v>0</v>
      </c>
      <c r="I474">
        <v>0</v>
      </c>
      <c r="J474">
        <v>3</v>
      </c>
      <c r="K474">
        <v>0</v>
      </c>
      <c r="L474">
        <v>2</v>
      </c>
      <c r="M474" s="1">
        <v>300</v>
      </c>
      <c r="N474">
        <v>472</v>
      </c>
      <c r="O474">
        <v>0</v>
      </c>
      <c r="P474">
        <v>2</v>
      </c>
      <c r="Q474">
        <v>1</v>
      </c>
      <c r="R474">
        <v>0</v>
      </c>
      <c r="S474">
        <v>1</v>
      </c>
      <c r="T474" s="1">
        <v>320</v>
      </c>
      <c r="U474">
        <v>472</v>
      </c>
      <c r="V474">
        <v>0</v>
      </c>
      <c r="W474">
        <v>1</v>
      </c>
      <c r="X474">
        <v>0</v>
      </c>
      <c r="Y474">
        <v>0</v>
      </c>
      <c r="Z474">
        <v>0</v>
      </c>
      <c r="AA474" s="1">
        <v>100</v>
      </c>
      <c r="AB474">
        <v>472</v>
      </c>
      <c r="AC474">
        <v>0</v>
      </c>
      <c r="AD474">
        <v>0</v>
      </c>
      <c r="AE474">
        <v>0</v>
      </c>
      <c r="AF474">
        <v>0</v>
      </c>
      <c r="AG474">
        <v>1</v>
      </c>
      <c r="AH474" s="1">
        <v>120</v>
      </c>
      <c r="AI474">
        <v>472</v>
      </c>
      <c r="AJ474">
        <v>0</v>
      </c>
      <c r="AK474">
        <v>0</v>
      </c>
      <c r="AL474">
        <v>0</v>
      </c>
      <c r="AM474">
        <v>0</v>
      </c>
      <c r="AN474">
        <v>0</v>
      </c>
      <c r="AO474" s="1">
        <v>0</v>
      </c>
    </row>
    <row r="475" spans="7:41" x14ac:dyDescent="0.35">
      <c r="G475">
        <v>473</v>
      </c>
      <c r="H475">
        <v>0</v>
      </c>
      <c r="I475">
        <v>3</v>
      </c>
      <c r="J475">
        <v>3</v>
      </c>
      <c r="K475">
        <v>2</v>
      </c>
      <c r="L475">
        <v>0</v>
      </c>
      <c r="M475" s="1">
        <v>480</v>
      </c>
      <c r="N475">
        <v>473</v>
      </c>
      <c r="O475">
        <v>0</v>
      </c>
      <c r="P475">
        <v>2</v>
      </c>
      <c r="Q475">
        <v>0</v>
      </c>
      <c r="R475">
        <v>0</v>
      </c>
      <c r="S475">
        <v>0</v>
      </c>
      <c r="T475" s="1">
        <v>160</v>
      </c>
      <c r="U475">
        <v>473</v>
      </c>
      <c r="V475">
        <v>0</v>
      </c>
      <c r="W475">
        <v>2</v>
      </c>
      <c r="X475">
        <v>0</v>
      </c>
      <c r="Y475">
        <v>1</v>
      </c>
      <c r="Z475">
        <v>1</v>
      </c>
      <c r="AA475" s="1">
        <v>400</v>
      </c>
      <c r="AB475">
        <v>473</v>
      </c>
      <c r="AC475">
        <v>0</v>
      </c>
      <c r="AD475">
        <v>0</v>
      </c>
      <c r="AE475">
        <v>0</v>
      </c>
      <c r="AF475">
        <v>0</v>
      </c>
      <c r="AG475">
        <v>0</v>
      </c>
      <c r="AH475" s="1">
        <v>0</v>
      </c>
      <c r="AI475">
        <v>473</v>
      </c>
      <c r="AJ475">
        <v>0</v>
      </c>
      <c r="AK475">
        <v>0</v>
      </c>
      <c r="AL475">
        <v>2</v>
      </c>
      <c r="AM475">
        <v>0</v>
      </c>
      <c r="AN475">
        <v>0</v>
      </c>
      <c r="AO475" s="1">
        <v>300</v>
      </c>
    </row>
    <row r="476" spans="7:41" x14ac:dyDescent="0.35">
      <c r="G476">
        <v>474</v>
      </c>
      <c r="H476">
        <v>0</v>
      </c>
      <c r="I476">
        <v>2</v>
      </c>
      <c r="J476">
        <v>1</v>
      </c>
      <c r="K476">
        <v>3</v>
      </c>
      <c r="L476">
        <v>0</v>
      </c>
      <c r="M476" s="1">
        <v>360</v>
      </c>
      <c r="N476">
        <v>474</v>
      </c>
      <c r="O476">
        <v>0</v>
      </c>
      <c r="P476">
        <v>0</v>
      </c>
      <c r="Q476">
        <v>0</v>
      </c>
      <c r="R476">
        <v>0</v>
      </c>
      <c r="S476">
        <v>0</v>
      </c>
      <c r="T476" s="1">
        <v>0</v>
      </c>
      <c r="U476">
        <v>474</v>
      </c>
      <c r="V476">
        <v>0</v>
      </c>
      <c r="W476">
        <v>0</v>
      </c>
      <c r="X476">
        <v>0</v>
      </c>
      <c r="Y476">
        <v>0</v>
      </c>
      <c r="Z476">
        <v>0</v>
      </c>
      <c r="AA476" s="1">
        <v>0</v>
      </c>
      <c r="AB476">
        <v>474</v>
      </c>
      <c r="AC476">
        <v>0</v>
      </c>
      <c r="AD476">
        <v>0</v>
      </c>
      <c r="AE476">
        <v>0</v>
      </c>
      <c r="AF476">
        <v>0</v>
      </c>
      <c r="AG476">
        <v>0</v>
      </c>
      <c r="AH476" s="1">
        <v>0</v>
      </c>
      <c r="AI476">
        <v>474</v>
      </c>
      <c r="AJ476">
        <v>0</v>
      </c>
      <c r="AK476">
        <v>0</v>
      </c>
      <c r="AL476">
        <v>0</v>
      </c>
      <c r="AM476">
        <v>0</v>
      </c>
      <c r="AN476">
        <v>0</v>
      </c>
      <c r="AO476" s="1">
        <v>0</v>
      </c>
    </row>
    <row r="477" spans="7:41" x14ac:dyDescent="0.35">
      <c r="G477">
        <v>475</v>
      </c>
      <c r="H477">
        <v>0</v>
      </c>
      <c r="I477">
        <v>5</v>
      </c>
      <c r="J477">
        <v>1</v>
      </c>
      <c r="K477">
        <v>0</v>
      </c>
      <c r="L477">
        <v>1</v>
      </c>
      <c r="M477" s="1">
        <v>420</v>
      </c>
      <c r="N477">
        <v>475</v>
      </c>
      <c r="O477">
        <v>1</v>
      </c>
      <c r="P477">
        <v>0</v>
      </c>
      <c r="Q477">
        <v>0</v>
      </c>
      <c r="R477">
        <v>0</v>
      </c>
      <c r="S477">
        <v>0</v>
      </c>
      <c r="T477" s="1">
        <v>80</v>
      </c>
      <c r="U477">
        <v>475</v>
      </c>
      <c r="V477">
        <v>0</v>
      </c>
      <c r="W477">
        <v>0</v>
      </c>
      <c r="X477">
        <v>0</v>
      </c>
      <c r="Y477">
        <v>0</v>
      </c>
      <c r="Z477">
        <v>0</v>
      </c>
      <c r="AA477" s="1">
        <v>0</v>
      </c>
      <c r="AB477">
        <v>475</v>
      </c>
      <c r="AC477">
        <v>0</v>
      </c>
      <c r="AD477">
        <v>0</v>
      </c>
      <c r="AE477">
        <v>0</v>
      </c>
      <c r="AF477">
        <v>0</v>
      </c>
      <c r="AG477">
        <v>0</v>
      </c>
      <c r="AH477" s="1">
        <v>0</v>
      </c>
      <c r="AI477">
        <v>475</v>
      </c>
      <c r="AJ477">
        <v>0</v>
      </c>
      <c r="AK477">
        <v>0</v>
      </c>
      <c r="AL477">
        <v>1</v>
      </c>
      <c r="AM477">
        <v>0</v>
      </c>
      <c r="AN477">
        <v>0</v>
      </c>
      <c r="AO477" s="1">
        <v>150</v>
      </c>
    </row>
    <row r="478" spans="7:41" x14ac:dyDescent="0.35">
      <c r="G478">
        <v>476</v>
      </c>
      <c r="H478">
        <v>0</v>
      </c>
      <c r="I478">
        <v>0</v>
      </c>
      <c r="J478">
        <v>2</v>
      </c>
      <c r="K478">
        <v>0</v>
      </c>
      <c r="L478">
        <v>1</v>
      </c>
      <c r="M478" s="1">
        <v>180</v>
      </c>
      <c r="N478">
        <v>476</v>
      </c>
      <c r="O478">
        <v>0</v>
      </c>
      <c r="P478">
        <v>1</v>
      </c>
      <c r="Q478">
        <v>2</v>
      </c>
      <c r="R478">
        <v>0</v>
      </c>
      <c r="S478">
        <v>0</v>
      </c>
      <c r="T478" s="1">
        <v>240</v>
      </c>
      <c r="U478">
        <v>476</v>
      </c>
      <c r="V478">
        <v>0</v>
      </c>
      <c r="W478">
        <v>1</v>
      </c>
      <c r="X478">
        <v>0</v>
      </c>
      <c r="Y478">
        <v>1</v>
      </c>
      <c r="Z478">
        <v>0</v>
      </c>
      <c r="AA478" s="1">
        <v>200</v>
      </c>
      <c r="AB478">
        <v>476</v>
      </c>
      <c r="AC478">
        <v>0</v>
      </c>
      <c r="AD478">
        <v>0</v>
      </c>
      <c r="AE478">
        <v>0</v>
      </c>
      <c r="AF478">
        <v>0</v>
      </c>
      <c r="AG478">
        <v>0</v>
      </c>
      <c r="AH478" s="1">
        <v>0</v>
      </c>
      <c r="AI478">
        <v>476</v>
      </c>
      <c r="AJ478">
        <v>0</v>
      </c>
      <c r="AK478">
        <v>0</v>
      </c>
      <c r="AL478">
        <v>1</v>
      </c>
      <c r="AM478">
        <v>0</v>
      </c>
      <c r="AN478">
        <v>0</v>
      </c>
      <c r="AO478" s="1">
        <v>150</v>
      </c>
    </row>
    <row r="479" spans="7:41" x14ac:dyDescent="0.35">
      <c r="G479">
        <v>477</v>
      </c>
      <c r="H479">
        <v>0</v>
      </c>
      <c r="I479">
        <v>0</v>
      </c>
      <c r="J479">
        <v>0</v>
      </c>
      <c r="K479">
        <v>1</v>
      </c>
      <c r="L479">
        <v>0</v>
      </c>
      <c r="M479" s="1">
        <v>60</v>
      </c>
      <c r="N479">
        <v>477</v>
      </c>
      <c r="O479">
        <v>0</v>
      </c>
      <c r="P479">
        <v>2</v>
      </c>
      <c r="Q479">
        <v>1</v>
      </c>
      <c r="R479">
        <v>1</v>
      </c>
      <c r="S479">
        <v>0</v>
      </c>
      <c r="T479" s="1">
        <v>320</v>
      </c>
      <c r="U479">
        <v>477</v>
      </c>
      <c r="V479">
        <v>0</v>
      </c>
      <c r="W479">
        <v>0</v>
      </c>
      <c r="X479">
        <v>0</v>
      </c>
      <c r="Y479">
        <v>0</v>
      </c>
      <c r="Z479">
        <v>0</v>
      </c>
      <c r="AA479" s="1">
        <v>0</v>
      </c>
      <c r="AB479">
        <v>477</v>
      </c>
      <c r="AC479">
        <v>0</v>
      </c>
      <c r="AD479">
        <v>0</v>
      </c>
      <c r="AE479">
        <v>0</v>
      </c>
      <c r="AF479">
        <v>0</v>
      </c>
      <c r="AG479">
        <v>0</v>
      </c>
      <c r="AH479" s="1">
        <v>0</v>
      </c>
      <c r="AI479">
        <v>477</v>
      </c>
      <c r="AJ479">
        <v>0</v>
      </c>
      <c r="AK479">
        <v>0</v>
      </c>
      <c r="AL479">
        <v>0</v>
      </c>
      <c r="AM479">
        <v>0</v>
      </c>
      <c r="AN479">
        <v>0</v>
      </c>
      <c r="AO479" s="1">
        <v>0</v>
      </c>
    </row>
    <row r="480" spans="7:41" x14ac:dyDescent="0.35">
      <c r="G480">
        <v>478</v>
      </c>
      <c r="H480">
        <v>1</v>
      </c>
      <c r="I480">
        <v>1</v>
      </c>
      <c r="J480">
        <v>0</v>
      </c>
      <c r="K480">
        <v>2</v>
      </c>
      <c r="L480">
        <v>0</v>
      </c>
      <c r="M480" s="1">
        <v>240</v>
      </c>
      <c r="N480">
        <v>478</v>
      </c>
      <c r="O480">
        <v>0</v>
      </c>
      <c r="P480">
        <v>0</v>
      </c>
      <c r="Q480">
        <v>0</v>
      </c>
      <c r="R480">
        <v>0</v>
      </c>
      <c r="S480">
        <v>0</v>
      </c>
      <c r="T480" s="1">
        <v>0</v>
      </c>
      <c r="U480">
        <v>478</v>
      </c>
      <c r="V480">
        <v>0</v>
      </c>
      <c r="W480">
        <v>0</v>
      </c>
      <c r="X480">
        <v>0</v>
      </c>
      <c r="Y480">
        <v>1</v>
      </c>
      <c r="Z480">
        <v>0</v>
      </c>
      <c r="AA480" s="1">
        <v>100</v>
      </c>
      <c r="AB480">
        <v>478</v>
      </c>
      <c r="AC480">
        <v>0</v>
      </c>
      <c r="AD480">
        <v>0</v>
      </c>
      <c r="AE480">
        <v>0</v>
      </c>
      <c r="AF480">
        <v>0</v>
      </c>
      <c r="AG480">
        <v>0</v>
      </c>
      <c r="AH480" s="1">
        <v>0</v>
      </c>
      <c r="AI480">
        <v>478</v>
      </c>
      <c r="AJ480">
        <v>0</v>
      </c>
      <c r="AK480">
        <v>0</v>
      </c>
      <c r="AL480">
        <v>1</v>
      </c>
      <c r="AM480">
        <v>0</v>
      </c>
      <c r="AN480">
        <v>0</v>
      </c>
      <c r="AO480" s="1">
        <v>150</v>
      </c>
    </row>
    <row r="481" spans="7:41" x14ac:dyDescent="0.35">
      <c r="G481">
        <v>479</v>
      </c>
      <c r="H481">
        <v>1</v>
      </c>
      <c r="I481">
        <v>0</v>
      </c>
      <c r="J481">
        <v>1</v>
      </c>
      <c r="K481">
        <v>4</v>
      </c>
      <c r="L481">
        <v>0</v>
      </c>
      <c r="M481" s="1">
        <v>360</v>
      </c>
      <c r="N481">
        <v>479</v>
      </c>
      <c r="O481">
        <v>0</v>
      </c>
      <c r="P481">
        <v>0</v>
      </c>
      <c r="Q481">
        <v>0</v>
      </c>
      <c r="R481">
        <v>0</v>
      </c>
      <c r="S481">
        <v>1</v>
      </c>
      <c r="T481" s="1">
        <v>80</v>
      </c>
      <c r="U481">
        <v>479</v>
      </c>
      <c r="V481">
        <v>0</v>
      </c>
      <c r="W481">
        <v>0</v>
      </c>
      <c r="X481">
        <v>0</v>
      </c>
      <c r="Y481">
        <v>0</v>
      </c>
      <c r="Z481">
        <v>1</v>
      </c>
      <c r="AA481" s="1">
        <v>100</v>
      </c>
      <c r="AB481">
        <v>479</v>
      </c>
      <c r="AC481">
        <v>0</v>
      </c>
      <c r="AD481">
        <v>0</v>
      </c>
      <c r="AE481">
        <v>0</v>
      </c>
      <c r="AF481">
        <v>0</v>
      </c>
      <c r="AG481">
        <v>0</v>
      </c>
      <c r="AH481" s="1">
        <v>0</v>
      </c>
      <c r="AI481">
        <v>479</v>
      </c>
      <c r="AJ481">
        <v>0</v>
      </c>
      <c r="AK481">
        <v>0</v>
      </c>
      <c r="AL481">
        <v>0</v>
      </c>
      <c r="AM481">
        <v>0</v>
      </c>
      <c r="AN481">
        <v>0</v>
      </c>
      <c r="AO481" s="1">
        <v>0</v>
      </c>
    </row>
    <row r="482" spans="7:41" x14ac:dyDescent="0.35">
      <c r="G482">
        <v>480</v>
      </c>
      <c r="H482">
        <v>1</v>
      </c>
      <c r="I482">
        <v>1</v>
      </c>
      <c r="J482">
        <v>0</v>
      </c>
      <c r="K482">
        <v>4</v>
      </c>
      <c r="L482">
        <v>0</v>
      </c>
      <c r="M482" s="1">
        <v>360</v>
      </c>
      <c r="N482">
        <v>480</v>
      </c>
      <c r="O482">
        <v>0</v>
      </c>
      <c r="P482">
        <v>2</v>
      </c>
      <c r="Q482">
        <v>1</v>
      </c>
      <c r="R482">
        <v>0</v>
      </c>
      <c r="S482">
        <v>1</v>
      </c>
      <c r="T482" s="1">
        <v>320</v>
      </c>
      <c r="U482">
        <v>480</v>
      </c>
      <c r="V482">
        <v>0</v>
      </c>
      <c r="W482">
        <v>0</v>
      </c>
      <c r="X482">
        <v>1</v>
      </c>
      <c r="Y482">
        <v>0</v>
      </c>
      <c r="Z482">
        <v>0</v>
      </c>
      <c r="AA482" s="1">
        <v>100</v>
      </c>
      <c r="AB482">
        <v>480</v>
      </c>
      <c r="AC482">
        <v>0</v>
      </c>
      <c r="AD482">
        <v>0</v>
      </c>
      <c r="AE482">
        <v>0</v>
      </c>
      <c r="AF482">
        <v>0</v>
      </c>
      <c r="AG482">
        <v>0</v>
      </c>
      <c r="AH482" s="1">
        <v>0</v>
      </c>
      <c r="AI482">
        <v>480</v>
      </c>
      <c r="AJ482">
        <v>0</v>
      </c>
      <c r="AK482">
        <v>0</v>
      </c>
      <c r="AL482">
        <v>1</v>
      </c>
      <c r="AM482">
        <v>0</v>
      </c>
      <c r="AN482">
        <v>0</v>
      </c>
      <c r="AO482" s="1">
        <v>150</v>
      </c>
    </row>
    <row r="483" spans="7:41" x14ac:dyDescent="0.35">
      <c r="G483">
        <v>481</v>
      </c>
      <c r="H483">
        <v>0</v>
      </c>
      <c r="I483">
        <v>0</v>
      </c>
      <c r="J483">
        <v>0</v>
      </c>
      <c r="K483">
        <v>2</v>
      </c>
      <c r="L483">
        <v>0</v>
      </c>
      <c r="M483" s="1">
        <v>120</v>
      </c>
      <c r="N483">
        <v>481</v>
      </c>
      <c r="O483">
        <v>0</v>
      </c>
      <c r="P483">
        <v>0</v>
      </c>
      <c r="Q483">
        <v>0</v>
      </c>
      <c r="R483">
        <v>2</v>
      </c>
      <c r="S483">
        <v>0</v>
      </c>
      <c r="T483" s="1">
        <v>160</v>
      </c>
      <c r="U483">
        <v>481</v>
      </c>
      <c r="V483">
        <v>0</v>
      </c>
      <c r="W483">
        <v>3</v>
      </c>
      <c r="X483">
        <v>0</v>
      </c>
      <c r="Y483">
        <v>0</v>
      </c>
      <c r="Z483">
        <v>0</v>
      </c>
      <c r="AA483" s="1">
        <v>300</v>
      </c>
      <c r="AB483">
        <v>481</v>
      </c>
      <c r="AC483">
        <v>0</v>
      </c>
      <c r="AD483">
        <v>0</v>
      </c>
      <c r="AE483">
        <v>0</v>
      </c>
      <c r="AF483">
        <v>0</v>
      </c>
      <c r="AG483">
        <v>0</v>
      </c>
      <c r="AH483" s="1">
        <v>0</v>
      </c>
      <c r="AI483">
        <v>481</v>
      </c>
      <c r="AJ483">
        <v>0</v>
      </c>
      <c r="AK483">
        <v>0</v>
      </c>
      <c r="AL483">
        <v>1</v>
      </c>
      <c r="AM483">
        <v>0</v>
      </c>
      <c r="AN483">
        <v>0</v>
      </c>
      <c r="AO483" s="1">
        <v>150</v>
      </c>
    </row>
    <row r="484" spans="7:41" x14ac:dyDescent="0.35">
      <c r="G484">
        <v>482</v>
      </c>
      <c r="H484">
        <v>1</v>
      </c>
      <c r="I484">
        <v>2</v>
      </c>
      <c r="J484">
        <v>1</v>
      </c>
      <c r="K484">
        <v>0</v>
      </c>
      <c r="L484">
        <v>1</v>
      </c>
      <c r="M484" s="1">
        <v>300</v>
      </c>
      <c r="N484">
        <v>482</v>
      </c>
      <c r="O484">
        <v>0</v>
      </c>
      <c r="P484">
        <v>0</v>
      </c>
      <c r="Q484">
        <v>3</v>
      </c>
      <c r="R484">
        <v>0</v>
      </c>
      <c r="S484">
        <v>0</v>
      </c>
      <c r="T484" s="1">
        <v>240</v>
      </c>
      <c r="U484">
        <v>482</v>
      </c>
      <c r="V484">
        <v>0</v>
      </c>
      <c r="W484">
        <v>1</v>
      </c>
      <c r="X484">
        <v>0</v>
      </c>
      <c r="Y484">
        <v>1</v>
      </c>
      <c r="Z484">
        <v>0</v>
      </c>
      <c r="AA484" s="1">
        <v>200</v>
      </c>
      <c r="AB484">
        <v>482</v>
      </c>
      <c r="AC484">
        <v>2</v>
      </c>
      <c r="AD484">
        <v>0</v>
      </c>
      <c r="AE484">
        <v>0</v>
      </c>
      <c r="AF484">
        <v>1</v>
      </c>
      <c r="AG484">
        <v>0</v>
      </c>
      <c r="AH484" s="1">
        <v>360</v>
      </c>
      <c r="AI484">
        <v>482</v>
      </c>
      <c r="AJ484">
        <v>0</v>
      </c>
      <c r="AK484">
        <v>0</v>
      </c>
      <c r="AL484">
        <v>0</v>
      </c>
      <c r="AM484">
        <v>0</v>
      </c>
      <c r="AN484">
        <v>0</v>
      </c>
      <c r="AO484" s="1">
        <v>0</v>
      </c>
    </row>
    <row r="485" spans="7:41" x14ac:dyDescent="0.35">
      <c r="G485">
        <v>483</v>
      </c>
      <c r="H485">
        <v>1</v>
      </c>
      <c r="I485">
        <v>2</v>
      </c>
      <c r="J485">
        <v>1</v>
      </c>
      <c r="K485">
        <v>0</v>
      </c>
      <c r="L485">
        <v>1</v>
      </c>
      <c r="M485" s="1">
        <v>300</v>
      </c>
      <c r="N485">
        <v>483</v>
      </c>
      <c r="O485">
        <v>1</v>
      </c>
      <c r="P485">
        <v>2</v>
      </c>
      <c r="Q485">
        <v>1</v>
      </c>
      <c r="R485">
        <v>0</v>
      </c>
      <c r="S485">
        <v>0</v>
      </c>
      <c r="T485" s="1">
        <v>320</v>
      </c>
      <c r="U485">
        <v>483</v>
      </c>
      <c r="V485">
        <v>0</v>
      </c>
      <c r="W485">
        <v>1</v>
      </c>
      <c r="X485">
        <v>0</v>
      </c>
      <c r="Y485">
        <v>0</v>
      </c>
      <c r="Z485">
        <v>0</v>
      </c>
      <c r="AA485" s="1">
        <v>100</v>
      </c>
      <c r="AB485">
        <v>483</v>
      </c>
      <c r="AC485">
        <v>0</v>
      </c>
      <c r="AD485">
        <v>0</v>
      </c>
      <c r="AE485">
        <v>0</v>
      </c>
      <c r="AF485">
        <v>0</v>
      </c>
      <c r="AG485">
        <v>0</v>
      </c>
      <c r="AH485" s="1">
        <v>0</v>
      </c>
      <c r="AI485">
        <v>483</v>
      </c>
      <c r="AJ485">
        <v>0</v>
      </c>
      <c r="AK485">
        <v>0</v>
      </c>
      <c r="AL485">
        <v>0</v>
      </c>
      <c r="AM485">
        <v>0</v>
      </c>
      <c r="AN485">
        <v>0</v>
      </c>
      <c r="AO485" s="1">
        <v>0</v>
      </c>
    </row>
    <row r="486" spans="7:41" x14ac:dyDescent="0.35">
      <c r="G486">
        <v>484</v>
      </c>
      <c r="H486">
        <v>0</v>
      </c>
      <c r="I486">
        <v>2</v>
      </c>
      <c r="J486">
        <v>2</v>
      </c>
      <c r="K486">
        <v>0</v>
      </c>
      <c r="L486">
        <v>2</v>
      </c>
      <c r="M486" s="1">
        <v>360</v>
      </c>
      <c r="N486">
        <v>484</v>
      </c>
      <c r="O486">
        <v>1</v>
      </c>
      <c r="P486">
        <v>0</v>
      </c>
      <c r="Q486">
        <v>0</v>
      </c>
      <c r="R486">
        <v>0</v>
      </c>
      <c r="S486">
        <v>0</v>
      </c>
      <c r="T486" s="1">
        <v>80</v>
      </c>
      <c r="U486">
        <v>484</v>
      </c>
      <c r="V486">
        <v>0</v>
      </c>
      <c r="W486">
        <v>0</v>
      </c>
      <c r="X486">
        <v>1</v>
      </c>
      <c r="Y486">
        <v>0</v>
      </c>
      <c r="Z486">
        <v>0</v>
      </c>
      <c r="AA486" s="1">
        <v>100</v>
      </c>
      <c r="AB486">
        <v>484</v>
      </c>
      <c r="AC486">
        <v>0</v>
      </c>
      <c r="AD486">
        <v>1</v>
      </c>
      <c r="AE486">
        <v>0</v>
      </c>
      <c r="AF486">
        <v>0</v>
      </c>
      <c r="AG486">
        <v>0</v>
      </c>
      <c r="AH486" s="1">
        <v>120</v>
      </c>
      <c r="AI486">
        <v>484</v>
      </c>
      <c r="AJ486">
        <v>0</v>
      </c>
      <c r="AK486">
        <v>0</v>
      </c>
      <c r="AL486">
        <v>0</v>
      </c>
      <c r="AM486">
        <v>0</v>
      </c>
      <c r="AN486">
        <v>0</v>
      </c>
      <c r="AO486" s="1">
        <v>0</v>
      </c>
    </row>
    <row r="487" spans="7:41" x14ac:dyDescent="0.35">
      <c r="G487">
        <v>485</v>
      </c>
      <c r="H487">
        <v>1</v>
      </c>
      <c r="I487">
        <v>2</v>
      </c>
      <c r="J487">
        <v>0</v>
      </c>
      <c r="K487">
        <v>0</v>
      </c>
      <c r="L487">
        <v>0</v>
      </c>
      <c r="M487" s="1">
        <v>180</v>
      </c>
      <c r="N487">
        <v>485</v>
      </c>
      <c r="O487">
        <v>0</v>
      </c>
      <c r="P487">
        <v>1</v>
      </c>
      <c r="Q487">
        <v>1</v>
      </c>
      <c r="R487">
        <v>0</v>
      </c>
      <c r="S487">
        <v>0</v>
      </c>
      <c r="T487" s="1">
        <v>160</v>
      </c>
      <c r="U487">
        <v>485</v>
      </c>
      <c r="V487">
        <v>0</v>
      </c>
      <c r="W487">
        <v>0</v>
      </c>
      <c r="X487">
        <v>0</v>
      </c>
      <c r="Y487">
        <v>1</v>
      </c>
      <c r="Z487">
        <v>0</v>
      </c>
      <c r="AA487" s="1">
        <v>100</v>
      </c>
      <c r="AB487">
        <v>485</v>
      </c>
      <c r="AC487">
        <v>1</v>
      </c>
      <c r="AD487">
        <v>0</v>
      </c>
      <c r="AE487">
        <v>0</v>
      </c>
      <c r="AF487">
        <v>0</v>
      </c>
      <c r="AG487">
        <v>0</v>
      </c>
      <c r="AH487" s="1">
        <v>120</v>
      </c>
      <c r="AI487">
        <v>485</v>
      </c>
      <c r="AJ487">
        <v>0</v>
      </c>
      <c r="AK487">
        <v>0</v>
      </c>
      <c r="AL487">
        <v>3</v>
      </c>
      <c r="AM487">
        <v>0</v>
      </c>
      <c r="AN487">
        <v>0</v>
      </c>
      <c r="AO487" s="1">
        <v>450</v>
      </c>
    </row>
    <row r="488" spans="7:41" x14ac:dyDescent="0.35">
      <c r="G488">
        <v>486</v>
      </c>
      <c r="H488">
        <v>1</v>
      </c>
      <c r="I488">
        <v>2</v>
      </c>
      <c r="J488">
        <v>1</v>
      </c>
      <c r="K488">
        <v>2</v>
      </c>
      <c r="L488">
        <v>0</v>
      </c>
      <c r="M488" s="1">
        <v>360</v>
      </c>
      <c r="N488">
        <v>486</v>
      </c>
      <c r="O488">
        <v>0</v>
      </c>
      <c r="P488">
        <v>0</v>
      </c>
      <c r="Q488">
        <v>0</v>
      </c>
      <c r="R488">
        <v>1</v>
      </c>
      <c r="S488">
        <v>0</v>
      </c>
      <c r="T488" s="1">
        <v>80</v>
      </c>
      <c r="U488">
        <v>486</v>
      </c>
      <c r="V488">
        <v>0</v>
      </c>
      <c r="W488">
        <v>2</v>
      </c>
      <c r="X488">
        <v>0</v>
      </c>
      <c r="Y488">
        <v>0</v>
      </c>
      <c r="Z488">
        <v>0</v>
      </c>
      <c r="AA488" s="1">
        <v>200</v>
      </c>
      <c r="AB488">
        <v>486</v>
      </c>
      <c r="AC488">
        <v>0</v>
      </c>
      <c r="AD488">
        <v>0</v>
      </c>
      <c r="AE488">
        <v>0</v>
      </c>
      <c r="AF488">
        <v>0</v>
      </c>
      <c r="AG488">
        <v>0</v>
      </c>
      <c r="AH488" s="1">
        <v>0</v>
      </c>
      <c r="AI488">
        <v>486</v>
      </c>
      <c r="AJ488">
        <v>0</v>
      </c>
      <c r="AK488">
        <v>0</v>
      </c>
      <c r="AL488">
        <v>2</v>
      </c>
      <c r="AM488">
        <v>0</v>
      </c>
      <c r="AN488">
        <v>0</v>
      </c>
      <c r="AO488" s="1">
        <v>300</v>
      </c>
    </row>
    <row r="489" spans="7:41" x14ac:dyDescent="0.35">
      <c r="G489">
        <v>487</v>
      </c>
      <c r="H489">
        <v>0</v>
      </c>
      <c r="I489">
        <v>0</v>
      </c>
      <c r="J489">
        <v>0</v>
      </c>
      <c r="K489">
        <v>1</v>
      </c>
      <c r="L489">
        <v>1</v>
      </c>
      <c r="M489" s="1">
        <v>120</v>
      </c>
      <c r="N489">
        <v>487</v>
      </c>
      <c r="O489">
        <v>0</v>
      </c>
      <c r="P489">
        <v>0</v>
      </c>
      <c r="Q489">
        <v>0</v>
      </c>
      <c r="R489">
        <v>1</v>
      </c>
      <c r="S489">
        <v>0</v>
      </c>
      <c r="T489" s="1">
        <v>80</v>
      </c>
      <c r="U489">
        <v>487</v>
      </c>
      <c r="V489">
        <v>0</v>
      </c>
      <c r="W489">
        <v>0</v>
      </c>
      <c r="X489">
        <v>0</v>
      </c>
      <c r="Y489">
        <v>0</v>
      </c>
      <c r="Z489">
        <v>0</v>
      </c>
      <c r="AA489" s="1">
        <v>0</v>
      </c>
      <c r="AB489">
        <v>487</v>
      </c>
      <c r="AC489">
        <v>0</v>
      </c>
      <c r="AD489">
        <v>0</v>
      </c>
      <c r="AE489">
        <v>0</v>
      </c>
      <c r="AF489">
        <v>0</v>
      </c>
      <c r="AG489">
        <v>0</v>
      </c>
      <c r="AH489" s="1">
        <v>0</v>
      </c>
      <c r="AI489">
        <v>487</v>
      </c>
      <c r="AJ489">
        <v>0</v>
      </c>
      <c r="AK489">
        <v>0</v>
      </c>
      <c r="AL489">
        <v>2</v>
      </c>
      <c r="AM489">
        <v>0</v>
      </c>
      <c r="AN489">
        <v>0</v>
      </c>
      <c r="AO489" s="1">
        <v>300</v>
      </c>
    </row>
    <row r="490" spans="7:41" x14ac:dyDescent="0.35">
      <c r="G490">
        <v>488</v>
      </c>
      <c r="H490">
        <v>0</v>
      </c>
      <c r="I490">
        <v>0</v>
      </c>
      <c r="J490">
        <v>2</v>
      </c>
      <c r="K490">
        <v>1</v>
      </c>
      <c r="L490">
        <v>0</v>
      </c>
      <c r="M490" s="1">
        <v>180</v>
      </c>
      <c r="N490">
        <v>488</v>
      </c>
      <c r="O490">
        <v>0</v>
      </c>
      <c r="P490">
        <v>1</v>
      </c>
      <c r="Q490">
        <v>2</v>
      </c>
      <c r="R490">
        <v>1</v>
      </c>
      <c r="S490">
        <v>1</v>
      </c>
      <c r="T490" s="1">
        <v>400</v>
      </c>
      <c r="U490">
        <v>488</v>
      </c>
      <c r="V490">
        <v>0</v>
      </c>
      <c r="W490">
        <v>0</v>
      </c>
      <c r="X490">
        <v>0</v>
      </c>
      <c r="Y490">
        <v>0</v>
      </c>
      <c r="Z490">
        <v>0</v>
      </c>
      <c r="AA490" s="1">
        <v>0</v>
      </c>
      <c r="AB490">
        <v>488</v>
      </c>
      <c r="AC490">
        <v>0</v>
      </c>
      <c r="AD490">
        <v>0</v>
      </c>
      <c r="AE490">
        <v>0</v>
      </c>
      <c r="AF490">
        <v>0</v>
      </c>
      <c r="AG490">
        <v>0</v>
      </c>
      <c r="AH490" s="1">
        <v>0</v>
      </c>
      <c r="AI490">
        <v>488</v>
      </c>
      <c r="AJ490">
        <v>0</v>
      </c>
      <c r="AK490">
        <v>0</v>
      </c>
      <c r="AL490">
        <v>0</v>
      </c>
      <c r="AM490">
        <v>0</v>
      </c>
      <c r="AN490">
        <v>0</v>
      </c>
      <c r="AO490" s="1">
        <v>0</v>
      </c>
    </row>
    <row r="491" spans="7:41" x14ac:dyDescent="0.35">
      <c r="G491">
        <v>489</v>
      </c>
      <c r="H491">
        <v>1</v>
      </c>
      <c r="I491">
        <v>1</v>
      </c>
      <c r="J491">
        <v>0</v>
      </c>
      <c r="K491">
        <v>0</v>
      </c>
      <c r="L491">
        <v>2</v>
      </c>
      <c r="M491" s="1">
        <v>240</v>
      </c>
      <c r="N491">
        <v>489</v>
      </c>
      <c r="O491">
        <v>0</v>
      </c>
      <c r="P491">
        <v>1</v>
      </c>
      <c r="Q491">
        <v>0</v>
      </c>
      <c r="R491">
        <v>0</v>
      </c>
      <c r="S491">
        <v>0</v>
      </c>
      <c r="T491" s="1">
        <v>80</v>
      </c>
      <c r="U491">
        <v>489</v>
      </c>
      <c r="V491">
        <v>0</v>
      </c>
      <c r="W491">
        <v>0</v>
      </c>
      <c r="X491">
        <v>1</v>
      </c>
      <c r="Y491">
        <v>1</v>
      </c>
      <c r="Z491">
        <v>0</v>
      </c>
      <c r="AA491" s="1">
        <v>200</v>
      </c>
      <c r="AB491">
        <v>489</v>
      </c>
      <c r="AC491">
        <v>0</v>
      </c>
      <c r="AD491">
        <v>0</v>
      </c>
      <c r="AE491">
        <v>0</v>
      </c>
      <c r="AF491">
        <v>1</v>
      </c>
      <c r="AG491">
        <v>0</v>
      </c>
      <c r="AH491" s="1">
        <v>120</v>
      </c>
      <c r="AI491">
        <v>489</v>
      </c>
      <c r="AJ491">
        <v>0</v>
      </c>
      <c r="AK491">
        <v>0</v>
      </c>
      <c r="AL491">
        <v>0</v>
      </c>
      <c r="AM491">
        <v>0</v>
      </c>
      <c r="AN491">
        <v>0</v>
      </c>
      <c r="AO491" s="1">
        <v>0</v>
      </c>
    </row>
    <row r="492" spans="7:41" x14ac:dyDescent="0.35">
      <c r="G492">
        <v>490</v>
      </c>
      <c r="H492">
        <v>0</v>
      </c>
      <c r="I492">
        <v>2</v>
      </c>
      <c r="J492">
        <v>0</v>
      </c>
      <c r="K492">
        <v>2</v>
      </c>
      <c r="L492">
        <v>0</v>
      </c>
      <c r="M492" s="1">
        <v>240</v>
      </c>
      <c r="N492">
        <v>490</v>
      </c>
      <c r="O492">
        <v>0</v>
      </c>
      <c r="P492">
        <v>0</v>
      </c>
      <c r="Q492">
        <v>0</v>
      </c>
      <c r="R492">
        <v>0</v>
      </c>
      <c r="S492">
        <v>0</v>
      </c>
      <c r="T492" s="1">
        <v>0</v>
      </c>
      <c r="U492">
        <v>490</v>
      </c>
      <c r="V492">
        <v>0</v>
      </c>
      <c r="W492">
        <v>0</v>
      </c>
      <c r="X492">
        <v>0</v>
      </c>
      <c r="Y492">
        <v>0</v>
      </c>
      <c r="Z492">
        <v>0</v>
      </c>
      <c r="AA492" s="1">
        <v>0</v>
      </c>
      <c r="AB492">
        <v>490</v>
      </c>
      <c r="AC492">
        <v>0</v>
      </c>
      <c r="AD492">
        <v>0</v>
      </c>
      <c r="AE492">
        <v>0</v>
      </c>
      <c r="AF492">
        <v>0</v>
      </c>
      <c r="AG492">
        <v>0</v>
      </c>
      <c r="AH492" s="1">
        <v>0</v>
      </c>
      <c r="AI492">
        <v>490</v>
      </c>
      <c r="AJ492">
        <v>0</v>
      </c>
      <c r="AK492">
        <v>0</v>
      </c>
      <c r="AL492">
        <v>0</v>
      </c>
      <c r="AM492">
        <v>0</v>
      </c>
      <c r="AN492">
        <v>0</v>
      </c>
      <c r="AO492" s="1">
        <v>0</v>
      </c>
    </row>
    <row r="493" spans="7:41" x14ac:dyDescent="0.35">
      <c r="G493">
        <v>491</v>
      </c>
      <c r="H493">
        <v>0</v>
      </c>
      <c r="I493">
        <v>3</v>
      </c>
      <c r="J493">
        <v>0</v>
      </c>
      <c r="K493">
        <v>2</v>
      </c>
      <c r="L493">
        <v>1</v>
      </c>
      <c r="M493" s="1">
        <v>360</v>
      </c>
      <c r="N493">
        <v>491</v>
      </c>
      <c r="O493">
        <v>0</v>
      </c>
      <c r="P493">
        <v>0</v>
      </c>
      <c r="Q493">
        <v>2</v>
      </c>
      <c r="R493">
        <v>0</v>
      </c>
      <c r="S493">
        <v>1</v>
      </c>
      <c r="T493" s="1">
        <v>240</v>
      </c>
      <c r="U493">
        <v>491</v>
      </c>
      <c r="V493">
        <v>0</v>
      </c>
      <c r="W493">
        <v>0</v>
      </c>
      <c r="X493">
        <v>0</v>
      </c>
      <c r="Y493">
        <v>0</v>
      </c>
      <c r="Z493">
        <v>0</v>
      </c>
      <c r="AA493" s="1">
        <v>0</v>
      </c>
      <c r="AB493">
        <v>491</v>
      </c>
      <c r="AC493">
        <v>0</v>
      </c>
      <c r="AD493">
        <v>0</v>
      </c>
      <c r="AE493">
        <v>0</v>
      </c>
      <c r="AF493">
        <v>0</v>
      </c>
      <c r="AG493">
        <v>0</v>
      </c>
      <c r="AH493" s="1">
        <v>0</v>
      </c>
      <c r="AI493">
        <v>491</v>
      </c>
      <c r="AJ493">
        <v>0</v>
      </c>
      <c r="AK493">
        <v>0</v>
      </c>
      <c r="AL493">
        <v>2</v>
      </c>
      <c r="AM493">
        <v>0</v>
      </c>
      <c r="AN493">
        <v>0</v>
      </c>
      <c r="AO493" s="1">
        <v>300</v>
      </c>
    </row>
    <row r="494" spans="7:41" x14ac:dyDescent="0.35">
      <c r="G494">
        <v>492</v>
      </c>
      <c r="H494">
        <v>0</v>
      </c>
      <c r="I494">
        <v>0</v>
      </c>
      <c r="J494">
        <v>3</v>
      </c>
      <c r="K494">
        <v>1</v>
      </c>
      <c r="L494">
        <v>0</v>
      </c>
      <c r="M494" s="1">
        <v>240</v>
      </c>
      <c r="N494">
        <v>492</v>
      </c>
      <c r="O494">
        <v>0</v>
      </c>
      <c r="P494">
        <v>0</v>
      </c>
      <c r="Q494">
        <v>0</v>
      </c>
      <c r="R494">
        <v>0</v>
      </c>
      <c r="S494">
        <v>0</v>
      </c>
      <c r="T494" s="1">
        <v>0</v>
      </c>
      <c r="U494">
        <v>492</v>
      </c>
      <c r="V494">
        <v>0</v>
      </c>
      <c r="W494">
        <v>2</v>
      </c>
      <c r="X494">
        <v>0</v>
      </c>
      <c r="Y494">
        <v>0</v>
      </c>
      <c r="Z494">
        <v>0</v>
      </c>
      <c r="AA494" s="1">
        <v>200</v>
      </c>
      <c r="AB494">
        <v>492</v>
      </c>
      <c r="AC494">
        <v>0</v>
      </c>
      <c r="AD494">
        <v>0</v>
      </c>
      <c r="AE494">
        <v>0</v>
      </c>
      <c r="AF494">
        <v>0</v>
      </c>
      <c r="AG494">
        <v>0</v>
      </c>
      <c r="AH494" s="1">
        <v>0</v>
      </c>
      <c r="AI494">
        <v>492</v>
      </c>
      <c r="AJ494">
        <v>0</v>
      </c>
      <c r="AK494">
        <v>0</v>
      </c>
      <c r="AL494">
        <v>1</v>
      </c>
      <c r="AM494">
        <v>0</v>
      </c>
      <c r="AN494">
        <v>0</v>
      </c>
      <c r="AO494" s="1">
        <v>150</v>
      </c>
    </row>
    <row r="495" spans="7:41" x14ac:dyDescent="0.35">
      <c r="G495">
        <v>493</v>
      </c>
      <c r="H495">
        <v>0</v>
      </c>
      <c r="I495">
        <v>2</v>
      </c>
      <c r="J495">
        <v>1</v>
      </c>
      <c r="K495">
        <v>2</v>
      </c>
      <c r="L495">
        <v>1</v>
      </c>
      <c r="M495" s="1">
        <v>360</v>
      </c>
      <c r="N495">
        <v>493</v>
      </c>
      <c r="O495">
        <v>0</v>
      </c>
      <c r="P495">
        <v>1</v>
      </c>
      <c r="Q495">
        <v>0</v>
      </c>
      <c r="R495">
        <v>0</v>
      </c>
      <c r="S495">
        <v>1</v>
      </c>
      <c r="T495" s="1">
        <v>160</v>
      </c>
      <c r="U495">
        <v>493</v>
      </c>
      <c r="V495">
        <v>0</v>
      </c>
      <c r="W495">
        <v>1</v>
      </c>
      <c r="X495">
        <v>0</v>
      </c>
      <c r="Y495">
        <v>0</v>
      </c>
      <c r="Z495">
        <v>0</v>
      </c>
      <c r="AA495" s="1">
        <v>100</v>
      </c>
      <c r="AB495">
        <v>493</v>
      </c>
      <c r="AC495">
        <v>0</v>
      </c>
      <c r="AD495">
        <v>0</v>
      </c>
      <c r="AE495">
        <v>0</v>
      </c>
      <c r="AF495">
        <v>0</v>
      </c>
      <c r="AG495">
        <v>0</v>
      </c>
      <c r="AH495" s="1">
        <v>0</v>
      </c>
      <c r="AI495">
        <v>493</v>
      </c>
      <c r="AJ495">
        <v>0</v>
      </c>
      <c r="AK495">
        <v>0</v>
      </c>
      <c r="AL495">
        <v>0</v>
      </c>
      <c r="AM495">
        <v>0</v>
      </c>
      <c r="AN495">
        <v>0</v>
      </c>
      <c r="AO495" s="1">
        <v>0</v>
      </c>
    </row>
    <row r="496" spans="7:41" x14ac:dyDescent="0.35">
      <c r="G496">
        <v>494</v>
      </c>
      <c r="H496">
        <v>0</v>
      </c>
      <c r="I496">
        <v>0</v>
      </c>
      <c r="J496">
        <v>0</v>
      </c>
      <c r="K496">
        <v>2</v>
      </c>
      <c r="L496">
        <v>0</v>
      </c>
      <c r="M496" s="1">
        <v>120</v>
      </c>
      <c r="N496">
        <v>494</v>
      </c>
      <c r="O496">
        <v>0</v>
      </c>
      <c r="P496">
        <v>0</v>
      </c>
      <c r="Q496">
        <v>1</v>
      </c>
      <c r="R496">
        <v>1</v>
      </c>
      <c r="S496">
        <v>0</v>
      </c>
      <c r="T496" s="1">
        <v>160</v>
      </c>
      <c r="U496">
        <v>494</v>
      </c>
      <c r="V496">
        <v>0</v>
      </c>
      <c r="W496">
        <v>0</v>
      </c>
      <c r="X496">
        <v>0</v>
      </c>
      <c r="Y496">
        <v>2</v>
      </c>
      <c r="Z496">
        <v>0</v>
      </c>
      <c r="AA496" s="1">
        <v>200</v>
      </c>
      <c r="AB496">
        <v>494</v>
      </c>
      <c r="AC496">
        <v>0</v>
      </c>
      <c r="AD496">
        <v>0</v>
      </c>
      <c r="AE496">
        <v>0</v>
      </c>
      <c r="AF496">
        <v>0</v>
      </c>
      <c r="AG496">
        <v>0</v>
      </c>
      <c r="AH496" s="1">
        <v>0</v>
      </c>
      <c r="AI496">
        <v>494</v>
      </c>
      <c r="AJ496">
        <v>0</v>
      </c>
      <c r="AK496">
        <v>0</v>
      </c>
      <c r="AL496">
        <v>1</v>
      </c>
      <c r="AM496">
        <v>0</v>
      </c>
      <c r="AN496">
        <v>0</v>
      </c>
      <c r="AO496" s="1">
        <v>150</v>
      </c>
    </row>
    <row r="497" spans="7:41" x14ac:dyDescent="0.35">
      <c r="G497">
        <v>495</v>
      </c>
      <c r="H497">
        <v>0</v>
      </c>
      <c r="I497">
        <v>0</v>
      </c>
      <c r="J497">
        <v>2</v>
      </c>
      <c r="K497">
        <v>4</v>
      </c>
      <c r="L497">
        <v>2</v>
      </c>
      <c r="M497" s="1">
        <v>480</v>
      </c>
      <c r="N497">
        <v>495</v>
      </c>
      <c r="O497">
        <v>0</v>
      </c>
      <c r="P497">
        <v>0</v>
      </c>
      <c r="Q497">
        <v>0</v>
      </c>
      <c r="R497">
        <v>0</v>
      </c>
      <c r="S497">
        <v>2</v>
      </c>
      <c r="T497" s="1">
        <v>160</v>
      </c>
      <c r="U497">
        <v>495</v>
      </c>
      <c r="V497">
        <v>0</v>
      </c>
      <c r="W497">
        <v>0</v>
      </c>
      <c r="X497">
        <v>0</v>
      </c>
      <c r="Y497">
        <v>0</v>
      </c>
      <c r="Z497">
        <v>0</v>
      </c>
      <c r="AA497" s="1">
        <v>0</v>
      </c>
      <c r="AB497">
        <v>495</v>
      </c>
      <c r="AC497">
        <v>0</v>
      </c>
      <c r="AD497">
        <v>1</v>
      </c>
      <c r="AE497">
        <v>0</v>
      </c>
      <c r="AF497">
        <v>0</v>
      </c>
      <c r="AG497">
        <v>0</v>
      </c>
      <c r="AH497" s="1">
        <v>120</v>
      </c>
      <c r="AI497">
        <v>495</v>
      </c>
      <c r="AJ497">
        <v>0</v>
      </c>
      <c r="AK497">
        <v>0</v>
      </c>
      <c r="AL497">
        <v>0</v>
      </c>
      <c r="AM497">
        <v>0</v>
      </c>
      <c r="AN497">
        <v>0</v>
      </c>
      <c r="AO497" s="1">
        <v>0</v>
      </c>
    </row>
    <row r="498" spans="7:41" x14ac:dyDescent="0.35">
      <c r="G498">
        <v>496</v>
      </c>
      <c r="H498">
        <v>0</v>
      </c>
      <c r="I498">
        <v>1</v>
      </c>
      <c r="J498">
        <v>1</v>
      </c>
      <c r="K498">
        <v>1</v>
      </c>
      <c r="L498">
        <v>1</v>
      </c>
      <c r="M498" s="1">
        <v>240</v>
      </c>
      <c r="N498">
        <v>496</v>
      </c>
      <c r="O498">
        <v>0</v>
      </c>
      <c r="P498">
        <v>0</v>
      </c>
      <c r="Q498">
        <v>0</v>
      </c>
      <c r="R498">
        <v>0</v>
      </c>
      <c r="S498">
        <v>1</v>
      </c>
      <c r="T498" s="1">
        <v>80</v>
      </c>
      <c r="U498">
        <v>496</v>
      </c>
      <c r="V498">
        <v>0</v>
      </c>
      <c r="W498">
        <v>3</v>
      </c>
      <c r="X498">
        <v>1</v>
      </c>
      <c r="Y498">
        <v>0</v>
      </c>
      <c r="Z498">
        <v>0</v>
      </c>
      <c r="AA498" s="1">
        <v>400</v>
      </c>
      <c r="AB498">
        <v>496</v>
      </c>
      <c r="AC498">
        <v>0</v>
      </c>
      <c r="AD498">
        <v>0</v>
      </c>
      <c r="AE498">
        <v>0</v>
      </c>
      <c r="AF498">
        <v>0</v>
      </c>
      <c r="AG498">
        <v>1</v>
      </c>
      <c r="AH498" s="1">
        <v>120</v>
      </c>
      <c r="AI498">
        <v>496</v>
      </c>
      <c r="AJ498">
        <v>0</v>
      </c>
      <c r="AK498">
        <v>0</v>
      </c>
      <c r="AL498">
        <v>0</v>
      </c>
      <c r="AM498">
        <v>0</v>
      </c>
      <c r="AN498">
        <v>0</v>
      </c>
      <c r="AO498" s="1">
        <v>0</v>
      </c>
    </row>
    <row r="499" spans="7:41" x14ac:dyDescent="0.35">
      <c r="G499">
        <v>497</v>
      </c>
      <c r="H499">
        <v>1</v>
      </c>
      <c r="I499">
        <v>1</v>
      </c>
      <c r="J499">
        <v>1</v>
      </c>
      <c r="K499">
        <v>0</v>
      </c>
      <c r="L499">
        <v>4</v>
      </c>
      <c r="M499" s="1">
        <v>420</v>
      </c>
      <c r="N499">
        <v>497</v>
      </c>
      <c r="O499">
        <v>0</v>
      </c>
      <c r="P499">
        <v>0</v>
      </c>
      <c r="Q499">
        <v>0</v>
      </c>
      <c r="R499">
        <v>1</v>
      </c>
      <c r="S499">
        <v>1</v>
      </c>
      <c r="T499" s="1">
        <v>160</v>
      </c>
      <c r="U499">
        <v>497</v>
      </c>
      <c r="V499">
        <v>0</v>
      </c>
      <c r="W499">
        <v>3</v>
      </c>
      <c r="X499">
        <v>0</v>
      </c>
      <c r="Y499">
        <v>0</v>
      </c>
      <c r="Z499">
        <v>0</v>
      </c>
      <c r="AA499" s="1">
        <v>300</v>
      </c>
      <c r="AB499">
        <v>497</v>
      </c>
      <c r="AC499">
        <v>0</v>
      </c>
      <c r="AD499">
        <v>1</v>
      </c>
      <c r="AE499">
        <v>0</v>
      </c>
      <c r="AF499">
        <v>0</v>
      </c>
      <c r="AG499">
        <v>1</v>
      </c>
      <c r="AH499" s="1">
        <v>240</v>
      </c>
      <c r="AI499">
        <v>497</v>
      </c>
      <c r="AJ499">
        <v>0</v>
      </c>
      <c r="AK499">
        <v>0</v>
      </c>
      <c r="AL499">
        <v>0</v>
      </c>
      <c r="AM499">
        <v>0</v>
      </c>
      <c r="AN499">
        <v>0</v>
      </c>
      <c r="AO499" s="1">
        <v>0</v>
      </c>
    </row>
    <row r="500" spans="7:41" x14ac:dyDescent="0.35">
      <c r="G500">
        <v>498</v>
      </c>
      <c r="H500">
        <v>1</v>
      </c>
      <c r="I500">
        <v>0</v>
      </c>
      <c r="J500">
        <v>1</v>
      </c>
      <c r="K500">
        <v>0</v>
      </c>
      <c r="L500">
        <v>1</v>
      </c>
      <c r="M500" s="1">
        <v>180</v>
      </c>
      <c r="N500">
        <v>498</v>
      </c>
      <c r="O500">
        <v>0</v>
      </c>
      <c r="P500">
        <v>0</v>
      </c>
      <c r="Q500">
        <v>0</v>
      </c>
      <c r="R500">
        <v>0</v>
      </c>
      <c r="S500">
        <v>2</v>
      </c>
      <c r="T500" s="1">
        <v>160</v>
      </c>
      <c r="U500">
        <v>498</v>
      </c>
      <c r="V500">
        <v>0</v>
      </c>
      <c r="W500">
        <v>0</v>
      </c>
      <c r="X500">
        <v>0</v>
      </c>
      <c r="Y500">
        <v>0</v>
      </c>
      <c r="Z500">
        <v>0</v>
      </c>
      <c r="AA500" s="1">
        <v>0</v>
      </c>
      <c r="AB500">
        <v>498</v>
      </c>
      <c r="AC500">
        <v>0</v>
      </c>
      <c r="AD500">
        <v>0</v>
      </c>
      <c r="AE500">
        <v>0</v>
      </c>
      <c r="AF500">
        <v>0</v>
      </c>
      <c r="AG500">
        <v>0</v>
      </c>
      <c r="AH500" s="1">
        <v>0</v>
      </c>
      <c r="AI500">
        <v>498</v>
      </c>
      <c r="AJ500">
        <v>0</v>
      </c>
      <c r="AK500">
        <v>0</v>
      </c>
      <c r="AL500">
        <v>2</v>
      </c>
      <c r="AM500">
        <v>0</v>
      </c>
      <c r="AN500">
        <v>0</v>
      </c>
      <c r="AO500" s="1">
        <v>300</v>
      </c>
    </row>
    <row r="501" spans="7:41" x14ac:dyDescent="0.35">
      <c r="G501">
        <v>499</v>
      </c>
      <c r="H501">
        <v>2</v>
      </c>
      <c r="I501">
        <v>1</v>
      </c>
      <c r="J501">
        <v>0</v>
      </c>
      <c r="K501">
        <v>2</v>
      </c>
      <c r="L501">
        <v>0</v>
      </c>
      <c r="M501" s="1">
        <v>300</v>
      </c>
      <c r="N501">
        <v>499</v>
      </c>
      <c r="O501">
        <v>0</v>
      </c>
      <c r="P501">
        <v>0</v>
      </c>
      <c r="Q501">
        <v>0</v>
      </c>
      <c r="R501">
        <v>0</v>
      </c>
      <c r="S501">
        <v>1</v>
      </c>
      <c r="T501" s="1">
        <v>80</v>
      </c>
      <c r="U501">
        <v>499</v>
      </c>
      <c r="V501">
        <v>0</v>
      </c>
      <c r="W501">
        <v>0</v>
      </c>
      <c r="X501">
        <v>0</v>
      </c>
      <c r="Y501">
        <v>0</v>
      </c>
      <c r="Z501">
        <v>0</v>
      </c>
      <c r="AA501" s="1">
        <v>0</v>
      </c>
      <c r="AB501">
        <v>499</v>
      </c>
      <c r="AC501">
        <v>0</v>
      </c>
      <c r="AD501">
        <v>0</v>
      </c>
      <c r="AE501">
        <v>0</v>
      </c>
      <c r="AF501">
        <v>0</v>
      </c>
      <c r="AG501">
        <v>0</v>
      </c>
      <c r="AH501" s="1">
        <v>0</v>
      </c>
      <c r="AI501">
        <v>499</v>
      </c>
      <c r="AJ501">
        <v>0</v>
      </c>
      <c r="AK501">
        <v>0</v>
      </c>
      <c r="AL501">
        <v>0</v>
      </c>
      <c r="AM501">
        <v>0</v>
      </c>
      <c r="AN501">
        <v>0</v>
      </c>
      <c r="AO501" s="1">
        <v>0</v>
      </c>
    </row>
    <row r="502" spans="7:41" x14ac:dyDescent="0.35">
      <c r="G502">
        <v>500</v>
      </c>
      <c r="H502">
        <v>4</v>
      </c>
      <c r="I502">
        <v>0</v>
      </c>
      <c r="J502">
        <v>2</v>
      </c>
      <c r="K502">
        <v>4</v>
      </c>
      <c r="L502">
        <v>2</v>
      </c>
      <c r="M502" s="1">
        <v>720</v>
      </c>
      <c r="N502">
        <v>500</v>
      </c>
      <c r="O502">
        <v>0</v>
      </c>
      <c r="P502">
        <v>0</v>
      </c>
      <c r="Q502">
        <v>0</v>
      </c>
      <c r="R502">
        <v>0</v>
      </c>
      <c r="S502">
        <v>1</v>
      </c>
      <c r="T502" s="1">
        <v>80</v>
      </c>
      <c r="U502">
        <v>500</v>
      </c>
      <c r="V502">
        <v>1</v>
      </c>
      <c r="W502">
        <v>0</v>
      </c>
      <c r="X502">
        <v>0</v>
      </c>
      <c r="Y502">
        <v>0</v>
      </c>
      <c r="Z502">
        <v>0</v>
      </c>
      <c r="AA502" s="1">
        <v>100</v>
      </c>
      <c r="AB502">
        <v>500</v>
      </c>
      <c r="AC502">
        <v>0</v>
      </c>
      <c r="AD502">
        <v>0</v>
      </c>
      <c r="AE502">
        <v>0</v>
      </c>
      <c r="AF502">
        <v>0</v>
      </c>
      <c r="AG502">
        <v>0</v>
      </c>
      <c r="AH502" s="1">
        <v>0</v>
      </c>
      <c r="AI502">
        <v>500</v>
      </c>
      <c r="AJ502">
        <v>0</v>
      </c>
      <c r="AK502">
        <v>0</v>
      </c>
      <c r="AL502">
        <v>0</v>
      </c>
      <c r="AM502">
        <v>0</v>
      </c>
      <c r="AN502">
        <v>0</v>
      </c>
      <c r="AO502" s="1">
        <v>0</v>
      </c>
    </row>
    <row r="503" spans="7:41" x14ac:dyDescent="0.35">
      <c r="G503">
        <v>501</v>
      </c>
      <c r="H503">
        <v>0</v>
      </c>
      <c r="I503">
        <v>1</v>
      </c>
      <c r="J503">
        <v>1</v>
      </c>
      <c r="K503">
        <v>0</v>
      </c>
      <c r="L503">
        <v>3</v>
      </c>
      <c r="M503" s="1">
        <v>300</v>
      </c>
      <c r="N503">
        <v>501</v>
      </c>
      <c r="O503">
        <v>0</v>
      </c>
      <c r="P503">
        <v>0</v>
      </c>
      <c r="Q503">
        <v>0</v>
      </c>
      <c r="R503">
        <v>0</v>
      </c>
      <c r="S503">
        <v>0</v>
      </c>
      <c r="T503" s="1">
        <v>0</v>
      </c>
      <c r="U503">
        <v>501</v>
      </c>
      <c r="V503">
        <v>0</v>
      </c>
      <c r="W503">
        <v>1</v>
      </c>
      <c r="X503">
        <v>0</v>
      </c>
      <c r="Y503">
        <v>0</v>
      </c>
      <c r="Z503">
        <v>0</v>
      </c>
      <c r="AA503" s="1">
        <v>100</v>
      </c>
      <c r="AB503">
        <v>501</v>
      </c>
      <c r="AC503">
        <v>0</v>
      </c>
      <c r="AD503">
        <v>0</v>
      </c>
      <c r="AE503">
        <v>0</v>
      </c>
      <c r="AF503">
        <v>0</v>
      </c>
      <c r="AG503">
        <v>0</v>
      </c>
      <c r="AH503" s="1">
        <v>0</v>
      </c>
      <c r="AI503">
        <v>501</v>
      </c>
      <c r="AJ503">
        <v>0</v>
      </c>
      <c r="AK503">
        <v>0</v>
      </c>
      <c r="AL503">
        <v>1</v>
      </c>
      <c r="AM503">
        <v>0</v>
      </c>
      <c r="AN503">
        <v>0</v>
      </c>
      <c r="AO503" s="1">
        <v>150</v>
      </c>
    </row>
    <row r="504" spans="7:41" x14ac:dyDescent="0.35">
      <c r="G504">
        <v>502</v>
      </c>
      <c r="H504">
        <v>0</v>
      </c>
      <c r="I504">
        <v>1</v>
      </c>
      <c r="J504">
        <v>0</v>
      </c>
      <c r="K504">
        <v>1</v>
      </c>
      <c r="L504">
        <v>2</v>
      </c>
      <c r="M504" s="1">
        <v>240</v>
      </c>
      <c r="N504">
        <v>502</v>
      </c>
      <c r="O504">
        <v>0</v>
      </c>
      <c r="P504">
        <v>0</v>
      </c>
      <c r="Q504">
        <v>1</v>
      </c>
      <c r="R504">
        <v>0</v>
      </c>
      <c r="S504">
        <v>0</v>
      </c>
      <c r="T504" s="1">
        <v>80</v>
      </c>
      <c r="U504">
        <v>502</v>
      </c>
      <c r="V504">
        <v>0</v>
      </c>
      <c r="W504">
        <v>0</v>
      </c>
      <c r="X504">
        <v>0</v>
      </c>
      <c r="Y504">
        <v>0</v>
      </c>
      <c r="Z504">
        <v>0</v>
      </c>
      <c r="AA504" s="1">
        <v>0</v>
      </c>
      <c r="AB504">
        <v>502</v>
      </c>
      <c r="AC504">
        <v>0</v>
      </c>
      <c r="AD504">
        <v>0</v>
      </c>
      <c r="AE504">
        <v>0</v>
      </c>
      <c r="AF504">
        <v>0</v>
      </c>
      <c r="AG504">
        <v>0</v>
      </c>
      <c r="AH504" s="1">
        <v>0</v>
      </c>
      <c r="AI504">
        <v>502</v>
      </c>
      <c r="AJ504">
        <v>0</v>
      </c>
      <c r="AK504">
        <v>0</v>
      </c>
      <c r="AL504">
        <v>0</v>
      </c>
      <c r="AM504">
        <v>0</v>
      </c>
      <c r="AN504">
        <v>0</v>
      </c>
      <c r="AO504" s="1">
        <v>0</v>
      </c>
    </row>
    <row r="505" spans="7:41" x14ac:dyDescent="0.35">
      <c r="G505">
        <v>503</v>
      </c>
      <c r="H505">
        <v>0</v>
      </c>
      <c r="I505">
        <v>0</v>
      </c>
      <c r="J505">
        <v>0</v>
      </c>
      <c r="K505">
        <v>0</v>
      </c>
      <c r="L505">
        <v>1</v>
      </c>
      <c r="M505" s="1">
        <v>60</v>
      </c>
      <c r="N505">
        <v>503</v>
      </c>
      <c r="O505">
        <v>0</v>
      </c>
      <c r="P505">
        <v>1</v>
      </c>
      <c r="Q505">
        <v>1</v>
      </c>
      <c r="R505">
        <v>0</v>
      </c>
      <c r="S505">
        <v>0</v>
      </c>
      <c r="T505" s="1">
        <v>160</v>
      </c>
      <c r="U505">
        <v>503</v>
      </c>
      <c r="V505">
        <v>0</v>
      </c>
      <c r="W505">
        <v>1</v>
      </c>
      <c r="X505">
        <v>0</v>
      </c>
      <c r="Y505">
        <v>0</v>
      </c>
      <c r="Z505">
        <v>0</v>
      </c>
      <c r="AA505" s="1">
        <v>100</v>
      </c>
      <c r="AB505">
        <v>503</v>
      </c>
      <c r="AC505">
        <v>0</v>
      </c>
      <c r="AD505">
        <v>0</v>
      </c>
      <c r="AE505">
        <v>1</v>
      </c>
      <c r="AF505">
        <v>0</v>
      </c>
      <c r="AG505">
        <v>0</v>
      </c>
      <c r="AH505" s="1">
        <v>120</v>
      </c>
      <c r="AI505">
        <v>503</v>
      </c>
      <c r="AJ505">
        <v>0</v>
      </c>
      <c r="AK505">
        <v>0</v>
      </c>
      <c r="AL505">
        <v>2</v>
      </c>
      <c r="AM505">
        <v>0</v>
      </c>
      <c r="AN505">
        <v>0</v>
      </c>
      <c r="AO505" s="1">
        <v>300</v>
      </c>
    </row>
    <row r="506" spans="7:41" x14ac:dyDescent="0.35">
      <c r="G506">
        <v>504</v>
      </c>
      <c r="H506">
        <v>1</v>
      </c>
      <c r="I506">
        <v>2</v>
      </c>
      <c r="J506">
        <v>0</v>
      </c>
      <c r="K506">
        <v>0</v>
      </c>
      <c r="L506">
        <v>2</v>
      </c>
      <c r="M506" s="1">
        <v>300</v>
      </c>
      <c r="N506">
        <v>504</v>
      </c>
      <c r="O506">
        <v>0</v>
      </c>
      <c r="P506">
        <v>0</v>
      </c>
      <c r="Q506">
        <v>0</v>
      </c>
      <c r="R506">
        <v>1</v>
      </c>
      <c r="S506">
        <v>0</v>
      </c>
      <c r="T506" s="1">
        <v>80</v>
      </c>
      <c r="U506">
        <v>504</v>
      </c>
      <c r="V506">
        <v>0</v>
      </c>
      <c r="W506">
        <v>0</v>
      </c>
      <c r="X506">
        <v>0</v>
      </c>
      <c r="Y506">
        <v>0</v>
      </c>
      <c r="Z506">
        <v>0</v>
      </c>
      <c r="AA506" s="1">
        <v>0</v>
      </c>
      <c r="AB506">
        <v>504</v>
      </c>
      <c r="AC506">
        <v>0</v>
      </c>
      <c r="AD506">
        <v>0</v>
      </c>
      <c r="AE506">
        <v>0</v>
      </c>
      <c r="AF506">
        <v>0</v>
      </c>
      <c r="AG506">
        <v>0</v>
      </c>
      <c r="AH506" s="1">
        <v>0</v>
      </c>
      <c r="AI506">
        <v>504</v>
      </c>
      <c r="AJ506">
        <v>0</v>
      </c>
      <c r="AK506">
        <v>0</v>
      </c>
      <c r="AL506">
        <v>0</v>
      </c>
      <c r="AM506">
        <v>0</v>
      </c>
      <c r="AN506">
        <v>0</v>
      </c>
      <c r="AO506" s="1">
        <v>0</v>
      </c>
    </row>
    <row r="507" spans="7:41" x14ac:dyDescent="0.35">
      <c r="G507">
        <v>505</v>
      </c>
      <c r="H507">
        <v>1</v>
      </c>
      <c r="I507">
        <v>0</v>
      </c>
      <c r="J507">
        <v>0</v>
      </c>
      <c r="K507">
        <v>2</v>
      </c>
      <c r="L507">
        <v>2</v>
      </c>
      <c r="M507" s="1">
        <v>300</v>
      </c>
      <c r="N507">
        <v>505</v>
      </c>
      <c r="O507">
        <v>0</v>
      </c>
      <c r="P507">
        <v>0</v>
      </c>
      <c r="Q507">
        <v>0</v>
      </c>
      <c r="R507">
        <v>3</v>
      </c>
      <c r="S507">
        <v>0</v>
      </c>
      <c r="T507" s="1">
        <v>240</v>
      </c>
      <c r="U507">
        <v>505</v>
      </c>
      <c r="V507">
        <v>0</v>
      </c>
      <c r="W507">
        <v>0</v>
      </c>
      <c r="X507">
        <v>0</v>
      </c>
      <c r="Y507">
        <v>0</v>
      </c>
      <c r="Z507">
        <v>0</v>
      </c>
      <c r="AA507" s="1">
        <v>0</v>
      </c>
      <c r="AB507">
        <v>505</v>
      </c>
      <c r="AC507">
        <v>0</v>
      </c>
      <c r="AD507">
        <v>0</v>
      </c>
      <c r="AE507">
        <v>0</v>
      </c>
      <c r="AF507">
        <v>0</v>
      </c>
      <c r="AG507">
        <v>0</v>
      </c>
      <c r="AH507" s="1">
        <v>0</v>
      </c>
      <c r="AI507">
        <v>505</v>
      </c>
      <c r="AJ507">
        <v>0</v>
      </c>
      <c r="AK507">
        <v>0</v>
      </c>
      <c r="AL507">
        <v>0</v>
      </c>
      <c r="AM507">
        <v>0</v>
      </c>
      <c r="AN507">
        <v>0</v>
      </c>
      <c r="AO507" s="1">
        <v>0</v>
      </c>
    </row>
    <row r="508" spans="7:41" x14ac:dyDescent="0.35">
      <c r="G508">
        <v>506</v>
      </c>
      <c r="H508">
        <v>0</v>
      </c>
      <c r="I508">
        <v>2</v>
      </c>
      <c r="J508">
        <v>3</v>
      </c>
      <c r="K508">
        <v>0</v>
      </c>
      <c r="L508">
        <v>0</v>
      </c>
      <c r="M508" s="1">
        <v>300</v>
      </c>
      <c r="N508">
        <v>506</v>
      </c>
      <c r="O508">
        <v>0</v>
      </c>
      <c r="P508">
        <v>2</v>
      </c>
      <c r="Q508">
        <v>0</v>
      </c>
      <c r="R508">
        <v>0</v>
      </c>
      <c r="S508">
        <v>0</v>
      </c>
      <c r="T508" s="1">
        <v>160</v>
      </c>
      <c r="U508">
        <v>506</v>
      </c>
      <c r="V508">
        <v>0</v>
      </c>
      <c r="W508">
        <v>0</v>
      </c>
      <c r="X508">
        <v>0</v>
      </c>
      <c r="Y508">
        <v>0</v>
      </c>
      <c r="Z508">
        <v>1</v>
      </c>
      <c r="AA508" s="1">
        <v>100</v>
      </c>
      <c r="AB508">
        <v>506</v>
      </c>
      <c r="AC508">
        <v>0</v>
      </c>
      <c r="AD508">
        <v>0</v>
      </c>
      <c r="AE508">
        <v>0</v>
      </c>
      <c r="AF508">
        <v>0</v>
      </c>
      <c r="AG508">
        <v>0</v>
      </c>
      <c r="AH508" s="1">
        <v>0</v>
      </c>
      <c r="AI508">
        <v>506</v>
      </c>
      <c r="AJ508">
        <v>0</v>
      </c>
      <c r="AK508">
        <v>0</v>
      </c>
      <c r="AL508">
        <v>1</v>
      </c>
      <c r="AM508">
        <v>0</v>
      </c>
      <c r="AN508">
        <v>0</v>
      </c>
      <c r="AO508" s="1">
        <v>150</v>
      </c>
    </row>
    <row r="509" spans="7:41" x14ac:dyDescent="0.35">
      <c r="G509">
        <v>507</v>
      </c>
      <c r="H509">
        <v>0</v>
      </c>
      <c r="I509">
        <v>0</v>
      </c>
      <c r="J509">
        <v>0</v>
      </c>
      <c r="K509">
        <v>2</v>
      </c>
      <c r="L509">
        <v>0</v>
      </c>
      <c r="M509" s="1">
        <v>120</v>
      </c>
      <c r="N509">
        <v>507</v>
      </c>
      <c r="O509">
        <v>0</v>
      </c>
      <c r="P509">
        <v>0</v>
      </c>
      <c r="Q509">
        <v>0</v>
      </c>
      <c r="R509">
        <v>1</v>
      </c>
      <c r="S509">
        <v>1</v>
      </c>
      <c r="T509" s="1">
        <v>160</v>
      </c>
      <c r="U509">
        <v>507</v>
      </c>
      <c r="V509">
        <v>0</v>
      </c>
      <c r="W509">
        <v>0</v>
      </c>
      <c r="X509">
        <v>0</v>
      </c>
      <c r="Y509">
        <v>0</v>
      </c>
      <c r="Z509">
        <v>1</v>
      </c>
      <c r="AA509" s="1">
        <v>100</v>
      </c>
      <c r="AB509">
        <v>507</v>
      </c>
      <c r="AC509">
        <v>0</v>
      </c>
      <c r="AD509">
        <v>0</v>
      </c>
      <c r="AE509">
        <v>0</v>
      </c>
      <c r="AF509">
        <v>0</v>
      </c>
      <c r="AG509">
        <v>1</v>
      </c>
      <c r="AH509" s="1">
        <v>120</v>
      </c>
      <c r="AI509">
        <v>507</v>
      </c>
      <c r="AJ509">
        <v>0</v>
      </c>
      <c r="AK509">
        <v>0</v>
      </c>
      <c r="AL509">
        <v>0</v>
      </c>
      <c r="AM509">
        <v>0</v>
      </c>
      <c r="AN509">
        <v>0</v>
      </c>
      <c r="AO509" s="1">
        <v>0</v>
      </c>
    </row>
    <row r="510" spans="7:41" x14ac:dyDescent="0.35">
      <c r="G510">
        <v>508</v>
      </c>
      <c r="H510">
        <v>1</v>
      </c>
      <c r="I510">
        <v>0</v>
      </c>
      <c r="J510">
        <v>1</v>
      </c>
      <c r="K510">
        <v>0</v>
      </c>
      <c r="L510">
        <v>0</v>
      </c>
      <c r="M510" s="1">
        <v>120</v>
      </c>
      <c r="N510">
        <v>508</v>
      </c>
      <c r="O510">
        <v>1</v>
      </c>
      <c r="P510">
        <v>0</v>
      </c>
      <c r="Q510">
        <v>0</v>
      </c>
      <c r="R510">
        <v>0</v>
      </c>
      <c r="S510">
        <v>0</v>
      </c>
      <c r="T510" s="1">
        <v>80</v>
      </c>
      <c r="U510">
        <v>508</v>
      </c>
      <c r="V510">
        <v>0</v>
      </c>
      <c r="W510">
        <v>1</v>
      </c>
      <c r="X510">
        <v>0</v>
      </c>
      <c r="Y510">
        <v>0</v>
      </c>
      <c r="Z510">
        <v>0</v>
      </c>
      <c r="AA510" s="1">
        <v>100</v>
      </c>
      <c r="AB510">
        <v>508</v>
      </c>
      <c r="AC510">
        <v>0</v>
      </c>
      <c r="AD510">
        <v>0</v>
      </c>
      <c r="AE510">
        <v>0</v>
      </c>
      <c r="AF510">
        <v>0</v>
      </c>
      <c r="AG510">
        <v>1</v>
      </c>
      <c r="AH510" s="1">
        <v>120</v>
      </c>
      <c r="AI510">
        <v>508</v>
      </c>
      <c r="AJ510">
        <v>0</v>
      </c>
      <c r="AK510">
        <v>0</v>
      </c>
      <c r="AL510">
        <v>0</v>
      </c>
      <c r="AM510">
        <v>0</v>
      </c>
      <c r="AN510">
        <v>0</v>
      </c>
      <c r="AO510" s="1">
        <v>0</v>
      </c>
    </row>
    <row r="511" spans="7:41" x14ac:dyDescent="0.35">
      <c r="G511">
        <v>509</v>
      </c>
      <c r="H511">
        <v>1</v>
      </c>
      <c r="I511">
        <v>0</v>
      </c>
      <c r="J511">
        <v>1</v>
      </c>
      <c r="K511">
        <v>1</v>
      </c>
      <c r="L511">
        <v>2</v>
      </c>
      <c r="M511" s="1">
        <v>300</v>
      </c>
      <c r="N511">
        <v>509</v>
      </c>
      <c r="O511">
        <v>0</v>
      </c>
      <c r="P511">
        <v>0</v>
      </c>
      <c r="Q511">
        <v>0</v>
      </c>
      <c r="R511">
        <v>0</v>
      </c>
      <c r="S511">
        <v>2</v>
      </c>
      <c r="T511" s="1">
        <v>160</v>
      </c>
      <c r="U511">
        <v>509</v>
      </c>
      <c r="V511">
        <v>0</v>
      </c>
      <c r="W511">
        <v>1</v>
      </c>
      <c r="X511">
        <v>0</v>
      </c>
      <c r="Y511">
        <v>0</v>
      </c>
      <c r="Z511">
        <v>0</v>
      </c>
      <c r="AA511" s="1">
        <v>100</v>
      </c>
      <c r="AB511">
        <v>509</v>
      </c>
      <c r="AC511">
        <v>0</v>
      </c>
      <c r="AD511">
        <v>0</v>
      </c>
      <c r="AE511">
        <v>0</v>
      </c>
      <c r="AF511">
        <v>0</v>
      </c>
      <c r="AG511">
        <v>1</v>
      </c>
      <c r="AH511" s="1">
        <v>120</v>
      </c>
      <c r="AI511">
        <v>509</v>
      </c>
      <c r="AJ511">
        <v>0</v>
      </c>
      <c r="AK511">
        <v>0</v>
      </c>
      <c r="AL511">
        <v>1</v>
      </c>
      <c r="AM511">
        <v>0</v>
      </c>
      <c r="AN511">
        <v>0</v>
      </c>
      <c r="AO511" s="1">
        <v>150</v>
      </c>
    </row>
    <row r="512" spans="7:41" x14ac:dyDescent="0.35">
      <c r="G512">
        <v>510</v>
      </c>
      <c r="H512">
        <v>0</v>
      </c>
      <c r="I512">
        <v>0</v>
      </c>
      <c r="J512">
        <v>1</v>
      </c>
      <c r="K512">
        <v>2</v>
      </c>
      <c r="L512">
        <v>1</v>
      </c>
      <c r="M512" s="1">
        <v>240</v>
      </c>
      <c r="N512">
        <v>510</v>
      </c>
      <c r="O512">
        <v>1</v>
      </c>
      <c r="P512">
        <v>0</v>
      </c>
      <c r="Q512">
        <v>0</v>
      </c>
      <c r="R512">
        <v>0</v>
      </c>
      <c r="S512">
        <v>0</v>
      </c>
      <c r="T512" s="1">
        <v>80</v>
      </c>
      <c r="U512">
        <v>510</v>
      </c>
      <c r="V512">
        <v>0</v>
      </c>
      <c r="W512">
        <v>1</v>
      </c>
      <c r="X512">
        <v>0</v>
      </c>
      <c r="Y512">
        <v>0</v>
      </c>
      <c r="Z512">
        <v>0</v>
      </c>
      <c r="AA512" s="1">
        <v>100</v>
      </c>
      <c r="AB512">
        <v>510</v>
      </c>
      <c r="AC512">
        <v>0</v>
      </c>
      <c r="AD512">
        <v>0</v>
      </c>
      <c r="AE512">
        <v>0</v>
      </c>
      <c r="AF512">
        <v>0</v>
      </c>
      <c r="AG512">
        <v>0</v>
      </c>
      <c r="AH512" s="1">
        <v>0</v>
      </c>
      <c r="AI512">
        <v>510</v>
      </c>
      <c r="AJ512">
        <v>0</v>
      </c>
      <c r="AK512">
        <v>0</v>
      </c>
      <c r="AL512">
        <v>1</v>
      </c>
      <c r="AM512">
        <v>0</v>
      </c>
      <c r="AN512">
        <v>0</v>
      </c>
      <c r="AO512" s="1">
        <v>150</v>
      </c>
    </row>
    <row r="513" spans="7:41" x14ac:dyDescent="0.35">
      <c r="G513">
        <v>511</v>
      </c>
      <c r="H513">
        <v>2</v>
      </c>
      <c r="I513">
        <v>1</v>
      </c>
      <c r="J513">
        <v>2</v>
      </c>
      <c r="K513">
        <v>3</v>
      </c>
      <c r="L513">
        <v>2</v>
      </c>
      <c r="M513" s="1">
        <v>600</v>
      </c>
      <c r="N513">
        <v>511</v>
      </c>
      <c r="O513">
        <v>0</v>
      </c>
      <c r="P513">
        <v>1</v>
      </c>
      <c r="Q513">
        <v>1</v>
      </c>
      <c r="R513">
        <v>2</v>
      </c>
      <c r="S513">
        <v>1</v>
      </c>
      <c r="T513" s="1">
        <v>400</v>
      </c>
      <c r="U513">
        <v>511</v>
      </c>
      <c r="V513">
        <v>0</v>
      </c>
      <c r="W513">
        <v>0</v>
      </c>
      <c r="X513">
        <v>0</v>
      </c>
      <c r="Y513">
        <v>0</v>
      </c>
      <c r="Z513">
        <v>0</v>
      </c>
      <c r="AA513" s="1">
        <v>0</v>
      </c>
      <c r="AB513">
        <v>511</v>
      </c>
      <c r="AC513">
        <v>0</v>
      </c>
      <c r="AD513">
        <v>0</v>
      </c>
      <c r="AE513">
        <v>1</v>
      </c>
      <c r="AF513">
        <v>0</v>
      </c>
      <c r="AG513">
        <v>0</v>
      </c>
      <c r="AH513" s="1">
        <v>120</v>
      </c>
      <c r="AI513">
        <v>511</v>
      </c>
      <c r="AJ513">
        <v>0</v>
      </c>
      <c r="AK513">
        <v>0</v>
      </c>
      <c r="AL513">
        <v>0</v>
      </c>
      <c r="AM513">
        <v>0</v>
      </c>
      <c r="AN513">
        <v>0</v>
      </c>
      <c r="AO513" s="1">
        <v>0</v>
      </c>
    </row>
    <row r="514" spans="7:41" x14ac:dyDescent="0.35">
      <c r="G514">
        <v>512</v>
      </c>
      <c r="H514">
        <v>1</v>
      </c>
      <c r="I514">
        <v>0</v>
      </c>
      <c r="J514">
        <v>1</v>
      </c>
      <c r="K514">
        <v>1</v>
      </c>
      <c r="L514">
        <v>2</v>
      </c>
      <c r="M514" s="1">
        <v>300</v>
      </c>
      <c r="N514">
        <v>512</v>
      </c>
      <c r="O514">
        <v>0</v>
      </c>
      <c r="P514">
        <v>0</v>
      </c>
      <c r="Q514">
        <v>1</v>
      </c>
      <c r="R514">
        <v>0</v>
      </c>
      <c r="S514">
        <v>0</v>
      </c>
      <c r="T514" s="1">
        <v>80</v>
      </c>
      <c r="U514">
        <v>512</v>
      </c>
      <c r="V514">
        <v>0</v>
      </c>
      <c r="W514">
        <v>1</v>
      </c>
      <c r="X514">
        <v>0</v>
      </c>
      <c r="Y514">
        <v>0</v>
      </c>
      <c r="Z514">
        <v>0</v>
      </c>
      <c r="AA514" s="1">
        <v>100</v>
      </c>
      <c r="AB514">
        <v>512</v>
      </c>
      <c r="AC514">
        <v>0</v>
      </c>
      <c r="AD514">
        <v>0</v>
      </c>
      <c r="AE514">
        <v>0</v>
      </c>
      <c r="AF514">
        <v>0</v>
      </c>
      <c r="AG514">
        <v>0</v>
      </c>
      <c r="AH514" s="1">
        <v>0</v>
      </c>
      <c r="AI514">
        <v>512</v>
      </c>
      <c r="AJ514">
        <v>0</v>
      </c>
      <c r="AK514">
        <v>0</v>
      </c>
      <c r="AL514">
        <v>0</v>
      </c>
      <c r="AM514">
        <v>0</v>
      </c>
      <c r="AN514">
        <v>0</v>
      </c>
      <c r="AO514" s="1">
        <v>0</v>
      </c>
    </row>
    <row r="515" spans="7:41" x14ac:dyDescent="0.35">
      <c r="G515">
        <v>513</v>
      </c>
      <c r="H515">
        <v>2</v>
      </c>
      <c r="I515">
        <v>0</v>
      </c>
      <c r="J515">
        <v>0</v>
      </c>
      <c r="K515">
        <v>1</v>
      </c>
      <c r="L515">
        <v>0</v>
      </c>
      <c r="M515" s="1">
        <v>180</v>
      </c>
      <c r="N515">
        <v>513</v>
      </c>
      <c r="O515">
        <v>0</v>
      </c>
      <c r="P515">
        <v>0</v>
      </c>
      <c r="Q515">
        <v>0</v>
      </c>
      <c r="R515">
        <v>0</v>
      </c>
      <c r="S515">
        <v>0</v>
      </c>
      <c r="T515" s="1">
        <v>0</v>
      </c>
      <c r="U515">
        <v>513</v>
      </c>
      <c r="V515">
        <v>0</v>
      </c>
      <c r="W515">
        <v>1</v>
      </c>
      <c r="X515">
        <v>0</v>
      </c>
      <c r="Y515">
        <v>0</v>
      </c>
      <c r="Z515">
        <v>0</v>
      </c>
      <c r="AA515" s="1">
        <v>100</v>
      </c>
      <c r="AB515">
        <v>513</v>
      </c>
      <c r="AC515">
        <v>0</v>
      </c>
      <c r="AD515">
        <v>0</v>
      </c>
      <c r="AE515">
        <v>0</v>
      </c>
      <c r="AF515">
        <v>0</v>
      </c>
      <c r="AG515">
        <v>0</v>
      </c>
      <c r="AH515" s="1">
        <v>0</v>
      </c>
      <c r="AI515">
        <v>513</v>
      </c>
      <c r="AJ515">
        <v>0</v>
      </c>
      <c r="AK515">
        <v>0</v>
      </c>
      <c r="AL515">
        <v>1</v>
      </c>
      <c r="AM515">
        <v>0</v>
      </c>
      <c r="AN515">
        <v>0</v>
      </c>
      <c r="AO515" s="1">
        <v>150</v>
      </c>
    </row>
    <row r="516" spans="7:41" x14ac:dyDescent="0.35">
      <c r="G516">
        <v>514</v>
      </c>
      <c r="H516">
        <v>0</v>
      </c>
      <c r="I516">
        <v>0</v>
      </c>
      <c r="J516">
        <v>1</v>
      </c>
      <c r="K516">
        <v>2</v>
      </c>
      <c r="L516">
        <v>1</v>
      </c>
      <c r="M516" s="1">
        <v>240</v>
      </c>
      <c r="N516">
        <v>514</v>
      </c>
      <c r="O516">
        <v>0</v>
      </c>
      <c r="P516">
        <v>2</v>
      </c>
      <c r="Q516">
        <v>0</v>
      </c>
      <c r="R516">
        <v>0</v>
      </c>
      <c r="S516">
        <v>1</v>
      </c>
      <c r="T516" s="1">
        <v>240</v>
      </c>
      <c r="U516">
        <v>514</v>
      </c>
      <c r="V516">
        <v>0</v>
      </c>
      <c r="W516">
        <v>1</v>
      </c>
      <c r="X516">
        <v>0</v>
      </c>
      <c r="Y516">
        <v>0</v>
      </c>
      <c r="Z516">
        <v>0</v>
      </c>
      <c r="AA516" s="1">
        <v>100</v>
      </c>
      <c r="AB516">
        <v>514</v>
      </c>
      <c r="AC516">
        <v>0</v>
      </c>
      <c r="AD516">
        <v>0</v>
      </c>
      <c r="AE516">
        <v>0</v>
      </c>
      <c r="AF516">
        <v>0</v>
      </c>
      <c r="AG516">
        <v>0</v>
      </c>
      <c r="AH516" s="1">
        <v>0</v>
      </c>
      <c r="AI516">
        <v>514</v>
      </c>
      <c r="AJ516">
        <v>0</v>
      </c>
      <c r="AK516">
        <v>0</v>
      </c>
      <c r="AL516">
        <v>0</v>
      </c>
      <c r="AM516">
        <v>0</v>
      </c>
      <c r="AN516">
        <v>0</v>
      </c>
      <c r="AO516" s="1">
        <v>0</v>
      </c>
    </row>
    <row r="517" spans="7:41" x14ac:dyDescent="0.35">
      <c r="G517">
        <v>515</v>
      </c>
      <c r="H517">
        <v>0</v>
      </c>
      <c r="I517">
        <v>1</v>
      </c>
      <c r="J517">
        <v>1</v>
      </c>
      <c r="K517">
        <v>0</v>
      </c>
      <c r="L517">
        <v>0</v>
      </c>
      <c r="M517" s="1">
        <v>120</v>
      </c>
      <c r="N517">
        <v>515</v>
      </c>
      <c r="O517">
        <v>0</v>
      </c>
      <c r="P517">
        <v>0</v>
      </c>
      <c r="Q517">
        <v>0</v>
      </c>
      <c r="R517">
        <v>0</v>
      </c>
      <c r="S517">
        <v>0</v>
      </c>
      <c r="T517" s="1">
        <v>0</v>
      </c>
      <c r="U517">
        <v>515</v>
      </c>
      <c r="V517">
        <v>0</v>
      </c>
      <c r="W517">
        <v>0</v>
      </c>
      <c r="X517">
        <v>0</v>
      </c>
      <c r="Y517">
        <v>0</v>
      </c>
      <c r="Z517">
        <v>1</v>
      </c>
      <c r="AA517" s="1">
        <v>100</v>
      </c>
      <c r="AB517">
        <v>515</v>
      </c>
      <c r="AC517">
        <v>0</v>
      </c>
      <c r="AD517">
        <v>0</v>
      </c>
      <c r="AE517">
        <v>0</v>
      </c>
      <c r="AF517">
        <v>0</v>
      </c>
      <c r="AG517">
        <v>1</v>
      </c>
      <c r="AH517" s="1">
        <v>120</v>
      </c>
      <c r="AI517">
        <v>515</v>
      </c>
      <c r="AJ517">
        <v>0</v>
      </c>
      <c r="AK517">
        <v>0</v>
      </c>
      <c r="AL517">
        <v>0</v>
      </c>
      <c r="AM517">
        <v>0</v>
      </c>
      <c r="AN517">
        <v>0</v>
      </c>
      <c r="AO517" s="1">
        <v>0</v>
      </c>
    </row>
    <row r="518" spans="7:41" x14ac:dyDescent="0.35">
      <c r="G518">
        <v>516</v>
      </c>
      <c r="H518">
        <v>1</v>
      </c>
      <c r="I518">
        <v>3</v>
      </c>
      <c r="J518">
        <v>0</v>
      </c>
      <c r="K518">
        <v>0</v>
      </c>
      <c r="L518">
        <v>0</v>
      </c>
      <c r="M518" s="1">
        <v>240</v>
      </c>
      <c r="N518">
        <v>516</v>
      </c>
      <c r="O518">
        <v>1</v>
      </c>
      <c r="P518">
        <v>1</v>
      </c>
      <c r="Q518">
        <v>0</v>
      </c>
      <c r="R518">
        <v>0</v>
      </c>
      <c r="S518">
        <v>0</v>
      </c>
      <c r="T518" s="1">
        <v>160</v>
      </c>
      <c r="U518">
        <v>516</v>
      </c>
      <c r="V518">
        <v>0</v>
      </c>
      <c r="W518">
        <v>0</v>
      </c>
      <c r="X518">
        <v>0</v>
      </c>
      <c r="Y518">
        <v>0</v>
      </c>
      <c r="Z518">
        <v>0</v>
      </c>
      <c r="AA518" s="1">
        <v>0</v>
      </c>
      <c r="AB518">
        <v>516</v>
      </c>
      <c r="AC518">
        <v>0</v>
      </c>
      <c r="AD518">
        <v>0</v>
      </c>
      <c r="AE518">
        <v>0</v>
      </c>
      <c r="AF518">
        <v>0</v>
      </c>
      <c r="AG518">
        <v>0</v>
      </c>
      <c r="AH518" s="1">
        <v>0</v>
      </c>
      <c r="AI518">
        <v>516</v>
      </c>
      <c r="AJ518">
        <v>0</v>
      </c>
      <c r="AK518">
        <v>0</v>
      </c>
      <c r="AL518">
        <v>0</v>
      </c>
      <c r="AM518">
        <v>0</v>
      </c>
      <c r="AN518">
        <v>0</v>
      </c>
      <c r="AO518" s="1">
        <v>0</v>
      </c>
    </row>
    <row r="519" spans="7:41" x14ac:dyDescent="0.35">
      <c r="G519">
        <v>517</v>
      </c>
      <c r="H519">
        <v>0</v>
      </c>
      <c r="I519">
        <v>1</v>
      </c>
      <c r="J519">
        <v>4</v>
      </c>
      <c r="K519">
        <v>0</v>
      </c>
      <c r="L519">
        <v>2</v>
      </c>
      <c r="M519" s="1">
        <v>420</v>
      </c>
      <c r="N519">
        <v>517</v>
      </c>
      <c r="O519">
        <v>0</v>
      </c>
      <c r="P519">
        <v>0</v>
      </c>
      <c r="Q519">
        <v>0</v>
      </c>
      <c r="R519">
        <v>1</v>
      </c>
      <c r="S519">
        <v>1</v>
      </c>
      <c r="T519" s="1">
        <v>160</v>
      </c>
      <c r="U519">
        <v>517</v>
      </c>
      <c r="V519">
        <v>0</v>
      </c>
      <c r="W519">
        <v>0</v>
      </c>
      <c r="X519">
        <v>0</v>
      </c>
      <c r="Y519">
        <v>0</v>
      </c>
      <c r="Z519">
        <v>0</v>
      </c>
      <c r="AA519" s="1">
        <v>0</v>
      </c>
      <c r="AB519">
        <v>517</v>
      </c>
      <c r="AC519">
        <v>0</v>
      </c>
      <c r="AD519">
        <v>0</v>
      </c>
      <c r="AE519">
        <v>0</v>
      </c>
      <c r="AF519">
        <v>0</v>
      </c>
      <c r="AG519">
        <v>0</v>
      </c>
      <c r="AH519" s="1">
        <v>0</v>
      </c>
      <c r="AI519">
        <v>517</v>
      </c>
      <c r="AJ519">
        <v>0</v>
      </c>
      <c r="AK519">
        <v>0</v>
      </c>
      <c r="AL519">
        <v>2</v>
      </c>
      <c r="AM519">
        <v>0</v>
      </c>
      <c r="AN519">
        <v>0</v>
      </c>
      <c r="AO519" s="1">
        <v>300</v>
      </c>
    </row>
    <row r="520" spans="7:41" x14ac:dyDescent="0.35">
      <c r="G520">
        <v>518</v>
      </c>
      <c r="H520">
        <v>0</v>
      </c>
      <c r="I520">
        <v>0</v>
      </c>
      <c r="J520">
        <v>0</v>
      </c>
      <c r="K520">
        <v>0</v>
      </c>
      <c r="L520">
        <v>0</v>
      </c>
      <c r="M520" s="1">
        <v>0</v>
      </c>
      <c r="N520">
        <v>518</v>
      </c>
      <c r="O520">
        <v>0</v>
      </c>
      <c r="P520">
        <v>0</v>
      </c>
      <c r="Q520">
        <v>0</v>
      </c>
      <c r="R520">
        <v>0</v>
      </c>
      <c r="S520">
        <v>0</v>
      </c>
      <c r="T520" s="1">
        <v>0</v>
      </c>
      <c r="U520">
        <v>518</v>
      </c>
      <c r="V520">
        <v>0</v>
      </c>
      <c r="W520">
        <v>0</v>
      </c>
      <c r="X520">
        <v>0</v>
      </c>
      <c r="Y520">
        <v>2</v>
      </c>
      <c r="Z520">
        <v>1</v>
      </c>
      <c r="AA520" s="1">
        <v>300</v>
      </c>
      <c r="AB520">
        <v>518</v>
      </c>
      <c r="AC520">
        <v>0</v>
      </c>
      <c r="AD520">
        <v>0</v>
      </c>
      <c r="AE520">
        <v>0</v>
      </c>
      <c r="AF520">
        <v>0</v>
      </c>
      <c r="AG520">
        <v>0</v>
      </c>
      <c r="AH520" s="1">
        <v>0</v>
      </c>
      <c r="AI520">
        <v>518</v>
      </c>
      <c r="AJ520">
        <v>0</v>
      </c>
      <c r="AK520">
        <v>0</v>
      </c>
      <c r="AL520">
        <v>0</v>
      </c>
      <c r="AM520">
        <v>0</v>
      </c>
      <c r="AN520">
        <v>0</v>
      </c>
      <c r="AO520" s="1">
        <v>0</v>
      </c>
    </row>
    <row r="521" spans="7:41" x14ac:dyDescent="0.35">
      <c r="G521">
        <v>519</v>
      </c>
      <c r="H521">
        <v>0</v>
      </c>
      <c r="I521">
        <v>0</v>
      </c>
      <c r="J521">
        <v>0</v>
      </c>
      <c r="K521">
        <v>0</v>
      </c>
      <c r="L521">
        <v>0</v>
      </c>
      <c r="M521" s="1">
        <v>0</v>
      </c>
      <c r="N521">
        <v>519</v>
      </c>
      <c r="O521">
        <v>0</v>
      </c>
      <c r="P521">
        <v>1</v>
      </c>
      <c r="Q521">
        <v>1</v>
      </c>
      <c r="R521">
        <v>0</v>
      </c>
      <c r="S521">
        <v>1</v>
      </c>
      <c r="T521" s="1">
        <v>240</v>
      </c>
      <c r="U521">
        <v>519</v>
      </c>
      <c r="V521">
        <v>0</v>
      </c>
      <c r="W521">
        <v>0</v>
      </c>
      <c r="X521">
        <v>0</v>
      </c>
      <c r="Y521">
        <v>0</v>
      </c>
      <c r="Z521">
        <v>1</v>
      </c>
      <c r="AA521" s="1">
        <v>100</v>
      </c>
      <c r="AB521">
        <v>519</v>
      </c>
      <c r="AC521">
        <v>0</v>
      </c>
      <c r="AD521">
        <v>0</v>
      </c>
      <c r="AE521">
        <v>0</v>
      </c>
      <c r="AF521">
        <v>0</v>
      </c>
      <c r="AG521">
        <v>0</v>
      </c>
      <c r="AH521" s="1">
        <v>0</v>
      </c>
      <c r="AI521">
        <v>519</v>
      </c>
      <c r="AJ521">
        <v>0</v>
      </c>
      <c r="AK521">
        <v>0</v>
      </c>
      <c r="AL521">
        <v>0</v>
      </c>
      <c r="AM521">
        <v>0</v>
      </c>
      <c r="AN521">
        <v>0</v>
      </c>
      <c r="AO521" s="1">
        <v>0</v>
      </c>
    </row>
    <row r="522" spans="7:41" x14ac:dyDescent="0.35">
      <c r="G522">
        <v>520</v>
      </c>
      <c r="H522">
        <v>0</v>
      </c>
      <c r="I522">
        <v>0</v>
      </c>
      <c r="J522">
        <v>1</v>
      </c>
      <c r="K522">
        <v>0</v>
      </c>
      <c r="L522">
        <v>0</v>
      </c>
      <c r="M522" s="1">
        <v>60</v>
      </c>
      <c r="N522">
        <v>520</v>
      </c>
      <c r="O522">
        <v>0</v>
      </c>
      <c r="P522">
        <v>0</v>
      </c>
      <c r="Q522">
        <v>0</v>
      </c>
      <c r="R522">
        <v>0</v>
      </c>
      <c r="S522">
        <v>0</v>
      </c>
      <c r="T522" s="1">
        <v>0</v>
      </c>
      <c r="U522">
        <v>520</v>
      </c>
      <c r="V522">
        <v>0</v>
      </c>
      <c r="W522">
        <v>0</v>
      </c>
      <c r="X522">
        <v>1</v>
      </c>
      <c r="Y522">
        <v>0</v>
      </c>
      <c r="Z522">
        <v>0</v>
      </c>
      <c r="AA522" s="1">
        <v>100</v>
      </c>
      <c r="AB522">
        <v>520</v>
      </c>
      <c r="AC522">
        <v>0</v>
      </c>
      <c r="AD522">
        <v>1</v>
      </c>
      <c r="AE522">
        <v>0</v>
      </c>
      <c r="AF522">
        <v>0</v>
      </c>
      <c r="AG522">
        <v>0</v>
      </c>
      <c r="AH522" s="1">
        <v>120</v>
      </c>
      <c r="AI522">
        <v>520</v>
      </c>
      <c r="AJ522">
        <v>0</v>
      </c>
      <c r="AK522">
        <v>0</v>
      </c>
      <c r="AL522">
        <v>1</v>
      </c>
      <c r="AM522">
        <v>0</v>
      </c>
      <c r="AN522">
        <v>0</v>
      </c>
      <c r="AO522" s="1">
        <v>150</v>
      </c>
    </row>
    <row r="523" spans="7:41" x14ac:dyDescent="0.35">
      <c r="G523">
        <v>521</v>
      </c>
      <c r="H523">
        <v>0</v>
      </c>
      <c r="I523">
        <v>0</v>
      </c>
      <c r="J523">
        <v>3</v>
      </c>
      <c r="K523">
        <v>0</v>
      </c>
      <c r="L523">
        <v>0</v>
      </c>
      <c r="M523" s="1">
        <v>180</v>
      </c>
      <c r="N523">
        <v>521</v>
      </c>
      <c r="O523">
        <v>1</v>
      </c>
      <c r="P523">
        <v>0</v>
      </c>
      <c r="Q523">
        <v>3</v>
      </c>
      <c r="R523">
        <v>0</v>
      </c>
      <c r="S523">
        <v>0</v>
      </c>
      <c r="T523" s="1">
        <v>320</v>
      </c>
      <c r="U523">
        <v>521</v>
      </c>
      <c r="V523">
        <v>0</v>
      </c>
      <c r="W523">
        <v>0</v>
      </c>
      <c r="X523">
        <v>0</v>
      </c>
      <c r="Y523">
        <v>0</v>
      </c>
      <c r="Z523">
        <v>0</v>
      </c>
      <c r="AA523" s="1">
        <v>0</v>
      </c>
      <c r="AB523">
        <v>521</v>
      </c>
      <c r="AC523">
        <v>0</v>
      </c>
      <c r="AD523">
        <v>0</v>
      </c>
      <c r="AE523">
        <v>0</v>
      </c>
      <c r="AF523">
        <v>0</v>
      </c>
      <c r="AG523">
        <v>0</v>
      </c>
      <c r="AH523" s="1">
        <v>0</v>
      </c>
      <c r="AI523">
        <v>521</v>
      </c>
      <c r="AJ523">
        <v>0</v>
      </c>
      <c r="AK523">
        <v>0</v>
      </c>
      <c r="AL523">
        <v>1</v>
      </c>
      <c r="AM523">
        <v>0</v>
      </c>
      <c r="AN523">
        <v>0</v>
      </c>
      <c r="AO523" s="1">
        <v>150</v>
      </c>
    </row>
    <row r="524" spans="7:41" x14ac:dyDescent="0.35">
      <c r="G524">
        <v>522</v>
      </c>
      <c r="H524">
        <v>1</v>
      </c>
      <c r="I524">
        <v>1</v>
      </c>
      <c r="J524">
        <v>2</v>
      </c>
      <c r="K524">
        <v>2</v>
      </c>
      <c r="L524">
        <v>0</v>
      </c>
      <c r="M524" s="1">
        <v>360</v>
      </c>
      <c r="N524">
        <v>522</v>
      </c>
      <c r="O524">
        <v>0</v>
      </c>
      <c r="P524">
        <v>0</v>
      </c>
      <c r="Q524">
        <v>0</v>
      </c>
      <c r="R524">
        <v>0</v>
      </c>
      <c r="S524">
        <v>1</v>
      </c>
      <c r="T524" s="1">
        <v>80</v>
      </c>
      <c r="U524">
        <v>522</v>
      </c>
      <c r="V524">
        <v>0</v>
      </c>
      <c r="W524">
        <v>0</v>
      </c>
      <c r="X524">
        <v>0</v>
      </c>
      <c r="Y524">
        <v>0</v>
      </c>
      <c r="Z524">
        <v>0</v>
      </c>
      <c r="AA524" s="1">
        <v>0</v>
      </c>
      <c r="AB524">
        <v>522</v>
      </c>
      <c r="AC524">
        <v>0</v>
      </c>
      <c r="AD524">
        <v>0</v>
      </c>
      <c r="AE524">
        <v>0</v>
      </c>
      <c r="AF524">
        <v>0</v>
      </c>
      <c r="AG524">
        <v>0</v>
      </c>
      <c r="AH524" s="1">
        <v>0</v>
      </c>
      <c r="AI524">
        <v>522</v>
      </c>
      <c r="AJ524">
        <v>0</v>
      </c>
      <c r="AK524">
        <v>0</v>
      </c>
      <c r="AL524">
        <v>0</v>
      </c>
      <c r="AM524">
        <v>0</v>
      </c>
      <c r="AN524">
        <v>0</v>
      </c>
      <c r="AO524" s="1">
        <v>0</v>
      </c>
    </row>
    <row r="525" spans="7:41" x14ac:dyDescent="0.35">
      <c r="G525">
        <v>523</v>
      </c>
      <c r="H525">
        <v>0</v>
      </c>
      <c r="I525">
        <v>1</v>
      </c>
      <c r="J525">
        <v>0</v>
      </c>
      <c r="K525">
        <v>0</v>
      </c>
      <c r="L525">
        <v>0</v>
      </c>
      <c r="M525" s="1">
        <v>60</v>
      </c>
      <c r="N525">
        <v>523</v>
      </c>
      <c r="O525">
        <v>0</v>
      </c>
      <c r="P525">
        <v>0</v>
      </c>
      <c r="Q525">
        <v>0</v>
      </c>
      <c r="R525">
        <v>0</v>
      </c>
      <c r="S525">
        <v>0</v>
      </c>
      <c r="T525" s="1">
        <v>0</v>
      </c>
      <c r="U525">
        <v>523</v>
      </c>
      <c r="V525">
        <v>0</v>
      </c>
      <c r="W525">
        <v>1</v>
      </c>
      <c r="X525">
        <v>0</v>
      </c>
      <c r="Y525">
        <v>0</v>
      </c>
      <c r="Z525">
        <v>0</v>
      </c>
      <c r="AA525" s="1">
        <v>100</v>
      </c>
      <c r="AB525">
        <v>523</v>
      </c>
      <c r="AC525">
        <v>0</v>
      </c>
      <c r="AD525">
        <v>0</v>
      </c>
      <c r="AE525">
        <v>0</v>
      </c>
      <c r="AF525">
        <v>0</v>
      </c>
      <c r="AG525">
        <v>0</v>
      </c>
      <c r="AH525" s="1">
        <v>0</v>
      </c>
      <c r="AI525">
        <v>523</v>
      </c>
      <c r="AJ525">
        <v>0</v>
      </c>
      <c r="AK525">
        <v>0</v>
      </c>
      <c r="AL525">
        <v>1</v>
      </c>
      <c r="AM525">
        <v>0</v>
      </c>
      <c r="AN525">
        <v>0</v>
      </c>
      <c r="AO525" s="1">
        <v>150</v>
      </c>
    </row>
    <row r="526" spans="7:41" x14ac:dyDescent="0.35">
      <c r="G526">
        <v>524</v>
      </c>
      <c r="H526">
        <v>1</v>
      </c>
      <c r="I526">
        <v>2</v>
      </c>
      <c r="J526">
        <v>0</v>
      </c>
      <c r="K526">
        <v>4</v>
      </c>
      <c r="L526">
        <v>2</v>
      </c>
      <c r="M526" s="1">
        <v>540</v>
      </c>
      <c r="N526">
        <v>524</v>
      </c>
      <c r="O526">
        <v>2</v>
      </c>
      <c r="P526">
        <v>0</v>
      </c>
      <c r="Q526">
        <v>2</v>
      </c>
      <c r="R526">
        <v>0</v>
      </c>
      <c r="S526">
        <v>0</v>
      </c>
      <c r="T526" s="1">
        <v>320</v>
      </c>
      <c r="U526">
        <v>524</v>
      </c>
      <c r="V526">
        <v>0</v>
      </c>
      <c r="W526">
        <v>0</v>
      </c>
      <c r="X526">
        <v>0</v>
      </c>
      <c r="Y526">
        <v>0</v>
      </c>
      <c r="Z526">
        <v>0</v>
      </c>
      <c r="AA526" s="1">
        <v>0</v>
      </c>
      <c r="AB526">
        <v>524</v>
      </c>
      <c r="AC526">
        <v>0</v>
      </c>
      <c r="AD526">
        <v>0</v>
      </c>
      <c r="AE526">
        <v>0</v>
      </c>
      <c r="AF526">
        <v>0</v>
      </c>
      <c r="AG526">
        <v>0</v>
      </c>
      <c r="AH526" s="1">
        <v>0</v>
      </c>
      <c r="AI526">
        <v>524</v>
      </c>
      <c r="AJ526">
        <v>0</v>
      </c>
      <c r="AK526">
        <v>0</v>
      </c>
      <c r="AL526">
        <v>0</v>
      </c>
      <c r="AM526">
        <v>0</v>
      </c>
      <c r="AN526">
        <v>0</v>
      </c>
      <c r="AO526" s="1">
        <v>0</v>
      </c>
    </row>
    <row r="527" spans="7:41" x14ac:dyDescent="0.35">
      <c r="G527">
        <v>525</v>
      </c>
      <c r="H527">
        <v>0</v>
      </c>
      <c r="I527">
        <v>1</v>
      </c>
      <c r="J527">
        <v>1</v>
      </c>
      <c r="K527">
        <v>0</v>
      </c>
      <c r="L527">
        <v>1</v>
      </c>
      <c r="M527" s="1">
        <v>180</v>
      </c>
      <c r="N527">
        <v>525</v>
      </c>
      <c r="O527">
        <v>2</v>
      </c>
      <c r="P527">
        <v>1</v>
      </c>
      <c r="Q527">
        <v>1</v>
      </c>
      <c r="R527">
        <v>1</v>
      </c>
      <c r="S527">
        <v>0</v>
      </c>
      <c r="T527" s="1">
        <v>400</v>
      </c>
      <c r="U527">
        <v>525</v>
      </c>
      <c r="V527">
        <v>0</v>
      </c>
      <c r="W527">
        <v>0</v>
      </c>
      <c r="X527">
        <v>0</v>
      </c>
      <c r="Y527">
        <v>1</v>
      </c>
      <c r="Z527">
        <v>0</v>
      </c>
      <c r="AA527" s="1">
        <v>100</v>
      </c>
      <c r="AB527">
        <v>525</v>
      </c>
      <c r="AC527">
        <v>0</v>
      </c>
      <c r="AD527">
        <v>0</v>
      </c>
      <c r="AE527">
        <v>0</v>
      </c>
      <c r="AF527">
        <v>0</v>
      </c>
      <c r="AG527">
        <v>1</v>
      </c>
      <c r="AH527" s="1">
        <v>120</v>
      </c>
      <c r="AI527">
        <v>525</v>
      </c>
      <c r="AJ527">
        <v>0</v>
      </c>
      <c r="AK527">
        <v>0</v>
      </c>
      <c r="AL527">
        <v>0</v>
      </c>
      <c r="AM527">
        <v>0</v>
      </c>
      <c r="AN527">
        <v>0</v>
      </c>
      <c r="AO527" s="1">
        <v>0</v>
      </c>
    </row>
    <row r="528" spans="7:41" x14ac:dyDescent="0.35">
      <c r="G528">
        <v>526</v>
      </c>
      <c r="H528">
        <v>0</v>
      </c>
      <c r="I528">
        <v>1</v>
      </c>
      <c r="J528">
        <v>2</v>
      </c>
      <c r="K528">
        <v>1</v>
      </c>
      <c r="L528">
        <v>1</v>
      </c>
      <c r="M528" s="1">
        <v>300</v>
      </c>
      <c r="N528">
        <v>526</v>
      </c>
      <c r="O528">
        <v>0</v>
      </c>
      <c r="P528">
        <v>1</v>
      </c>
      <c r="Q528">
        <v>0</v>
      </c>
      <c r="R528">
        <v>1</v>
      </c>
      <c r="S528">
        <v>0</v>
      </c>
      <c r="T528" s="1">
        <v>160</v>
      </c>
      <c r="U528">
        <v>526</v>
      </c>
      <c r="V528">
        <v>0</v>
      </c>
      <c r="W528">
        <v>0</v>
      </c>
      <c r="X528">
        <v>0</v>
      </c>
      <c r="Y528">
        <v>0</v>
      </c>
      <c r="Z528">
        <v>0</v>
      </c>
      <c r="AA528" s="1">
        <v>0</v>
      </c>
      <c r="AB528">
        <v>526</v>
      </c>
      <c r="AC528">
        <v>0</v>
      </c>
      <c r="AD528">
        <v>0</v>
      </c>
      <c r="AE528">
        <v>0</v>
      </c>
      <c r="AF528">
        <v>0</v>
      </c>
      <c r="AG528">
        <v>0</v>
      </c>
      <c r="AH528" s="1">
        <v>0</v>
      </c>
      <c r="AI528">
        <v>526</v>
      </c>
      <c r="AJ528">
        <v>0</v>
      </c>
      <c r="AK528">
        <v>0</v>
      </c>
      <c r="AL528">
        <v>0</v>
      </c>
      <c r="AM528">
        <v>0</v>
      </c>
      <c r="AN528">
        <v>0</v>
      </c>
      <c r="AO528" s="1">
        <v>0</v>
      </c>
    </row>
    <row r="529" spans="7:41" x14ac:dyDescent="0.35">
      <c r="G529">
        <v>527</v>
      </c>
      <c r="H529">
        <v>0</v>
      </c>
      <c r="I529">
        <v>2</v>
      </c>
      <c r="J529">
        <v>3</v>
      </c>
      <c r="K529">
        <v>4</v>
      </c>
      <c r="L529">
        <v>0</v>
      </c>
      <c r="M529" s="1">
        <v>540</v>
      </c>
      <c r="N529">
        <v>527</v>
      </c>
      <c r="O529">
        <v>0</v>
      </c>
      <c r="P529">
        <v>1</v>
      </c>
      <c r="Q529">
        <v>2</v>
      </c>
      <c r="R529">
        <v>0</v>
      </c>
      <c r="S529">
        <v>0</v>
      </c>
      <c r="T529" s="1">
        <v>240</v>
      </c>
      <c r="U529">
        <v>527</v>
      </c>
      <c r="V529">
        <v>0</v>
      </c>
      <c r="W529">
        <v>0</v>
      </c>
      <c r="X529">
        <v>0</v>
      </c>
      <c r="Y529">
        <v>0</v>
      </c>
      <c r="Z529">
        <v>0</v>
      </c>
      <c r="AA529" s="1">
        <v>0</v>
      </c>
      <c r="AB529">
        <v>527</v>
      </c>
      <c r="AC529">
        <v>0</v>
      </c>
      <c r="AD529">
        <v>0</v>
      </c>
      <c r="AE529">
        <v>0</v>
      </c>
      <c r="AF529">
        <v>0</v>
      </c>
      <c r="AG529">
        <v>0</v>
      </c>
      <c r="AH529" s="1">
        <v>0</v>
      </c>
      <c r="AI529">
        <v>527</v>
      </c>
      <c r="AJ529">
        <v>0</v>
      </c>
      <c r="AK529">
        <v>0</v>
      </c>
      <c r="AL529">
        <v>0</v>
      </c>
      <c r="AM529">
        <v>0</v>
      </c>
      <c r="AN529">
        <v>0</v>
      </c>
      <c r="AO529" s="1">
        <v>0</v>
      </c>
    </row>
    <row r="530" spans="7:41" x14ac:dyDescent="0.35">
      <c r="G530">
        <v>528</v>
      </c>
      <c r="H530">
        <v>0</v>
      </c>
      <c r="I530">
        <v>0</v>
      </c>
      <c r="J530">
        <v>0</v>
      </c>
      <c r="K530">
        <v>0</v>
      </c>
      <c r="L530">
        <v>0</v>
      </c>
      <c r="M530" s="1">
        <v>0</v>
      </c>
      <c r="N530">
        <v>528</v>
      </c>
      <c r="O530">
        <v>1</v>
      </c>
      <c r="P530">
        <v>0</v>
      </c>
      <c r="Q530">
        <v>2</v>
      </c>
      <c r="R530">
        <v>0</v>
      </c>
      <c r="S530">
        <v>0</v>
      </c>
      <c r="T530" s="1">
        <v>240</v>
      </c>
      <c r="U530">
        <v>528</v>
      </c>
      <c r="V530">
        <v>0</v>
      </c>
      <c r="W530">
        <v>0</v>
      </c>
      <c r="X530">
        <v>0</v>
      </c>
      <c r="Y530">
        <v>0</v>
      </c>
      <c r="Z530">
        <v>0</v>
      </c>
      <c r="AA530" s="1">
        <v>0</v>
      </c>
      <c r="AB530">
        <v>528</v>
      </c>
      <c r="AC530">
        <v>0</v>
      </c>
      <c r="AD530">
        <v>0</v>
      </c>
      <c r="AE530">
        <v>1</v>
      </c>
      <c r="AF530">
        <v>0</v>
      </c>
      <c r="AG530">
        <v>0</v>
      </c>
      <c r="AH530" s="1">
        <v>120</v>
      </c>
      <c r="AI530">
        <v>528</v>
      </c>
      <c r="AJ530">
        <v>0</v>
      </c>
      <c r="AK530">
        <v>0</v>
      </c>
      <c r="AL530">
        <v>0</v>
      </c>
      <c r="AM530">
        <v>0</v>
      </c>
      <c r="AN530">
        <v>0</v>
      </c>
      <c r="AO530" s="1">
        <v>0</v>
      </c>
    </row>
    <row r="531" spans="7:41" x14ac:dyDescent="0.35">
      <c r="G531">
        <v>529</v>
      </c>
      <c r="H531">
        <v>0</v>
      </c>
      <c r="I531">
        <v>3</v>
      </c>
      <c r="J531">
        <v>1</v>
      </c>
      <c r="K531">
        <v>0</v>
      </c>
      <c r="L531">
        <v>0</v>
      </c>
      <c r="M531" s="1">
        <v>240</v>
      </c>
      <c r="N531">
        <v>529</v>
      </c>
      <c r="O531">
        <v>1</v>
      </c>
      <c r="P531">
        <v>0</v>
      </c>
      <c r="Q531">
        <v>0</v>
      </c>
      <c r="R531">
        <v>2</v>
      </c>
      <c r="S531">
        <v>0</v>
      </c>
      <c r="T531" s="1">
        <v>240</v>
      </c>
      <c r="U531">
        <v>529</v>
      </c>
      <c r="V531">
        <v>0</v>
      </c>
      <c r="W531">
        <v>0</v>
      </c>
      <c r="X531">
        <v>0</v>
      </c>
      <c r="Y531">
        <v>1</v>
      </c>
      <c r="Z531">
        <v>0</v>
      </c>
      <c r="AA531" s="1">
        <v>100</v>
      </c>
      <c r="AB531">
        <v>529</v>
      </c>
      <c r="AC531">
        <v>0</v>
      </c>
      <c r="AD531">
        <v>0</v>
      </c>
      <c r="AE531">
        <v>0</v>
      </c>
      <c r="AF531">
        <v>0</v>
      </c>
      <c r="AG531">
        <v>1</v>
      </c>
      <c r="AH531" s="1">
        <v>120</v>
      </c>
      <c r="AI531">
        <v>529</v>
      </c>
      <c r="AJ531">
        <v>0</v>
      </c>
      <c r="AK531">
        <v>0</v>
      </c>
      <c r="AL531">
        <v>2</v>
      </c>
      <c r="AM531">
        <v>0</v>
      </c>
      <c r="AN531">
        <v>0</v>
      </c>
      <c r="AO531" s="1">
        <v>300</v>
      </c>
    </row>
    <row r="532" spans="7:41" x14ac:dyDescent="0.35">
      <c r="G532">
        <v>530</v>
      </c>
      <c r="H532">
        <v>1</v>
      </c>
      <c r="I532">
        <v>3</v>
      </c>
      <c r="J532">
        <v>2</v>
      </c>
      <c r="K532">
        <v>2</v>
      </c>
      <c r="L532">
        <v>0</v>
      </c>
      <c r="M532" s="1">
        <v>480</v>
      </c>
      <c r="N532">
        <v>530</v>
      </c>
      <c r="O532">
        <v>0</v>
      </c>
      <c r="P532">
        <v>0</v>
      </c>
      <c r="Q532">
        <v>0</v>
      </c>
      <c r="R532">
        <v>0</v>
      </c>
      <c r="S532">
        <v>0</v>
      </c>
      <c r="T532" s="1">
        <v>0</v>
      </c>
      <c r="U532">
        <v>530</v>
      </c>
      <c r="V532">
        <v>0</v>
      </c>
      <c r="W532">
        <v>0</v>
      </c>
      <c r="X532">
        <v>0</v>
      </c>
      <c r="Y532">
        <v>1</v>
      </c>
      <c r="Z532">
        <v>0</v>
      </c>
      <c r="AA532" s="1">
        <v>100</v>
      </c>
      <c r="AB532">
        <v>530</v>
      </c>
      <c r="AC532">
        <v>0</v>
      </c>
      <c r="AD532">
        <v>0</v>
      </c>
      <c r="AE532">
        <v>0</v>
      </c>
      <c r="AF532">
        <v>0</v>
      </c>
      <c r="AG532">
        <v>0</v>
      </c>
      <c r="AH532" s="1">
        <v>0</v>
      </c>
      <c r="AI532">
        <v>530</v>
      </c>
      <c r="AJ532">
        <v>0</v>
      </c>
      <c r="AK532">
        <v>0</v>
      </c>
      <c r="AL532">
        <v>0</v>
      </c>
      <c r="AM532">
        <v>0</v>
      </c>
      <c r="AN532">
        <v>0</v>
      </c>
      <c r="AO532" s="1">
        <v>0</v>
      </c>
    </row>
    <row r="533" spans="7:41" x14ac:dyDescent="0.35">
      <c r="G533">
        <v>531</v>
      </c>
      <c r="H533">
        <v>1</v>
      </c>
      <c r="I533">
        <v>1</v>
      </c>
      <c r="J533">
        <v>0</v>
      </c>
      <c r="K533">
        <v>0</v>
      </c>
      <c r="L533">
        <v>0</v>
      </c>
      <c r="M533" s="1">
        <v>120</v>
      </c>
      <c r="N533">
        <v>531</v>
      </c>
      <c r="O533">
        <v>0</v>
      </c>
      <c r="P533">
        <v>1</v>
      </c>
      <c r="Q533">
        <v>2</v>
      </c>
      <c r="R533">
        <v>0</v>
      </c>
      <c r="S533">
        <v>0</v>
      </c>
      <c r="T533" s="1">
        <v>240</v>
      </c>
      <c r="U533">
        <v>531</v>
      </c>
      <c r="V533">
        <v>0</v>
      </c>
      <c r="W533">
        <v>1</v>
      </c>
      <c r="X533">
        <v>0</v>
      </c>
      <c r="Y533">
        <v>0</v>
      </c>
      <c r="Z533">
        <v>0</v>
      </c>
      <c r="AA533" s="1">
        <v>100</v>
      </c>
      <c r="AB533">
        <v>531</v>
      </c>
      <c r="AC533">
        <v>0</v>
      </c>
      <c r="AD533">
        <v>0</v>
      </c>
      <c r="AE533">
        <v>0</v>
      </c>
      <c r="AF533">
        <v>0</v>
      </c>
      <c r="AG533">
        <v>1</v>
      </c>
      <c r="AH533" s="1">
        <v>120</v>
      </c>
      <c r="AI533">
        <v>531</v>
      </c>
      <c r="AJ533">
        <v>0</v>
      </c>
      <c r="AK533">
        <v>0</v>
      </c>
      <c r="AL533">
        <v>0</v>
      </c>
      <c r="AM533">
        <v>0</v>
      </c>
      <c r="AN533">
        <v>0</v>
      </c>
      <c r="AO533" s="1">
        <v>0</v>
      </c>
    </row>
    <row r="534" spans="7:41" x14ac:dyDescent="0.35">
      <c r="G534">
        <v>532</v>
      </c>
      <c r="H534">
        <v>0</v>
      </c>
      <c r="I534">
        <v>1</v>
      </c>
      <c r="J534">
        <v>2</v>
      </c>
      <c r="K534">
        <v>2</v>
      </c>
      <c r="L534">
        <v>0</v>
      </c>
      <c r="M534" s="1">
        <v>300</v>
      </c>
      <c r="N534">
        <v>532</v>
      </c>
      <c r="O534">
        <v>0</v>
      </c>
      <c r="P534">
        <v>0</v>
      </c>
      <c r="Q534">
        <v>1</v>
      </c>
      <c r="R534">
        <v>0</v>
      </c>
      <c r="S534">
        <v>1</v>
      </c>
      <c r="T534" s="1">
        <v>160</v>
      </c>
      <c r="U534">
        <v>532</v>
      </c>
      <c r="V534">
        <v>0</v>
      </c>
      <c r="W534">
        <v>0</v>
      </c>
      <c r="X534">
        <v>0</v>
      </c>
      <c r="Y534">
        <v>0</v>
      </c>
      <c r="Z534">
        <v>0</v>
      </c>
      <c r="AA534" s="1">
        <v>0</v>
      </c>
      <c r="AB534">
        <v>532</v>
      </c>
      <c r="AC534">
        <v>0</v>
      </c>
      <c r="AD534">
        <v>0</v>
      </c>
      <c r="AE534">
        <v>0</v>
      </c>
      <c r="AF534">
        <v>0</v>
      </c>
      <c r="AG534">
        <v>0</v>
      </c>
      <c r="AH534" s="1">
        <v>0</v>
      </c>
      <c r="AI534">
        <v>532</v>
      </c>
      <c r="AJ534">
        <v>0</v>
      </c>
      <c r="AK534">
        <v>0</v>
      </c>
      <c r="AL534">
        <v>3</v>
      </c>
      <c r="AM534">
        <v>0</v>
      </c>
      <c r="AN534">
        <v>0</v>
      </c>
      <c r="AO534" s="1">
        <v>450</v>
      </c>
    </row>
    <row r="535" spans="7:41" x14ac:dyDescent="0.35">
      <c r="G535">
        <v>533</v>
      </c>
      <c r="H535">
        <v>1</v>
      </c>
      <c r="I535">
        <v>1</v>
      </c>
      <c r="J535">
        <v>5</v>
      </c>
      <c r="K535">
        <v>0</v>
      </c>
      <c r="L535">
        <v>1</v>
      </c>
      <c r="M535" s="1">
        <v>480</v>
      </c>
      <c r="N535">
        <v>533</v>
      </c>
      <c r="O535">
        <v>0</v>
      </c>
      <c r="P535">
        <v>0</v>
      </c>
      <c r="Q535">
        <v>0</v>
      </c>
      <c r="R535">
        <v>1</v>
      </c>
      <c r="S535">
        <v>0</v>
      </c>
      <c r="T535" s="1">
        <v>80</v>
      </c>
      <c r="U535">
        <v>533</v>
      </c>
      <c r="V535">
        <v>0</v>
      </c>
      <c r="W535">
        <v>0</v>
      </c>
      <c r="X535">
        <v>0</v>
      </c>
      <c r="Y535">
        <v>0</v>
      </c>
      <c r="Z535">
        <v>0</v>
      </c>
      <c r="AA535" s="1">
        <v>0</v>
      </c>
      <c r="AB535">
        <v>533</v>
      </c>
      <c r="AC535">
        <v>0</v>
      </c>
      <c r="AD535">
        <v>0</v>
      </c>
      <c r="AE535">
        <v>0</v>
      </c>
      <c r="AF535">
        <v>0</v>
      </c>
      <c r="AG535">
        <v>0</v>
      </c>
      <c r="AH535" s="1">
        <v>0</v>
      </c>
      <c r="AI535">
        <v>533</v>
      </c>
      <c r="AJ535">
        <v>0</v>
      </c>
      <c r="AK535">
        <v>0</v>
      </c>
      <c r="AL535">
        <v>0</v>
      </c>
      <c r="AM535">
        <v>0</v>
      </c>
      <c r="AN535">
        <v>0</v>
      </c>
      <c r="AO535" s="1">
        <v>0</v>
      </c>
    </row>
    <row r="536" spans="7:41" x14ac:dyDescent="0.35">
      <c r="G536">
        <v>534</v>
      </c>
      <c r="H536">
        <v>2</v>
      </c>
      <c r="I536">
        <v>0</v>
      </c>
      <c r="J536">
        <v>0</v>
      </c>
      <c r="K536">
        <v>0</v>
      </c>
      <c r="L536">
        <v>3</v>
      </c>
      <c r="M536" s="1">
        <v>300</v>
      </c>
      <c r="N536">
        <v>534</v>
      </c>
      <c r="O536">
        <v>2</v>
      </c>
      <c r="P536">
        <v>0</v>
      </c>
      <c r="Q536">
        <v>0</v>
      </c>
      <c r="R536">
        <v>0</v>
      </c>
      <c r="S536">
        <v>0</v>
      </c>
      <c r="T536" s="1">
        <v>160</v>
      </c>
      <c r="U536">
        <v>534</v>
      </c>
      <c r="V536">
        <v>0</v>
      </c>
      <c r="W536">
        <v>3</v>
      </c>
      <c r="X536">
        <v>0</v>
      </c>
      <c r="Y536">
        <v>0</v>
      </c>
      <c r="Z536">
        <v>0</v>
      </c>
      <c r="AA536" s="1">
        <v>300</v>
      </c>
      <c r="AB536">
        <v>534</v>
      </c>
      <c r="AC536">
        <v>0</v>
      </c>
      <c r="AD536">
        <v>0</v>
      </c>
      <c r="AE536">
        <v>0</v>
      </c>
      <c r="AF536">
        <v>0</v>
      </c>
      <c r="AG536">
        <v>0</v>
      </c>
      <c r="AH536" s="1">
        <v>0</v>
      </c>
      <c r="AI536">
        <v>534</v>
      </c>
      <c r="AJ536">
        <v>0</v>
      </c>
      <c r="AK536">
        <v>0</v>
      </c>
      <c r="AL536">
        <v>0</v>
      </c>
      <c r="AM536">
        <v>0</v>
      </c>
      <c r="AN536">
        <v>0</v>
      </c>
      <c r="AO536" s="1">
        <v>0</v>
      </c>
    </row>
    <row r="537" spans="7:41" x14ac:dyDescent="0.35">
      <c r="G537">
        <v>535</v>
      </c>
      <c r="H537">
        <v>0</v>
      </c>
      <c r="I537">
        <v>1</v>
      </c>
      <c r="J537">
        <v>2</v>
      </c>
      <c r="K537">
        <v>4</v>
      </c>
      <c r="L537">
        <v>1</v>
      </c>
      <c r="M537" s="1">
        <v>480</v>
      </c>
      <c r="N537">
        <v>535</v>
      </c>
      <c r="O537">
        <v>1</v>
      </c>
      <c r="P537">
        <v>0</v>
      </c>
      <c r="Q537">
        <v>0</v>
      </c>
      <c r="R537">
        <v>0</v>
      </c>
      <c r="S537">
        <v>0</v>
      </c>
      <c r="T537" s="1">
        <v>80</v>
      </c>
      <c r="U537">
        <v>535</v>
      </c>
      <c r="V537">
        <v>0</v>
      </c>
      <c r="W537">
        <v>1</v>
      </c>
      <c r="X537">
        <v>0</v>
      </c>
      <c r="Y537">
        <v>0</v>
      </c>
      <c r="Z537">
        <v>0</v>
      </c>
      <c r="AA537" s="1">
        <v>100</v>
      </c>
      <c r="AB537">
        <v>535</v>
      </c>
      <c r="AC537">
        <v>0</v>
      </c>
      <c r="AD537">
        <v>0</v>
      </c>
      <c r="AE537">
        <v>0</v>
      </c>
      <c r="AF537">
        <v>0</v>
      </c>
      <c r="AG537">
        <v>1</v>
      </c>
      <c r="AH537" s="1">
        <v>120</v>
      </c>
      <c r="AI537">
        <v>535</v>
      </c>
      <c r="AJ537">
        <v>0</v>
      </c>
      <c r="AK537">
        <v>0</v>
      </c>
      <c r="AL537">
        <v>0</v>
      </c>
      <c r="AM537">
        <v>0</v>
      </c>
      <c r="AN537">
        <v>0</v>
      </c>
      <c r="AO537" s="1">
        <v>0</v>
      </c>
    </row>
    <row r="538" spans="7:41" x14ac:dyDescent="0.35">
      <c r="G538">
        <v>536</v>
      </c>
      <c r="H538">
        <v>0</v>
      </c>
      <c r="I538">
        <v>0</v>
      </c>
      <c r="J538">
        <v>3</v>
      </c>
      <c r="K538">
        <v>4</v>
      </c>
      <c r="L538">
        <v>0</v>
      </c>
      <c r="M538" s="1">
        <v>420</v>
      </c>
      <c r="N538">
        <v>536</v>
      </c>
      <c r="O538">
        <v>2</v>
      </c>
      <c r="P538">
        <v>0</v>
      </c>
      <c r="Q538">
        <v>1</v>
      </c>
      <c r="R538">
        <v>0</v>
      </c>
      <c r="S538">
        <v>0</v>
      </c>
      <c r="T538" s="1">
        <v>240</v>
      </c>
      <c r="U538">
        <v>536</v>
      </c>
      <c r="V538">
        <v>0</v>
      </c>
      <c r="W538">
        <v>0</v>
      </c>
      <c r="X538">
        <v>0</v>
      </c>
      <c r="Y538">
        <v>0</v>
      </c>
      <c r="Z538">
        <v>0</v>
      </c>
      <c r="AA538" s="1">
        <v>0</v>
      </c>
      <c r="AB538">
        <v>536</v>
      </c>
      <c r="AC538">
        <v>0</v>
      </c>
      <c r="AD538">
        <v>0</v>
      </c>
      <c r="AE538">
        <v>0</v>
      </c>
      <c r="AF538">
        <v>0</v>
      </c>
      <c r="AG538">
        <v>0</v>
      </c>
      <c r="AH538" s="1">
        <v>0</v>
      </c>
      <c r="AI538">
        <v>536</v>
      </c>
      <c r="AJ538">
        <v>0</v>
      </c>
      <c r="AK538">
        <v>0</v>
      </c>
      <c r="AL538">
        <v>0</v>
      </c>
      <c r="AM538">
        <v>0</v>
      </c>
      <c r="AN538">
        <v>0</v>
      </c>
      <c r="AO538" s="1">
        <v>0</v>
      </c>
    </row>
    <row r="539" spans="7:41" x14ac:dyDescent="0.35">
      <c r="G539">
        <v>537</v>
      </c>
      <c r="H539">
        <v>0</v>
      </c>
      <c r="I539">
        <v>1</v>
      </c>
      <c r="J539">
        <v>2</v>
      </c>
      <c r="K539">
        <v>3</v>
      </c>
      <c r="L539">
        <v>0</v>
      </c>
      <c r="M539" s="1">
        <v>360</v>
      </c>
      <c r="N539">
        <v>537</v>
      </c>
      <c r="O539">
        <v>0</v>
      </c>
      <c r="P539">
        <v>0</v>
      </c>
      <c r="Q539">
        <v>0</v>
      </c>
      <c r="R539">
        <v>0</v>
      </c>
      <c r="S539">
        <v>0</v>
      </c>
      <c r="T539" s="1">
        <v>0</v>
      </c>
      <c r="U539">
        <v>537</v>
      </c>
      <c r="V539">
        <v>0</v>
      </c>
      <c r="W539">
        <v>0</v>
      </c>
      <c r="X539">
        <v>0</v>
      </c>
      <c r="Y539">
        <v>0</v>
      </c>
      <c r="Z539">
        <v>0</v>
      </c>
      <c r="AA539" s="1">
        <v>0</v>
      </c>
      <c r="AB539">
        <v>537</v>
      </c>
      <c r="AC539">
        <v>0</v>
      </c>
      <c r="AD539">
        <v>0</v>
      </c>
      <c r="AE539">
        <v>0</v>
      </c>
      <c r="AF539">
        <v>0</v>
      </c>
      <c r="AG539">
        <v>0</v>
      </c>
      <c r="AH539" s="1">
        <v>0</v>
      </c>
      <c r="AI539">
        <v>537</v>
      </c>
      <c r="AJ539">
        <v>0</v>
      </c>
      <c r="AK539">
        <v>0</v>
      </c>
      <c r="AL539">
        <v>1</v>
      </c>
      <c r="AM539">
        <v>0</v>
      </c>
      <c r="AN539">
        <v>0</v>
      </c>
      <c r="AO539" s="1">
        <v>150</v>
      </c>
    </row>
    <row r="540" spans="7:41" x14ac:dyDescent="0.35">
      <c r="G540">
        <v>538</v>
      </c>
      <c r="H540">
        <v>3</v>
      </c>
      <c r="I540">
        <v>0</v>
      </c>
      <c r="J540">
        <v>2</v>
      </c>
      <c r="K540">
        <v>2</v>
      </c>
      <c r="L540">
        <v>1</v>
      </c>
      <c r="M540" s="1">
        <v>480</v>
      </c>
      <c r="N540">
        <v>538</v>
      </c>
      <c r="O540">
        <v>0</v>
      </c>
      <c r="P540">
        <v>1</v>
      </c>
      <c r="Q540">
        <v>0</v>
      </c>
      <c r="R540">
        <v>0</v>
      </c>
      <c r="S540">
        <v>0</v>
      </c>
      <c r="T540" s="1">
        <v>80</v>
      </c>
      <c r="U540">
        <v>538</v>
      </c>
      <c r="V540">
        <v>0</v>
      </c>
      <c r="W540">
        <v>0</v>
      </c>
      <c r="X540">
        <v>1</v>
      </c>
      <c r="Y540">
        <v>0</v>
      </c>
      <c r="Z540">
        <v>0</v>
      </c>
      <c r="AA540" s="1">
        <v>100</v>
      </c>
      <c r="AB540">
        <v>538</v>
      </c>
      <c r="AC540">
        <v>0</v>
      </c>
      <c r="AD540">
        <v>0</v>
      </c>
      <c r="AE540">
        <v>0</v>
      </c>
      <c r="AF540">
        <v>0</v>
      </c>
      <c r="AG540">
        <v>0</v>
      </c>
      <c r="AH540" s="1">
        <v>0</v>
      </c>
      <c r="AI540">
        <v>538</v>
      </c>
      <c r="AJ540">
        <v>0</v>
      </c>
      <c r="AK540">
        <v>0</v>
      </c>
      <c r="AL540">
        <v>2</v>
      </c>
      <c r="AM540">
        <v>0</v>
      </c>
      <c r="AN540">
        <v>0</v>
      </c>
      <c r="AO540" s="1">
        <v>300</v>
      </c>
    </row>
    <row r="541" spans="7:41" x14ac:dyDescent="0.35">
      <c r="G541">
        <v>539</v>
      </c>
      <c r="H541">
        <v>0</v>
      </c>
      <c r="I541">
        <v>1</v>
      </c>
      <c r="J541">
        <v>0</v>
      </c>
      <c r="K541">
        <v>0</v>
      </c>
      <c r="L541">
        <v>1</v>
      </c>
      <c r="M541" s="1">
        <v>120</v>
      </c>
      <c r="N541">
        <v>539</v>
      </c>
      <c r="O541">
        <v>1</v>
      </c>
      <c r="P541">
        <v>0</v>
      </c>
      <c r="Q541">
        <v>0</v>
      </c>
      <c r="R541">
        <v>0</v>
      </c>
      <c r="S541">
        <v>0</v>
      </c>
      <c r="T541" s="1">
        <v>80</v>
      </c>
      <c r="U541">
        <v>539</v>
      </c>
      <c r="V541">
        <v>0</v>
      </c>
      <c r="W541">
        <v>0</v>
      </c>
      <c r="X541">
        <v>0</v>
      </c>
      <c r="Y541">
        <v>0</v>
      </c>
      <c r="Z541">
        <v>0</v>
      </c>
      <c r="AA541" s="1">
        <v>0</v>
      </c>
      <c r="AB541">
        <v>539</v>
      </c>
      <c r="AC541">
        <v>0</v>
      </c>
      <c r="AD541">
        <v>0</v>
      </c>
      <c r="AE541">
        <v>0</v>
      </c>
      <c r="AF541">
        <v>0</v>
      </c>
      <c r="AG541">
        <v>0</v>
      </c>
      <c r="AH541" s="1">
        <v>0</v>
      </c>
      <c r="AI541">
        <v>539</v>
      </c>
      <c r="AJ541">
        <v>0</v>
      </c>
      <c r="AK541">
        <v>0</v>
      </c>
      <c r="AL541">
        <v>0</v>
      </c>
      <c r="AM541">
        <v>0</v>
      </c>
      <c r="AN541">
        <v>0</v>
      </c>
      <c r="AO541" s="1">
        <v>0</v>
      </c>
    </row>
    <row r="542" spans="7:41" x14ac:dyDescent="0.35">
      <c r="G542">
        <v>540</v>
      </c>
      <c r="H542">
        <v>0</v>
      </c>
      <c r="I542">
        <v>1</v>
      </c>
      <c r="J542">
        <v>0</v>
      </c>
      <c r="K542">
        <v>1</v>
      </c>
      <c r="L542">
        <v>0</v>
      </c>
      <c r="M542" s="1">
        <v>120</v>
      </c>
      <c r="N542">
        <v>540</v>
      </c>
      <c r="O542">
        <v>0</v>
      </c>
      <c r="P542">
        <v>0</v>
      </c>
      <c r="Q542">
        <v>3</v>
      </c>
      <c r="R542">
        <v>1</v>
      </c>
      <c r="S542">
        <v>1</v>
      </c>
      <c r="T542" s="1">
        <v>400</v>
      </c>
      <c r="U542">
        <v>540</v>
      </c>
      <c r="V542">
        <v>0</v>
      </c>
      <c r="W542">
        <v>3</v>
      </c>
      <c r="X542">
        <v>0</v>
      </c>
      <c r="Y542">
        <v>0</v>
      </c>
      <c r="Z542">
        <v>0</v>
      </c>
      <c r="AA542" s="1">
        <v>300</v>
      </c>
      <c r="AB542">
        <v>540</v>
      </c>
      <c r="AC542">
        <v>1</v>
      </c>
      <c r="AD542">
        <v>0</v>
      </c>
      <c r="AE542">
        <v>0</v>
      </c>
      <c r="AF542">
        <v>0</v>
      </c>
      <c r="AG542">
        <v>0</v>
      </c>
      <c r="AH542" s="1">
        <v>120</v>
      </c>
      <c r="AI542">
        <v>540</v>
      </c>
      <c r="AJ542">
        <v>0</v>
      </c>
      <c r="AK542">
        <v>0</v>
      </c>
      <c r="AL542">
        <v>1</v>
      </c>
      <c r="AM542">
        <v>0</v>
      </c>
      <c r="AN542">
        <v>0</v>
      </c>
      <c r="AO542" s="1">
        <v>150</v>
      </c>
    </row>
    <row r="543" spans="7:41" x14ac:dyDescent="0.35">
      <c r="G543">
        <v>541</v>
      </c>
      <c r="H543">
        <v>1</v>
      </c>
      <c r="I543">
        <v>2</v>
      </c>
      <c r="J543">
        <v>2</v>
      </c>
      <c r="K543">
        <v>1</v>
      </c>
      <c r="L543">
        <v>0</v>
      </c>
      <c r="M543" s="1">
        <v>360</v>
      </c>
      <c r="N543">
        <v>541</v>
      </c>
      <c r="O543">
        <v>0</v>
      </c>
      <c r="P543">
        <v>2</v>
      </c>
      <c r="Q543">
        <v>3</v>
      </c>
      <c r="R543">
        <v>0</v>
      </c>
      <c r="S543">
        <v>0</v>
      </c>
      <c r="T543" s="1">
        <v>400</v>
      </c>
      <c r="U543">
        <v>541</v>
      </c>
      <c r="V543">
        <v>0</v>
      </c>
      <c r="W543">
        <v>1</v>
      </c>
      <c r="X543">
        <v>0</v>
      </c>
      <c r="Y543">
        <v>0</v>
      </c>
      <c r="Z543">
        <v>1</v>
      </c>
      <c r="AA543" s="1">
        <v>200</v>
      </c>
      <c r="AB543">
        <v>541</v>
      </c>
      <c r="AC543">
        <v>0</v>
      </c>
      <c r="AD543">
        <v>0</v>
      </c>
      <c r="AE543">
        <v>0</v>
      </c>
      <c r="AF543">
        <v>0</v>
      </c>
      <c r="AG543">
        <v>0</v>
      </c>
      <c r="AH543" s="1">
        <v>0</v>
      </c>
      <c r="AI543">
        <v>541</v>
      </c>
      <c r="AJ543">
        <v>0</v>
      </c>
      <c r="AK543">
        <v>0</v>
      </c>
      <c r="AL543">
        <v>0</v>
      </c>
      <c r="AM543">
        <v>0</v>
      </c>
      <c r="AN543">
        <v>0</v>
      </c>
      <c r="AO543" s="1">
        <v>0</v>
      </c>
    </row>
    <row r="544" spans="7:41" x14ac:dyDescent="0.35">
      <c r="G544">
        <v>542</v>
      </c>
      <c r="H544">
        <v>0</v>
      </c>
      <c r="I544">
        <v>5</v>
      </c>
      <c r="J544">
        <v>1</v>
      </c>
      <c r="K544">
        <v>2</v>
      </c>
      <c r="L544">
        <v>1</v>
      </c>
      <c r="M544" s="1">
        <v>540</v>
      </c>
      <c r="N544">
        <v>542</v>
      </c>
      <c r="O544">
        <v>0</v>
      </c>
      <c r="P544">
        <v>2</v>
      </c>
      <c r="Q544">
        <v>0</v>
      </c>
      <c r="R544">
        <v>1</v>
      </c>
      <c r="S544">
        <v>0</v>
      </c>
      <c r="T544" s="1">
        <v>240</v>
      </c>
      <c r="U544">
        <v>542</v>
      </c>
      <c r="V544">
        <v>0</v>
      </c>
      <c r="W544">
        <v>0</v>
      </c>
      <c r="X544">
        <v>0</v>
      </c>
      <c r="Y544">
        <v>0</v>
      </c>
      <c r="Z544">
        <v>0</v>
      </c>
      <c r="AA544" s="1">
        <v>0</v>
      </c>
      <c r="AB544">
        <v>542</v>
      </c>
      <c r="AC544">
        <v>0</v>
      </c>
      <c r="AD544">
        <v>0</v>
      </c>
      <c r="AE544">
        <v>0</v>
      </c>
      <c r="AF544">
        <v>0</v>
      </c>
      <c r="AG544">
        <v>0</v>
      </c>
      <c r="AH544" s="1">
        <v>0</v>
      </c>
      <c r="AI544">
        <v>542</v>
      </c>
      <c r="AJ544">
        <v>0</v>
      </c>
      <c r="AK544">
        <v>0</v>
      </c>
      <c r="AL544">
        <v>3</v>
      </c>
      <c r="AM544">
        <v>0</v>
      </c>
      <c r="AN544">
        <v>0</v>
      </c>
      <c r="AO544" s="1">
        <v>450</v>
      </c>
    </row>
    <row r="545" spans="7:41" x14ac:dyDescent="0.35">
      <c r="G545">
        <v>543</v>
      </c>
      <c r="H545">
        <v>0</v>
      </c>
      <c r="I545">
        <v>0</v>
      </c>
      <c r="J545">
        <v>1</v>
      </c>
      <c r="K545">
        <v>0</v>
      </c>
      <c r="L545">
        <v>0</v>
      </c>
      <c r="M545" s="1">
        <v>60</v>
      </c>
      <c r="N545">
        <v>543</v>
      </c>
      <c r="O545">
        <v>0</v>
      </c>
      <c r="P545">
        <v>1</v>
      </c>
      <c r="Q545">
        <v>0</v>
      </c>
      <c r="R545">
        <v>1</v>
      </c>
      <c r="S545">
        <v>0</v>
      </c>
      <c r="T545" s="1">
        <v>160</v>
      </c>
      <c r="U545">
        <v>543</v>
      </c>
      <c r="V545">
        <v>0</v>
      </c>
      <c r="W545">
        <v>2</v>
      </c>
      <c r="X545">
        <v>0</v>
      </c>
      <c r="Y545">
        <v>0</v>
      </c>
      <c r="Z545">
        <v>0</v>
      </c>
      <c r="AA545" s="1">
        <v>200</v>
      </c>
      <c r="AB545">
        <v>543</v>
      </c>
      <c r="AC545">
        <v>0</v>
      </c>
      <c r="AD545">
        <v>0</v>
      </c>
      <c r="AE545">
        <v>0</v>
      </c>
      <c r="AF545">
        <v>0</v>
      </c>
      <c r="AG545">
        <v>0</v>
      </c>
      <c r="AH545" s="1">
        <v>0</v>
      </c>
      <c r="AI545">
        <v>543</v>
      </c>
      <c r="AJ545">
        <v>0</v>
      </c>
      <c r="AK545">
        <v>0</v>
      </c>
      <c r="AL545">
        <v>0</v>
      </c>
      <c r="AM545">
        <v>0</v>
      </c>
      <c r="AN545">
        <v>0</v>
      </c>
      <c r="AO545" s="1">
        <v>0</v>
      </c>
    </row>
    <row r="546" spans="7:41" x14ac:dyDescent="0.35">
      <c r="G546">
        <v>544</v>
      </c>
      <c r="H546">
        <v>0</v>
      </c>
      <c r="I546">
        <v>0</v>
      </c>
      <c r="J546">
        <v>1</v>
      </c>
      <c r="K546">
        <v>0</v>
      </c>
      <c r="L546">
        <v>0</v>
      </c>
      <c r="M546" s="1">
        <v>60</v>
      </c>
      <c r="N546">
        <v>544</v>
      </c>
      <c r="O546">
        <v>0</v>
      </c>
      <c r="P546">
        <v>0</v>
      </c>
      <c r="Q546">
        <v>0</v>
      </c>
      <c r="R546">
        <v>0</v>
      </c>
      <c r="S546">
        <v>0</v>
      </c>
      <c r="T546" s="1">
        <v>0</v>
      </c>
      <c r="U546">
        <v>544</v>
      </c>
      <c r="V546">
        <v>0</v>
      </c>
      <c r="W546">
        <v>0</v>
      </c>
      <c r="X546">
        <v>0</v>
      </c>
      <c r="Y546">
        <v>0</v>
      </c>
      <c r="Z546">
        <v>0</v>
      </c>
      <c r="AA546" s="1">
        <v>0</v>
      </c>
      <c r="AB546">
        <v>544</v>
      </c>
      <c r="AC546">
        <v>0</v>
      </c>
      <c r="AD546">
        <v>0</v>
      </c>
      <c r="AE546">
        <v>0</v>
      </c>
      <c r="AF546">
        <v>0</v>
      </c>
      <c r="AG546">
        <v>0</v>
      </c>
      <c r="AH546" s="1">
        <v>0</v>
      </c>
      <c r="AI546">
        <v>544</v>
      </c>
      <c r="AJ546">
        <v>0</v>
      </c>
      <c r="AK546">
        <v>0</v>
      </c>
      <c r="AL546">
        <v>0</v>
      </c>
      <c r="AM546">
        <v>0</v>
      </c>
      <c r="AN546">
        <v>0</v>
      </c>
      <c r="AO546" s="1">
        <v>0</v>
      </c>
    </row>
    <row r="547" spans="7:41" x14ac:dyDescent="0.35">
      <c r="G547">
        <v>545</v>
      </c>
      <c r="H547">
        <v>0</v>
      </c>
      <c r="I547">
        <v>0</v>
      </c>
      <c r="J547">
        <v>3</v>
      </c>
      <c r="K547">
        <v>0</v>
      </c>
      <c r="L547">
        <v>2</v>
      </c>
      <c r="M547" s="1">
        <v>300</v>
      </c>
      <c r="N547">
        <v>545</v>
      </c>
      <c r="O547">
        <v>0</v>
      </c>
      <c r="P547">
        <v>0</v>
      </c>
      <c r="Q547">
        <v>3</v>
      </c>
      <c r="R547">
        <v>0</v>
      </c>
      <c r="S547">
        <v>0</v>
      </c>
      <c r="T547" s="1">
        <v>240</v>
      </c>
      <c r="U547">
        <v>545</v>
      </c>
      <c r="V547">
        <v>0</v>
      </c>
      <c r="W547">
        <v>0</v>
      </c>
      <c r="X547">
        <v>0</v>
      </c>
      <c r="Y547">
        <v>1</v>
      </c>
      <c r="Z547">
        <v>0</v>
      </c>
      <c r="AA547" s="1">
        <v>100</v>
      </c>
      <c r="AB547">
        <v>545</v>
      </c>
      <c r="AC547">
        <v>1</v>
      </c>
      <c r="AD547">
        <v>0</v>
      </c>
      <c r="AE547">
        <v>0</v>
      </c>
      <c r="AF547">
        <v>0</v>
      </c>
      <c r="AG547">
        <v>0</v>
      </c>
      <c r="AH547" s="1">
        <v>120</v>
      </c>
      <c r="AI547">
        <v>545</v>
      </c>
      <c r="AJ547">
        <v>0</v>
      </c>
      <c r="AK547">
        <v>0</v>
      </c>
      <c r="AL547">
        <v>1</v>
      </c>
      <c r="AM547">
        <v>0</v>
      </c>
      <c r="AN547">
        <v>0</v>
      </c>
      <c r="AO547" s="1">
        <v>150</v>
      </c>
    </row>
    <row r="548" spans="7:41" x14ac:dyDescent="0.35">
      <c r="G548">
        <v>546</v>
      </c>
      <c r="H548">
        <v>0</v>
      </c>
      <c r="I548">
        <v>3</v>
      </c>
      <c r="J548">
        <v>2</v>
      </c>
      <c r="K548">
        <v>4</v>
      </c>
      <c r="L548">
        <v>0</v>
      </c>
      <c r="M548" s="1">
        <v>540</v>
      </c>
      <c r="N548">
        <v>546</v>
      </c>
      <c r="O548">
        <v>0</v>
      </c>
      <c r="P548">
        <v>0</v>
      </c>
      <c r="Q548">
        <v>1</v>
      </c>
      <c r="R548">
        <v>0</v>
      </c>
      <c r="S548">
        <v>0</v>
      </c>
      <c r="T548" s="1">
        <v>80</v>
      </c>
      <c r="U548">
        <v>546</v>
      </c>
      <c r="V548">
        <v>1</v>
      </c>
      <c r="W548">
        <v>0</v>
      </c>
      <c r="X548">
        <v>0</v>
      </c>
      <c r="Y548">
        <v>0</v>
      </c>
      <c r="Z548">
        <v>0</v>
      </c>
      <c r="AA548" s="1">
        <v>100</v>
      </c>
      <c r="AB548">
        <v>546</v>
      </c>
      <c r="AC548">
        <v>0</v>
      </c>
      <c r="AD548">
        <v>0</v>
      </c>
      <c r="AE548">
        <v>0</v>
      </c>
      <c r="AF548">
        <v>0</v>
      </c>
      <c r="AG548">
        <v>0</v>
      </c>
      <c r="AH548" s="1">
        <v>0</v>
      </c>
      <c r="AI548">
        <v>546</v>
      </c>
      <c r="AJ548">
        <v>0</v>
      </c>
      <c r="AK548">
        <v>0</v>
      </c>
      <c r="AL548">
        <v>0</v>
      </c>
      <c r="AM548">
        <v>0</v>
      </c>
      <c r="AN548">
        <v>0</v>
      </c>
      <c r="AO548" s="1">
        <v>0</v>
      </c>
    </row>
    <row r="549" spans="7:41" x14ac:dyDescent="0.35">
      <c r="G549">
        <v>547</v>
      </c>
      <c r="H549">
        <v>0</v>
      </c>
      <c r="I549">
        <v>2</v>
      </c>
      <c r="J549">
        <v>1</v>
      </c>
      <c r="K549">
        <v>1</v>
      </c>
      <c r="L549">
        <v>1</v>
      </c>
      <c r="M549" s="1">
        <v>300</v>
      </c>
      <c r="N549">
        <v>547</v>
      </c>
      <c r="O549">
        <v>0</v>
      </c>
      <c r="P549">
        <v>0</v>
      </c>
      <c r="Q549">
        <v>0</v>
      </c>
      <c r="R549">
        <v>1</v>
      </c>
      <c r="S549">
        <v>0</v>
      </c>
      <c r="T549" s="1">
        <v>80</v>
      </c>
      <c r="U549">
        <v>547</v>
      </c>
      <c r="V549">
        <v>0</v>
      </c>
      <c r="W549">
        <v>1</v>
      </c>
      <c r="X549">
        <v>0</v>
      </c>
      <c r="Y549">
        <v>0</v>
      </c>
      <c r="Z549">
        <v>0</v>
      </c>
      <c r="AA549" s="1">
        <v>100</v>
      </c>
      <c r="AB549">
        <v>547</v>
      </c>
      <c r="AC549">
        <v>0</v>
      </c>
      <c r="AD549">
        <v>0</v>
      </c>
      <c r="AE549">
        <v>0</v>
      </c>
      <c r="AF549">
        <v>1</v>
      </c>
      <c r="AG549">
        <v>0</v>
      </c>
      <c r="AH549" s="1">
        <v>120</v>
      </c>
      <c r="AI549">
        <v>547</v>
      </c>
      <c r="AJ549">
        <v>0</v>
      </c>
      <c r="AK549">
        <v>0</v>
      </c>
      <c r="AL549">
        <v>0</v>
      </c>
      <c r="AM549">
        <v>0</v>
      </c>
      <c r="AN549">
        <v>0</v>
      </c>
      <c r="AO549" s="1">
        <v>0</v>
      </c>
    </row>
    <row r="550" spans="7:41" x14ac:dyDescent="0.35">
      <c r="G550">
        <v>548</v>
      </c>
      <c r="H550">
        <v>0</v>
      </c>
      <c r="I550">
        <v>2</v>
      </c>
      <c r="J550">
        <v>0</v>
      </c>
      <c r="K550">
        <v>2</v>
      </c>
      <c r="L550">
        <v>0</v>
      </c>
      <c r="M550" s="1">
        <v>240</v>
      </c>
      <c r="N550">
        <v>548</v>
      </c>
      <c r="O550">
        <v>0</v>
      </c>
      <c r="P550">
        <v>0</v>
      </c>
      <c r="Q550">
        <v>0</v>
      </c>
      <c r="R550">
        <v>0</v>
      </c>
      <c r="S550">
        <v>1</v>
      </c>
      <c r="T550" s="1">
        <v>80</v>
      </c>
      <c r="U550">
        <v>548</v>
      </c>
      <c r="V550">
        <v>0</v>
      </c>
      <c r="W550">
        <v>0</v>
      </c>
      <c r="X550">
        <v>0</v>
      </c>
      <c r="Y550">
        <v>0</v>
      </c>
      <c r="Z550">
        <v>0</v>
      </c>
      <c r="AA550" s="1">
        <v>0</v>
      </c>
      <c r="AB550">
        <v>548</v>
      </c>
      <c r="AC550">
        <v>0</v>
      </c>
      <c r="AD550">
        <v>0</v>
      </c>
      <c r="AE550">
        <v>0</v>
      </c>
      <c r="AF550">
        <v>0</v>
      </c>
      <c r="AG550">
        <v>0</v>
      </c>
      <c r="AH550" s="1">
        <v>0</v>
      </c>
      <c r="AI550">
        <v>548</v>
      </c>
      <c r="AJ550">
        <v>0</v>
      </c>
      <c r="AK550">
        <v>0</v>
      </c>
      <c r="AL550">
        <v>1</v>
      </c>
      <c r="AM550">
        <v>0</v>
      </c>
      <c r="AN550">
        <v>0</v>
      </c>
      <c r="AO550" s="1">
        <v>150</v>
      </c>
    </row>
    <row r="551" spans="7:41" x14ac:dyDescent="0.35">
      <c r="G551">
        <v>549</v>
      </c>
      <c r="H551">
        <v>0</v>
      </c>
      <c r="I551">
        <v>2</v>
      </c>
      <c r="J551">
        <v>2</v>
      </c>
      <c r="K551">
        <v>1</v>
      </c>
      <c r="L551">
        <v>0</v>
      </c>
      <c r="M551" s="1">
        <v>300</v>
      </c>
      <c r="N551">
        <v>549</v>
      </c>
      <c r="O551">
        <v>0</v>
      </c>
      <c r="P551">
        <v>0</v>
      </c>
      <c r="Q551">
        <v>3</v>
      </c>
      <c r="R551">
        <v>0</v>
      </c>
      <c r="S551">
        <v>0</v>
      </c>
      <c r="T551" s="1">
        <v>240</v>
      </c>
      <c r="U551">
        <v>549</v>
      </c>
      <c r="V551">
        <v>0</v>
      </c>
      <c r="W551">
        <v>1</v>
      </c>
      <c r="X551">
        <v>0</v>
      </c>
      <c r="Y551">
        <v>0</v>
      </c>
      <c r="Z551">
        <v>0</v>
      </c>
      <c r="AA551" s="1">
        <v>100</v>
      </c>
      <c r="AB551">
        <v>549</v>
      </c>
      <c r="AC551">
        <v>0</v>
      </c>
      <c r="AD551">
        <v>0</v>
      </c>
      <c r="AE551">
        <v>0</v>
      </c>
      <c r="AF551">
        <v>0</v>
      </c>
      <c r="AG551">
        <v>0</v>
      </c>
      <c r="AH551" s="1">
        <v>0</v>
      </c>
      <c r="AI551">
        <v>549</v>
      </c>
      <c r="AJ551">
        <v>0</v>
      </c>
      <c r="AK551">
        <v>0</v>
      </c>
      <c r="AL551">
        <v>0</v>
      </c>
      <c r="AM551">
        <v>0</v>
      </c>
      <c r="AN551">
        <v>0</v>
      </c>
      <c r="AO551" s="1">
        <v>0</v>
      </c>
    </row>
    <row r="552" spans="7:41" x14ac:dyDescent="0.35">
      <c r="G552">
        <v>550</v>
      </c>
      <c r="H552">
        <v>1</v>
      </c>
      <c r="I552">
        <v>2</v>
      </c>
      <c r="J552">
        <v>0</v>
      </c>
      <c r="K552">
        <v>1</v>
      </c>
      <c r="L552">
        <v>0</v>
      </c>
      <c r="M552" s="1">
        <v>240</v>
      </c>
      <c r="N552">
        <v>550</v>
      </c>
      <c r="O552">
        <v>0</v>
      </c>
      <c r="P552">
        <v>1</v>
      </c>
      <c r="Q552">
        <v>1</v>
      </c>
      <c r="R552">
        <v>1</v>
      </c>
      <c r="S552">
        <v>1</v>
      </c>
      <c r="T552" s="1">
        <v>320</v>
      </c>
      <c r="U552">
        <v>550</v>
      </c>
      <c r="V552">
        <v>1</v>
      </c>
      <c r="W552">
        <v>2</v>
      </c>
      <c r="X552">
        <v>0</v>
      </c>
      <c r="Y552">
        <v>0</v>
      </c>
      <c r="Z552">
        <v>0</v>
      </c>
      <c r="AA552" s="1">
        <v>300</v>
      </c>
      <c r="AB552">
        <v>550</v>
      </c>
      <c r="AC552">
        <v>0</v>
      </c>
      <c r="AD552">
        <v>0</v>
      </c>
      <c r="AE552">
        <v>0</v>
      </c>
      <c r="AF552">
        <v>0</v>
      </c>
      <c r="AG552">
        <v>0</v>
      </c>
      <c r="AH552" s="1">
        <v>0</v>
      </c>
      <c r="AI552">
        <v>550</v>
      </c>
      <c r="AJ552">
        <v>0</v>
      </c>
      <c r="AK552">
        <v>0</v>
      </c>
      <c r="AL552">
        <v>3</v>
      </c>
      <c r="AM552">
        <v>0</v>
      </c>
      <c r="AN552">
        <v>0</v>
      </c>
      <c r="AO552" s="1">
        <v>450</v>
      </c>
    </row>
    <row r="553" spans="7:41" x14ac:dyDescent="0.35">
      <c r="G553">
        <v>551</v>
      </c>
      <c r="H553">
        <v>1</v>
      </c>
      <c r="I553">
        <v>2</v>
      </c>
      <c r="J553">
        <v>0</v>
      </c>
      <c r="K553">
        <v>0</v>
      </c>
      <c r="L553">
        <v>0</v>
      </c>
      <c r="M553" s="1">
        <v>180</v>
      </c>
      <c r="N553">
        <v>551</v>
      </c>
      <c r="O553">
        <v>0</v>
      </c>
      <c r="P553">
        <v>1</v>
      </c>
      <c r="Q553">
        <v>0</v>
      </c>
      <c r="R553">
        <v>0</v>
      </c>
      <c r="S553">
        <v>1</v>
      </c>
      <c r="T553" s="1">
        <v>160</v>
      </c>
      <c r="U553">
        <v>551</v>
      </c>
      <c r="V553">
        <v>0</v>
      </c>
      <c r="W553">
        <v>0</v>
      </c>
      <c r="X553">
        <v>0</v>
      </c>
      <c r="Y553">
        <v>0</v>
      </c>
      <c r="Z553">
        <v>0</v>
      </c>
      <c r="AA553" s="1">
        <v>0</v>
      </c>
      <c r="AB553">
        <v>551</v>
      </c>
      <c r="AC553">
        <v>0</v>
      </c>
      <c r="AD553">
        <v>0</v>
      </c>
      <c r="AE553">
        <v>0</v>
      </c>
      <c r="AF553">
        <v>0</v>
      </c>
      <c r="AG553">
        <v>0</v>
      </c>
      <c r="AH553" s="1">
        <v>0</v>
      </c>
      <c r="AI553">
        <v>551</v>
      </c>
      <c r="AJ553">
        <v>0</v>
      </c>
      <c r="AK553">
        <v>0</v>
      </c>
      <c r="AL553">
        <v>1</v>
      </c>
      <c r="AM553">
        <v>0</v>
      </c>
      <c r="AN553">
        <v>0</v>
      </c>
      <c r="AO553" s="1">
        <v>150</v>
      </c>
    </row>
    <row r="554" spans="7:41" x14ac:dyDescent="0.35">
      <c r="G554">
        <v>552</v>
      </c>
      <c r="H554">
        <v>1</v>
      </c>
      <c r="I554">
        <v>1</v>
      </c>
      <c r="J554">
        <v>2</v>
      </c>
      <c r="K554">
        <v>0</v>
      </c>
      <c r="L554">
        <v>1</v>
      </c>
      <c r="M554" s="1">
        <v>300</v>
      </c>
      <c r="N554">
        <v>552</v>
      </c>
      <c r="O554">
        <v>2</v>
      </c>
      <c r="P554">
        <v>2</v>
      </c>
      <c r="Q554">
        <v>0</v>
      </c>
      <c r="R554">
        <v>0</v>
      </c>
      <c r="S554">
        <v>0</v>
      </c>
      <c r="T554" s="1">
        <v>320</v>
      </c>
      <c r="U554">
        <v>552</v>
      </c>
      <c r="V554">
        <v>0</v>
      </c>
      <c r="W554">
        <v>1</v>
      </c>
      <c r="X554">
        <v>0</v>
      </c>
      <c r="Y554">
        <v>0</v>
      </c>
      <c r="Z554">
        <v>1</v>
      </c>
      <c r="AA554" s="1">
        <v>200</v>
      </c>
      <c r="AB554">
        <v>552</v>
      </c>
      <c r="AC554">
        <v>0</v>
      </c>
      <c r="AD554">
        <v>0</v>
      </c>
      <c r="AE554">
        <v>0</v>
      </c>
      <c r="AF554">
        <v>1</v>
      </c>
      <c r="AG554">
        <v>0</v>
      </c>
      <c r="AH554" s="1">
        <v>120</v>
      </c>
      <c r="AI554">
        <v>552</v>
      </c>
      <c r="AJ554">
        <v>0</v>
      </c>
      <c r="AK554">
        <v>0</v>
      </c>
      <c r="AL554">
        <v>0</v>
      </c>
      <c r="AM554">
        <v>0</v>
      </c>
      <c r="AN554">
        <v>0</v>
      </c>
      <c r="AO554" s="1">
        <v>0</v>
      </c>
    </row>
    <row r="555" spans="7:41" x14ac:dyDescent="0.35">
      <c r="G555">
        <v>553</v>
      </c>
      <c r="H555">
        <v>0</v>
      </c>
      <c r="I555">
        <v>2</v>
      </c>
      <c r="J555">
        <v>1</v>
      </c>
      <c r="K555">
        <v>0</v>
      </c>
      <c r="L555">
        <v>0</v>
      </c>
      <c r="M555" s="1">
        <v>180</v>
      </c>
      <c r="N555">
        <v>553</v>
      </c>
      <c r="O555">
        <v>0</v>
      </c>
      <c r="P555">
        <v>0</v>
      </c>
      <c r="Q555">
        <v>0</v>
      </c>
      <c r="R555">
        <v>0</v>
      </c>
      <c r="S555">
        <v>0</v>
      </c>
      <c r="T555" s="1">
        <v>0</v>
      </c>
      <c r="U555">
        <v>553</v>
      </c>
      <c r="V555">
        <v>0</v>
      </c>
      <c r="W555">
        <v>0</v>
      </c>
      <c r="X555">
        <v>1</v>
      </c>
      <c r="Y555">
        <v>0</v>
      </c>
      <c r="Z555">
        <v>0</v>
      </c>
      <c r="AA555" s="1">
        <v>100</v>
      </c>
      <c r="AB555">
        <v>553</v>
      </c>
      <c r="AC555">
        <v>0</v>
      </c>
      <c r="AD555">
        <v>0</v>
      </c>
      <c r="AE555">
        <v>0</v>
      </c>
      <c r="AF555">
        <v>0</v>
      </c>
      <c r="AG555">
        <v>0</v>
      </c>
      <c r="AH555" s="1">
        <v>0</v>
      </c>
      <c r="AI555">
        <v>553</v>
      </c>
      <c r="AJ555">
        <v>0</v>
      </c>
      <c r="AK555">
        <v>0</v>
      </c>
      <c r="AL555">
        <v>1</v>
      </c>
      <c r="AM555">
        <v>0</v>
      </c>
      <c r="AN555">
        <v>0</v>
      </c>
      <c r="AO555" s="1">
        <v>150</v>
      </c>
    </row>
    <row r="556" spans="7:41" x14ac:dyDescent="0.35">
      <c r="G556">
        <v>554</v>
      </c>
      <c r="H556">
        <v>2</v>
      </c>
      <c r="I556">
        <v>0</v>
      </c>
      <c r="J556">
        <v>0</v>
      </c>
      <c r="K556">
        <v>0</v>
      </c>
      <c r="L556">
        <v>2</v>
      </c>
      <c r="M556" s="1">
        <v>240</v>
      </c>
      <c r="N556">
        <v>554</v>
      </c>
      <c r="O556">
        <v>1</v>
      </c>
      <c r="P556">
        <v>1</v>
      </c>
      <c r="Q556">
        <v>0</v>
      </c>
      <c r="R556">
        <v>0</v>
      </c>
      <c r="S556">
        <v>2</v>
      </c>
      <c r="T556" s="1">
        <v>320</v>
      </c>
      <c r="U556">
        <v>554</v>
      </c>
      <c r="V556">
        <v>0</v>
      </c>
      <c r="W556">
        <v>0</v>
      </c>
      <c r="X556">
        <v>0</v>
      </c>
      <c r="Y556">
        <v>0</v>
      </c>
      <c r="Z556">
        <v>0</v>
      </c>
      <c r="AA556" s="1">
        <v>0</v>
      </c>
      <c r="AB556">
        <v>554</v>
      </c>
      <c r="AC556">
        <v>0</v>
      </c>
      <c r="AD556">
        <v>0</v>
      </c>
      <c r="AE556">
        <v>0</v>
      </c>
      <c r="AF556">
        <v>0</v>
      </c>
      <c r="AG556">
        <v>0</v>
      </c>
      <c r="AH556" s="1">
        <v>0</v>
      </c>
      <c r="AI556">
        <v>554</v>
      </c>
      <c r="AJ556">
        <v>0</v>
      </c>
      <c r="AK556">
        <v>0</v>
      </c>
      <c r="AL556">
        <v>0</v>
      </c>
      <c r="AM556">
        <v>0</v>
      </c>
      <c r="AN556">
        <v>0</v>
      </c>
      <c r="AO556" s="1">
        <v>0</v>
      </c>
    </row>
    <row r="557" spans="7:41" x14ac:dyDescent="0.35">
      <c r="G557">
        <v>555</v>
      </c>
      <c r="H557">
        <v>1</v>
      </c>
      <c r="I557">
        <v>0</v>
      </c>
      <c r="J557">
        <v>1</v>
      </c>
      <c r="K557">
        <v>0</v>
      </c>
      <c r="L557">
        <v>2</v>
      </c>
      <c r="M557" s="1">
        <v>240</v>
      </c>
      <c r="N557">
        <v>555</v>
      </c>
      <c r="O557">
        <v>0</v>
      </c>
      <c r="P557">
        <v>0</v>
      </c>
      <c r="Q557">
        <v>0</v>
      </c>
      <c r="R557">
        <v>0</v>
      </c>
      <c r="S557">
        <v>0</v>
      </c>
      <c r="T557" s="1">
        <v>0</v>
      </c>
      <c r="U557">
        <v>555</v>
      </c>
      <c r="V557">
        <v>0</v>
      </c>
      <c r="W557">
        <v>1</v>
      </c>
      <c r="X557">
        <v>0</v>
      </c>
      <c r="Y557">
        <v>1</v>
      </c>
      <c r="Z557">
        <v>0</v>
      </c>
      <c r="AA557" s="1">
        <v>200</v>
      </c>
      <c r="AB557">
        <v>555</v>
      </c>
      <c r="AC557">
        <v>0</v>
      </c>
      <c r="AD557">
        <v>0</v>
      </c>
      <c r="AE557">
        <v>0</v>
      </c>
      <c r="AF557">
        <v>0</v>
      </c>
      <c r="AG557">
        <v>0</v>
      </c>
      <c r="AH557" s="1">
        <v>0</v>
      </c>
      <c r="AI557">
        <v>555</v>
      </c>
      <c r="AJ557">
        <v>0</v>
      </c>
      <c r="AK557">
        <v>0</v>
      </c>
      <c r="AL557">
        <v>1</v>
      </c>
      <c r="AM557">
        <v>0</v>
      </c>
      <c r="AN557">
        <v>0</v>
      </c>
      <c r="AO557" s="1">
        <v>150</v>
      </c>
    </row>
    <row r="558" spans="7:41" x14ac:dyDescent="0.35">
      <c r="G558">
        <v>556</v>
      </c>
      <c r="H558">
        <v>0</v>
      </c>
      <c r="I558">
        <v>1</v>
      </c>
      <c r="J558">
        <v>1</v>
      </c>
      <c r="K558">
        <v>0</v>
      </c>
      <c r="L558">
        <v>1</v>
      </c>
      <c r="M558" s="1">
        <v>180</v>
      </c>
      <c r="N558">
        <v>556</v>
      </c>
      <c r="O558">
        <v>0</v>
      </c>
      <c r="P558">
        <v>0</v>
      </c>
      <c r="Q558">
        <v>1</v>
      </c>
      <c r="R558">
        <v>0</v>
      </c>
      <c r="S558">
        <v>0</v>
      </c>
      <c r="T558" s="1">
        <v>80</v>
      </c>
      <c r="U558">
        <v>556</v>
      </c>
      <c r="V558">
        <v>0</v>
      </c>
      <c r="W558">
        <v>0</v>
      </c>
      <c r="X558">
        <v>0</v>
      </c>
      <c r="Y558">
        <v>0</v>
      </c>
      <c r="Z558">
        <v>0</v>
      </c>
      <c r="AA558" s="1">
        <v>0</v>
      </c>
      <c r="AB558">
        <v>556</v>
      </c>
      <c r="AC558">
        <v>0</v>
      </c>
      <c r="AD558">
        <v>0</v>
      </c>
      <c r="AE558">
        <v>0</v>
      </c>
      <c r="AF558">
        <v>0</v>
      </c>
      <c r="AG558">
        <v>0</v>
      </c>
      <c r="AH558" s="1">
        <v>0</v>
      </c>
      <c r="AI558">
        <v>556</v>
      </c>
      <c r="AJ558">
        <v>0</v>
      </c>
      <c r="AK558">
        <v>0</v>
      </c>
      <c r="AL558">
        <v>3</v>
      </c>
      <c r="AM558">
        <v>0</v>
      </c>
      <c r="AN558">
        <v>0</v>
      </c>
      <c r="AO558" s="1">
        <v>450</v>
      </c>
    </row>
    <row r="559" spans="7:41" x14ac:dyDescent="0.35">
      <c r="G559">
        <v>557</v>
      </c>
      <c r="H559">
        <v>0</v>
      </c>
      <c r="I559">
        <v>0</v>
      </c>
      <c r="J559">
        <v>0</v>
      </c>
      <c r="K559">
        <v>0</v>
      </c>
      <c r="L559">
        <v>0</v>
      </c>
      <c r="M559" s="1">
        <v>0</v>
      </c>
      <c r="N559">
        <v>557</v>
      </c>
      <c r="O559">
        <v>1</v>
      </c>
      <c r="P559">
        <v>1</v>
      </c>
      <c r="Q559">
        <v>0</v>
      </c>
      <c r="R559">
        <v>3</v>
      </c>
      <c r="S559">
        <v>1</v>
      </c>
      <c r="T559" s="1">
        <v>480</v>
      </c>
      <c r="U559">
        <v>557</v>
      </c>
      <c r="V559">
        <v>0</v>
      </c>
      <c r="W559">
        <v>0</v>
      </c>
      <c r="X559">
        <v>0</v>
      </c>
      <c r="Y559">
        <v>0</v>
      </c>
      <c r="Z559">
        <v>0</v>
      </c>
      <c r="AA559" s="1">
        <v>0</v>
      </c>
      <c r="AB559">
        <v>557</v>
      </c>
      <c r="AC559">
        <v>0</v>
      </c>
      <c r="AD559">
        <v>0</v>
      </c>
      <c r="AE559">
        <v>0</v>
      </c>
      <c r="AF559">
        <v>0</v>
      </c>
      <c r="AG559">
        <v>0</v>
      </c>
      <c r="AH559" s="1">
        <v>0</v>
      </c>
      <c r="AI559">
        <v>557</v>
      </c>
      <c r="AJ559">
        <v>0</v>
      </c>
      <c r="AK559">
        <v>0</v>
      </c>
      <c r="AL559">
        <v>0</v>
      </c>
      <c r="AM559">
        <v>0</v>
      </c>
      <c r="AN559">
        <v>0</v>
      </c>
      <c r="AO559" s="1">
        <v>0</v>
      </c>
    </row>
    <row r="560" spans="7:41" x14ac:dyDescent="0.35">
      <c r="G560">
        <v>558</v>
      </c>
      <c r="H560">
        <v>0</v>
      </c>
      <c r="I560">
        <v>0</v>
      </c>
      <c r="J560">
        <v>1</v>
      </c>
      <c r="K560">
        <v>4</v>
      </c>
      <c r="L560">
        <v>0</v>
      </c>
      <c r="M560" s="1">
        <v>300</v>
      </c>
      <c r="N560">
        <v>558</v>
      </c>
      <c r="O560">
        <v>0</v>
      </c>
      <c r="P560">
        <v>0</v>
      </c>
      <c r="Q560">
        <v>2</v>
      </c>
      <c r="R560">
        <v>0</v>
      </c>
      <c r="S560">
        <v>1</v>
      </c>
      <c r="T560" s="1">
        <v>240</v>
      </c>
      <c r="U560">
        <v>558</v>
      </c>
      <c r="V560">
        <v>0</v>
      </c>
      <c r="W560">
        <v>0</v>
      </c>
      <c r="X560">
        <v>0</v>
      </c>
      <c r="Y560">
        <v>0</v>
      </c>
      <c r="Z560">
        <v>0</v>
      </c>
      <c r="AA560" s="1">
        <v>0</v>
      </c>
      <c r="AB560">
        <v>558</v>
      </c>
      <c r="AC560">
        <v>0</v>
      </c>
      <c r="AD560">
        <v>0</v>
      </c>
      <c r="AE560">
        <v>0</v>
      </c>
      <c r="AF560">
        <v>1</v>
      </c>
      <c r="AG560">
        <v>1</v>
      </c>
      <c r="AH560" s="1">
        <v>240</v>
      </c>
      <c r="AI560">
        <v>558</v>
      </c>
      <c r="AJ560">
        <v>0</v>
      </c>
      <c r="AK560">
        <v>0</v>
      </c>
      <c r="AL560">
        <v>0</v>
      </c>
      <c r="AM560">
        <v>0</v>
      </c>
      <c r="AN560">
        <v>0</v>
      </c>
      <c r="AO560" s="1">
        <v>0</v>
      </c>
    </row>
    <row r="561" spans="7:41" x14ac:dyDescent="0.35">
      <c r="G561">
        <v>559</v>
      </c>
      <c r="H561">
        <v>0</v>
      </c>
      <c r="I561">
        <v>1</v>
      </c>
      <c r="J561">
        <v>0</v>
      </c>
      <c r="K561">
        <v>2</v>
      </c>
      <c r="L561">
        <v>1</v>
      </c>
      <c r="M561" s="1">
        <v>240</v>
      </c>
      <c r="N561">
        <v>559</v>
      </c>
      <c r="O561">
        <v>1</v>
      </c>
      <c r="P561">
        <v>0</v>
      </c>
      <c r="Q561">
        <v>0</v>
      </c>
      <c r="R561">
        <v>0</v>
      </c>
      <c r="S561">
        <v>0</v>
      </c>
      <c r="T561" s="1">
        <v>80</v>
      </c>
      <c r="U561">
        <v>559</v>
      </c>
      <c r="V561">
        <v>0</v>
      </c>
      <c r="W561">
        <v>0</v>
      </c>
      <c r="X561">
        <v>0</v>
      </c>
      <c r="Y561">
        <v>0</v>
      </c>
      <c r="Z561">
        <v>0</v>
      </c>
      <c r="AA561" s="1">
        <v>0</v>
      </c>
      <c r="AB561">
        <v>559</v>
      </c>
      <c r="AC561">
        <v>0</v>
      </c>
      <c r="AD561">
        <v>0</v>
      </c>
      <c r="AE561">
        <v>0</v>
      </c>
      <c r="AF561">
        <v>0</v>
      </c>
      <c r="AG561">
        <v>0</v>
      </c>
      <c r="AH561" s="1">
        <v>0</v>
      </c>
      <c r="AI561">
        <v>559</v>
      </c>
      <c r="AJ561">
        <v>0</v>
      </c>
      <c r="AK561">
        <v>0</v>
      </c>
      <c r="AL561">
        <v>0</v>
      </c>
      <c r="AM561">
        <v>0</v>
      </c>
      <c r="AN561">
        <v>0</v>
      </c>
      <c r="AO561" s="1">
        <v>0</v>
      </c>
    </row>
    <row r="562" spans="7:41" x14ac:dyDescent="0.35">
      <c r="G562">
        <v>560</v>
      </c>
      <c r="H562">
        <v>0</v>
      </c>
      <c r="I562">
        <v>0</v>
      </c>
      <c r="J562">
        <v>0</v>
      </c>
      <c r="K562">
        <v>0</v>
      </c>
      <c r="L562">
        <v>2</v>
      </c>
      <c r="M562" s="1">
        <v>120</v>
      </c>
      <c r="N562">
        <v>560</v>
      </c>
      <c r="O562">
        <v>0</v>
      </c>
      <c r="P562">
        <v>0</v>
      </c>
      <c r="Q562">
        <v>0</v>
      </c>
      <c r="R562">
        <v>0</v>
      </c>
      <c r="S562">
        <v>1</v>
      </c>
      <c r="T562" s="1">
        <v>80</v>
      </c>
      <c r="U562">
        <v>560</v>
      </c>
      <c r="V562">
        <v>0</v>
      </c>
      <c r="W562">
        <v>0</v>
      </c>
      <c r="X562">
        <v>0</v>
      </c>
      <c r="Y562">
        <v>0</v>
      </c>
      <c r="Z562">
        <v>1</v>
      </c>
      <c r="AA562" s="1">
        <v>100</v>
      </c>
      <c r="AB562">
        <v>560</v>
      </c>
      <c r="AC562">
        <v>0</v>
      </c>
      <c r="AD562">
        <v>0</v>
      </c>
      <c r="AE562">
        <v>0</v>
      </c>
      <c r="AF562">
        <v>0</v>
      </c>
      <c r="AG562">
        <v>0</v>
      </c>
      <c r="AH562" s="1">
        <v>0</v>
      </c>
      <c r="AI562">
        <v>560</v>
      </c>
      <c r="AJ562">
        <v>0</v>
      </c>
      <c r="AK562">
        <v>0</v>
      </c>
      <c r="AL562">
        <v>0</v>
      </c>
      <c r="AM562">
        <v>0</v>
      </c>
      <c r="AN562">
        <v>0</v>
      </c>
      <c r="AO562" s="1">
        <v>0</v>
      </c>
    </row>
    <row r="563" spans="7:41" x14ac:dyDescent="0.35">
      <c r="G563">
        <v>561</v>
      </c>
      <c r="H563">
        <v>3</v>
      </c>
      <c r="I563">
        <v>1</v>
      </c>
      <c r="J563">
        <v>1</v>
      </c>
      <c r="K563">
        <v>0</v>
      </c>
      <c r="L563">
        <v>0</v>
      </c>
      <c r="M563" s="1">
        <v>300</v>
      </c>
      <c r="N563">
        <v>561</v>
      </c>
      <c r="O563">
        <v>0</v>
      </c>
      <c r="P563">
        <v>0</v>
      </c>
      <c r="Q563">
        <v>0</v>
      </c>
      <c r="R563">
        <v>0</v>
      </c>
      <c r="S563">
        <v>1</v>
      </c>
      <c r="T563" s="1">
        <v>80</v>
      </c>
      <c r="U563">
        <v>561</v>
      </c>
      <c r="V563">
        <v>0</v>
      </c>
      <c r="W563">
        <v>1</v>
      </c>
      <c r="X563">
        <v>1</v>
      </c>
      <c r="Y563">
        <v>0</v>
      </c>
      <c r="Z563">
        <v>0</v>
      </c>
      <c r="AA563" s="1">
        <v>200</v>
      </c>
      <c r="AB563">
        <v>561</v>
      </c>
      <c r="AC563">
        <v>0</v>
      </c>
      <c r="AD563">
        <v>0</v>
      </c>
      <c r="AE563">
        <v>0</v>
      </c>
      <c r="AF563">
        <v>0</v>
      </c>
      <c r="AG563">
        <v>1</v>
      </c>
      <c r="AH563" s="1">
        <v>120</v>
      </c>
      <c r="AI563">
        <v>561</v>
      </c>
      <c r="AJ563">
        <v>0</v>
      </c>
      <c r="AK563">
        <v>0</v>
      </c>
      <c r="AL563">
        <v>1</v>
      </c>
      <c r="AM563">
        <v>0</v>
      </c>
      <c r="AN563">
        <v>0</v>
      </c>
      <c r="AO563" s="1">
        <v>150</v>
      </c>
    </row>
    <row r="564" spans="7:41" x14ac:dyDescent="0.35">
      <c r="G564">
        <v>562</v>
      </c>
      <c r="H564">
        <v>0</v>
      </c>
      <c r="I564">
        <v>0</v>
      </c>
      <c r="J564">
        <v>2</v>
      </c>
      <c r="K564">
        <v>0</v>
      </c>
      <c r="L564">
        <v>0</v>
      </c>
      <c r="M564" s="1">
        <v>120</v>
      </c>
      <c r="N564">
        <v>562</v>
      </c>
      <c r="O564">
        <v>0</v>
      </c>
      <c r="P564">
        <v>0</v>
      </c>
      <c r="Q564">
        <v>0</v>
      </c>
      <c r="R564">
        <v>0</v>
      </c>
      <c r="S564">
        <v>1</v>
      </c>
      <c r="T564" s="1">
        <v>80</v>
      </c>
      <c r="U564">
        <v>562</v>
      </c>
      <c r="V564">
        <v>0</v>
      </c>
      <c r="W564">
        <v>0</v>
      </c>
      <c r="X564">
        <v>0</v>
      </c>
      <c r="Y564">
        <v>0</v>
      </c>
      <c r="Z564">
        <v>0</v>
      </c>
      <c r="AA564" s="1">
        <v>0</v>
      </c>
      <c r="AB564">
        <v>562</v>
      </c>
      <c r="AC564">
        <v>0</v>
      </c>
      <c r="AD564">
        <v>0</v>
      </c>
      <c r="AE564">
        <v>0</v>
      </c>
      <c r="AF564">
        <v>0</v>
      </c>
      <c r="AG564">
        <v>0</v>
      </c>
      <c r="AH564" s="1">
        <v>0</v>
      </c>
      <c r="AI564">
        <v>562</v>
      </c>
      <c r="AJ564">
        <v>0</v>
      </c>
      <c r="AK564">
        <v>0</v>
      </c>
      <c r="AL564">
        <v>0</v>
      </c>
      <c r="AM564">
        <v>0</v>
      </c>
      <c r="AN564">
        <v>0</v>
      </c>
      <c r="AO564" s="1">
        <v>0</v>
      </c>
    </row>
    <row r="565" spans="7:41" x14ac:dyDescent="0.35">
      <c r="G565">
        <v>563</v>
      </c>
      <c r="H565">
        <v>1</v>
      </c>
      <c r="I565">
        <v>0</v>
      </c>
      <c r="J565">
        <v>1</v>
      </c>
      <c r="K565">
        <v>4</v>
      </c>
      <c r="L565">
        <v>2</v>
      </c>
      <c r="M565" s="1">
        <v>480</v>
      </c>
      <c r="N565">
        <v>563</v>
      </c>
      <c r="O565">
        <v>1</v>
      </c>
      <c r="P565">
        <v>2</v>
      </c>
      <c r="Q565">
        <v>3</v>
      </c>
      <c r="R565">
        <v>0</v>
      </c>
      <c r="S565">
        <v>0</v>
      </c>
      <c r="T565" s="1">
        <v>480</v>
      </c>
      <c r="U565">
        <v>563</v>
      </c>
      <c r="V565">
        <v>0</v>
      </c>
      <c r="W565">
        <v>1</v>
      </c>
      <c r="X565">
        <v>0</v>
      </c>
      <c r="Y565">
        <v>0</v>
      </c>
      <c r="Z565">
        <v>1</v>
      </c>
      <c r="AA565" s="1">
        <v>200</v>
      </c>
      <c r="AB565">
        <v>563</v>
      </c>
      <c r="AC565">
        <v>0</v>
      </c>
      <c r="AD565">
        <v>0</v>
      </c>
      <c r="AE565">
        <v>0</v>
      </c>
      <c r="AF565">
        <v>0</v>
      </c>
      <c r="AG565">
        <v>0</v>
      </c>
      <c r="AH565" s="1">
        <v>0</v>
      </c>
      <c r="AI565">
        <v>563</v>
      </c>
      <c r="AJ565">
        <v>0</v>
      </c>
      <c r="AK565">
        <v>0</v>
      </c>
      <c r="AL565">
        <v>1</v>
      </c>
      <c r="AM565">
        <v>0</v>
      </c>
      <c r="AN565">
        <v>0</v>
      </c>
      <c r="AO565" s="1">
        <v>150</v>
      </c>
    </row>
    <row r="566" spans="7:41" x14ac:dyDescent="0.35">
      <c r="G566">
        <v>564</v>
      </c>
      <c r="H566">
        <v>1</v>
      </c>
      <c r="I566">
        <v>2</v>
      </c>
      <c r="J566">
        <v>1</v>
      </c>
      <c r="K566">
        <v>2</v>
      </c>
      <c r="L566">
        <v>1</v>
      </c>
      <c r="M566" s="1">
        <v>420</v>
      </c>
      <c r="N566">
        <v>564</v>
      </c>
      <c r="O566">
        <v>0</v>
      </c>
      <c r="P566">
        <v>1</v>
      </c>
      <c r="Q566">
        <v>0</v>
      </c>
      <c r="R566">
        <v>2</v>
      </c>
      <c r="S566">
        <v>0</v>
      </c>
      <c r="T566" s="1">
        <v>240</v>
      </c>
      <c r="U566">
        <v>564</v>
      </c>
      <c r="V566">
        <v>0</v>
      </c>
      <c r="W566">
        <v>0</v>
      </c>
      <c r="X566">
        <v>0</v>
      </c>
      <c r="Y566">
        <v>0</v>
      </c>
      <c r="Z566">
        <v>0</v>
      </c>
      <c r="AA566" s="1">
        <v>0</v>
      </c>
      <c r="AB566">
        <v>564</v>
      </c>
      <c r="AC566">
        <v>0</v>
      </c>
      <c r="AD566">
        <v>0</v>
      </c>
      <c r="AE566">
        <v>0</v>
      </c>
      <c r="AF566">
        <v>1</v>
      </c>
      <c r="AG566">
        <v>0</v>
      </c>
      <c r="AH566" s="1">
        <v>120</v>
      </c>
      <c r="AI566">
        <v>564</v>
      </c>
      <c r="AJ566">
        <v>0</v>
      </c>
      <c r="AK566">
        <v>0</v>
      </c>
      <c r="AL566">
        <v>2</v>
      </c>
      <c r="AM566">
        <v>0</v>
      </c>
      <c r="AN566">
        <v>0</v>
      </c>
      <c r="AO566" s="1">
        <v>300</v>
      </c>
    </row>
    <row r="567" spans="7:41" x14ac:dyDescent="0.35">
      <c r="G567">
        <v>565</v>
      </c>
      <c r="H567">
        <v>0</v>
      </c>
      <c r="I567">
        <v>0</v>
      </c>
      <c r="J567">
        <v>1</v>
      </c>
      <c r="K567">
        <v>0</v>
      </c>
      <c r="L567">
        <v>0</v>
      </c>
      <c r="M567" s="1">
        <v>60</v>
      </c>
      <c r="N567">
        <v>565</v>
      </c>
      <c r="O567">
        <v>0</v>
      </c>
      <c r="P567">
        <v>2</v>
      </c>
      <c r="Q567">
        <v>0</v>
      </c>
      <c r="R567">
        <v>0</v>
      </c>
      <c r="S567">
        <v>0</v>
      </c>
      <c r="T567" s="1">
        <v>160</v>
      </c>
      <c r="U567">
        <v>565</v>
      </c>
      <c r="V567">
        <v>0</v>
      </c>
      <c r="W567">
        <v>2</v>
      </c>
      <c r="X567">
        <v>0</v>
      </c>
      <c r="Y567">
        <v>0</v>
      </c>
      <c r="Z567">
        <v>0</v>
      </c>
      <c r="AA567" s="1">
        <v>200</v>
      </c>
      <c r="AB567">
        <v>565</v>
      </c>
      <c r="AC567">
        <v>1</v>
      </c>
      <c r="AD567">
        <v>0</v>
      </c>
      <c r="AE567">
        <v>1</v>
      </c>
      <c r="AF567">
        <v>0</v>
      </c>
      <c r="AG567">
        <v>0</v>
      </c>
      <c r="AH567" s="1">
        <v>240</v>
      </c>
      <c r="AI567">
        <v>565</v>
      </c>
      <c r="AJ567">
        <v>0</v>
      </c>
      <c r="AK567">
        <v>0</v>
      </c>
      <c r="AL567">
        <v>0</v>
      </c>
      <c r="AM567">
        <v>0</v>
      </c>
      <c r="AN567">
        <v>0</v>
      </c>
      <c r="AO567" s="1">
        <v>0</v>
      </c>
    </row>
    <row r="568" spans="7:41" x14ac:dyDescent="0.35">
      <c r="G568">
        <v>566</v>
      </c>
      <c r="H568">
        <v>0</v>
      </c>
      <c r="I568">
        <v>1</v>
      </c>
      <c r="J568">
        <v>2</v>
      </c>
      <c r="K568">
        <v>0</v>
      </c>
      <c r="L568">
        <v>1</v>
      </c>
      <c r="M568" s="1">
        <v>240</v>
      </c>
      <c r="N568">
        <v>566</v>
      </c>
      <c r="O568">
        <v>2</v>
      </c>
      <c r="P568">
        <v>0</v>
      </c>
      <c r="Q568">
        <v>1</v>
      </c>
      <c r="R568">
        <v>0</v>
      </c>
      <c r="S568">
        <v>0</v>
      </c>
      <c r="T568" s="1">
        <v>240</v>
      </c>
      <c r="U568">
        <v>566</v>
      </c>
      <c r="V568">
        <v>0</v>
      </c>
      <c r="W568">
        <v>0</v>
      </c>
      <c r="X568">
        <v>0</v>
      </c>
      <c r="Y568">
        <v>0</v>
      </c>
      <c r="Z568">
        <v>0</v>
      </c>
      <c r="AA568" s="1">
        <v>0</v>
      </c>
      <c r="AB568">
        <v>566</v>
      </c>
      <c r="AC568">
        <v>0</v>
      </c>
      <c r="AD568">
        <v>0</v>
      </c>
      <c r="AE568">
        <v>0</v>
      </c>
      <c r="AF568">
        <v>0</v>
      </c>
      <c r="AG568">
        <v>0</v>
      </c>
      <c r="AH568" s="1">
        <v>0</v>
      </c>
      <c r="AI568">
        <v>566</v>
      </c>
      <c r="AJ568">
        <v>0</v>
      </c>
      <c r="AK568">
        <v>0</v>
      </c>
      <c r="AL568">
        <v>3</v>
      </c>
      <c r="AM568">
        <v>0</v>
      </c>
      <c r="AN568">
        <v>0</v>
      </c>
      <c r="AO568" s="1">
        <v>450</v>
      </c>
    </row>
    <row r="569" spans="7:41" x14ac:dyDescent="0.35">
      <c r="G569">
        <v>567</v>
      </c>
      <c r="H569">
        <v>0</v>
      </c>
      <c r="I569">
        <v>0</v>
      </c>
      <c r="J569">
        <v>1</v>
      </c>
      <c r="K569">
        <v>0</v>
      </c>
      <c r="L569">
        <v>0</v>
      </c>
      <c r="M569" s="1">
        <v>60</v>
      </c>
      <c r="N569">
        <v>567</v>
      </c>
      <c r="O569">
        <v>0</v>
      </c>
      <c r="P569">
        <v>0</v>
      </c>
      <c r="Q569">
        <v>0</v>
      </c>
      <c r="R569">
        <v>0</v>
      </c>
      <c r="S569">
        <v>1</v>
      </c>
      <c r="T569" s="1">
        <v>80</v>
      </c>
      <c r="U569">
        <v>567</v>
      </c>
      <c r="V569">
        <v>0</v>
      </c>
      <c r="W569">
        <v>0</v>
      </c>
      <c r="X569">
        <v>0</v>
      </c>
      <c r="Y569">
        <v>0</v>
      </c>
      <c r="Z569">
        <v>0</v>
      </c>
      <c r="AA569" s="1">
        <v>0</v>
      </c>
      <c r="AB569">
        <v>567</v>
      </c>
      <c r="AC569">
        <v>0</v>
      </c>
      <c r="AD569">
        <v>0</v>
      </c>
      <c r="AE569">
        <v>0</v>
      </c>
      <c r="AF569">
        <v>0</v>
      </c>
      <c r="AG569">
        <v>0</v>
      </c>
      <c r="AH569" s="1">
        <v>0</v>
      </c>
      <c r="AI569">
        <v>567</v>
      </c>
      <c r="AJ569">
        <v>0</v>
      </c>
      <c r="AK569">
        <v>0</v>
      </c>
      <c r="AL569">
        <v>0</v>
      </c>
      <c r="AM569">
        <v>0</v>
      </c>
      <c r="AN569">
        <v>0</v>
      </c>
      <c r="AO569" s="1">
        <v>0</v>
      </c>
    </row>
    <row r="570" spans="7:41" x14ac:dyDescent="0.35">
      <c r="G570">
        <v>568</v>
      </c>
      <c r="H570">
        <v>2</v>
      </c>
      <c r="I570">
        <v>0</v>
      </c>
      <c r="J570">
        <v>1</v>
      </c>
      <c r="K570">
        <v>1</v>
      </c>
      <c r="L570">
        <v>0</v>
      </c>
      <c r="M570" s="1">
        <v>240</v>
      </c>
      <c r="N570">
        <v>568</v>
      </c>
      <c r="O570">
        <v>0</v>
      </c>
      <c r="P570">
        <v>2</v>
      </c>
      <c r="Q570">
        <v>0</v>
      </c>
      <c r="R570">
        <v>0</v>
      </c>
      <c r="S570">
        <v>1</v>
      </c>
      <c r="T570" s="1">
        <v>240</v>
      </c>
      <c r="U570">
        <v>568</v>
      </c>
      <c r="V570">
        <v>0</v>
      </c>
      <c r="W570">
        <v>1</v>
      </c>
      <c r="X570">
        <v>0</v>
      </c>
      <c r="Y570">
        <v>0</v>
      </c>
      <c r="Z570">
        <v>0</v>
      </c>
      <c r="AA570" s="1">
        <v>100</v>
      </c>
      <c r="AB570">
        <v>568</v>
      </c>
      <c r="AC570">
        <v>1</v>
      </c>
      <c r="AD570">
        <v>0</v>
      </c>
      <c r="AE570">
        <v>0</v>
      </c>
      <c r="AF570">
        <v>0</v>
      </c>
      <c r="AG570">
        <v>0</v>
      </c>
      <c r="AH570" s="1">
        <v>120</v>
      </c>
      <c r="AI570">
        <v>568</v>
      </c>
      <c r="AJ570">
        <v>0</v>
      </c>
      <c r="AK570">
        <v>0</v>
      </c>
      <c r="AL570">
        <v>0</v>
      </c>
      <c r="AM570">
        <v>0</v>
      </c>
      <c r="AN570">
        <v>0</v>
      </c>
      <c r="AO570" s="1">
        <v>0</v>
      </c>
    </row>
    <row r="571" spans="7:41" x14ac:dyDescent="0.35">
      <c r="G571">
        <v>569</v>
      </c>
      <c r="H571">
        <v>0</v>
      </c>
      <c r="I571">
        <v>0</v>
      </c>
      <c r="J571">
        <v>2</v>
      </c>
      <c r="K571">
        <v>4</v>
      </c>
      <c r="L571">
        <v>2</v>
      </c>
      <c r="M571" s="1">
        <v>480</v>
      </c>
      <c r="N571">
        <v>569</v>
      </c>
      <c r="O571">
        <v>0</v>
      </c>
      <c r="P571">
        <v>1</v>
      </c>
      <c r="Q571">
        <v>3</v>
      </c>
      <c r="R571">
        <v>0</v>
      </c>
      <c r="S571">
        <v>1</v>
      </c>
      <c r="T571" s="1">
        <v>400</v>
      </c>
      <c r="U571">
        <v>569</v>
      </c>
      <c r="V571">
        <v>1</v>
      </c>
      <c r="W571">
        <v>0</v>
      </c>
      <c r="X571">
        <v>1</v>
      </c>
      <c r="Y571">
        <v>0</v>
      </c>
      <c r="Z571">
        <v>0</v>
      </c>
      <c r="AA571" s="1">
        <v>200</v>
      </c>
      <c r="AB571">
        <v>569</v>
      </c>
      <c r="AC571">
        <v>0</v>
      </c>
      <c r="AD571">
        <v>0</v>
      </c>
      <c r="AE571">
        <v>0</v>
      </c>
      <c r="AF571">
        <v>1</v>
      </c>
      <c r="AG571">
        <v>0</v>
      </c>
      <c r="AH571" s="1">
        <v>120</v>
      </c>
      <c r="AI571">
        <v>569</v>
      </c>
      <c r="AJ571">
        <v>0</v>
      </c>
      <c r="AK571">
        <v>0</v>
      </c>
      <c r="AL571">
        <v>0</v>
      </c>
      <c r="AM571">
        <v>0</v>
      </c>
      <c r="AN571">
        <v>0</v>
      </c>
      <c r="AO571" s="1">
        <v>0</v>
      </c>
    </row>
    <row r="572" spans="7:41" x14ac:dyDescent="0.35">
      <c r="G572">
        <v>570</v>
      </c>
      <c r="H572">
        <v>2</v>
      </c>
      <c r="I572">
        <v>0</v>
      </c>
      <c r="J572">
        <v>4</v>
      </c>
      <c r="K572">
        <v>0</v>
      </c>
      <c r="L572">
        <v>0</v>
      </c>
      <c r="M572" s="1">
        <v>360</v>
      </c>
      <c r="N572">
        <v>570</v>
      </c>
      <c r="O572">
        <v>0</v>
      </c>
      <c r="P572">
        <v>0</v>
      </c>
      <c r="Q572">
        <v>0</v>
      </c>
      <c r="R572">
        <v>0</v>
      </c>
      <c r="S572">
        <v>0</v>
      </c>
      <c r="T572" s="1">
        <v>0</v>
      </c>
      <c r="U572">
        <v>570</v>
      </c>
      <c r="V572">
        <v>0</v>
      </c>
      <c r="W572">
        <v>0</v>
      </c>
      <c r="X572">
        <v>0</v>
      </c>
      <c r="Y572">
        <v>0</v>
      </c>
      <c r="Z572">
        <v>1</v>
      </c>
      <c r="AA572" s="1">
        <v>100</v>
      </c>
      <c r="AB572">
        <v>570</v>
      </c>
      <c r="AC572">
        <v>0</v>
      </c>
      <c r="AD572">
        <v>0</v>
      </c>
      <c r="AE572">
        <v>0</v>
      </c>
      <c r="AF572">
        <v>0</v>
      </c>
      <c r="AG572">
        <v>0</v>
      </c>
      <c r="AH572" s="1">
        <v>0</v>
      </c>
      <c r="AI572">
        <v>570</v>
      </c>
      <c r="AJ572">
        <v>0</v>
      </c>
      <c r="AK572">
        <v>0</v>
      </c>
      <c r="AL572">
        <v>1</v>
      </c>
      <c r="AM572">
        <v>0</v>
      </c>
      <c r="AN572">
        <v>0</v>
      </c>
      <c r="AO572" s="1">
        <v>150</v>
      </c>
    </row>
    <row r="573" spans="7:41" x14ac:dyDescent="0.35">
      <c r="G573">
        <v>571</v>
      </c>
      <c r="H573">
        <v>0</v>
      </c>
      <c r="I573">
        <v>0</v>
      </c>
      <c r="J573">
        <v>1</v>
      </c>
      <c r="K573">
        <v>0</v>
      </c>
      <c r="L573">
        <v>0</v>
      </c>
      <c r="M573" s="1">
        <v>60</v>
      </c>
      <c r="N573">
        <v>571</v>
      </c>
      <c r="O573">
        <v>1</v>
      </c>
      <c r="P573">
        <v>1</v>
      </c>
      <c r="Q573">
        <v>1</v>
      </c>
      <c r="R573">
        <v>0</v>
      </c>
      <c r="S573">
        <v>1</v>
      </c>
      <c r="T573" s="1">
        <v>320</v>
      </c>
      <c r="U573">
        <v>571</v>
      </c>
      <c r="V573">
        <v>0</v>
      </c>
      <c r="W573">
        <v>0</v>
      </c>
      <c r="X573">
        <v>0</v>
      </c>
      <c r="Y573">
        <v>0</v>
      </c>
      <c r="Z573">
        <v>0</v>
      </c>
      <c r="AA573" s="1">
        <v>0</v>
      </c>
      <c r="AB573">
        <v>571</v>
      </c>
      <c r="AC573">
        <v>0</v>
      </c>
      <c r="AD573">
        <v>0</v>
      </c>
      <c r="AE573">
        <v>0</v>
      </c>
      <c r="AF573">
        <v>0</v>
      </c>
      <c r="AG573">
        <v>0</v>
      </c>
      <c r="AH573" s="1">
        <v>0</v>
      </c>
      <c r="AI573">
        <v>571</v>
      </c>
      <c r="AJ573">
        <v>0</v>
      </c>
      <c r="AK573">
        <v>0</v>
      </c>
      <c r="AL573">
        <v>0</v>
      </c>
      <c r="AM573">
        <v>0</v>
      </c>
      <c r="AN573">
        <v>0</v>
      </c>
      <c r="AO573" s="1">
        <v>0</v>
      </c>
    </row>
    <row r="574" spans="7:41" x14ac:dyDescent="0.35">
      <c r="G574">
        <v>572</v>
      </c>
      <c r="H574">
        <v>0</v>
      </c>
      <c r="I574">
        <v>0</v>
      </c>
      <c r="J574">
        <v>0</v>
      </c>
      <c r="K574">
        <v>1</v>
      </c>
      <c r="L574">
        <v>1</v>
      </c>
      <c r="M574" s="1">
        <v>120</v>
      </c>
      <c r="N574">
        <v>572</v>
      </c>
      <c r="O574">
        <v>0</v>
      </c>
      <c r="P574">
        <v>0</v>
      </c>
      <c r="Q574">
        <v>0</v>
      </c>
      <c r="R574">
        <v>0</v>
      </c>
      <c r="S574">
        <v>1</v>
      </c>
      <c r="T574" s="1">
        <v>80</v>
      </c>
      <c r="U574">
        <v>572</v>
      </c>
      <c r="V574">
        <v>0</v>
      </c>
      <c r="W574">
        <v>0</v>
      </c>
      <c r="X574">
        <v>0</v>
      </c>
      <c r="Y574">
        <v>0</v>
      </c>
      <c r="Z574">
        <v>0</v>
      </c>
      <c r="AA574" s="1">
        <v>0</v>
      </c>
      <c r="AB574">
        <v>572</v>
      </c>
      <c r="AC574">
        <v>1</v>
      </c>
      <c r="AD574">
        <v>1</v>
      </c>
      <c r="AE574">
        <v>0</v>
      </c>
      <c r="AF574">
        <v>0</v>
      </c>
      <c r="AG574">
        <v>0</v>
      </c>
      <c r="AH574" s="1">
        <v>240</v>
      </c>
      <c r="AI574">
        <v>572</v>
      </c>
      <c r="AJ574">
        <v>0</v>
      </c>
      <c r="AK574">
        <v>0</v>
      </c>
      <c r="AL574">
        <v>1</v>
      </c>
      <c r="AM574">
        <v>0</v>
      </c>
      <c r="AN574">
        <v>0</v>
      </c>
      <c r="AO574" s="1">
        <v>150</v>
      </c>
    </row>
    <row r="575" spans="7:41" x14ac:dyDescent="0.35">
      <c r="G575">
        <v>573</v>
      </c>
      <c r="H575">
        <v>0</v>
      </c>
      <c r="I575">
        <v>0</v>
      </c>
      <c r="J575">
        <v>0</v>
      </c>
      <c r="K575">
        <v>0</v>
      </c>
      <c r="L575">
        <v>0</v>
      </c>
      <c r="M575" s="1">
        <v>0</v>
      </c>
      <c r="N575">
        <v>573</v>
      </c>
      <c r="O575">
        <v>0</v>
      </c>
      <c r="P575">
        <v>0</v>
      </c>
      <c r="Q575">
        <v>0</v>
      </c>
      <c r="R575">
        <v>0</v>
      </c>
      <c r="S575">
        <v>1</v>
      </c>
      <c r="T575" s="1">
        <v>80</v>
      </c>
      <c r="U575">
        <v>573</v>
      </c>
      <c r="V575">
        <v>0</v>
      </c>
      <c r="W575">
        <v>0</v>
      </c>
      <c r="X575">
        <v>0</v>
      </c>
      <c r="Y575">
        <v>0</v>
      </c>
      <c r="Z575">
        <v>1</v>
      </c>
      <c r="AA575" s="1">
        <v>100</v>
      </c>
      <c r="AB575">
        <v>573</v>
      </c>
      <c r="AC575">
        <v>0</v>
      </c>
      <c r="AD575">
        <v>0</v>
      </c>
      <c r="AE575">
        <v>1</v>
      </c>
      <c r="AF575">
        <v>0</v>
      </c>
      <c r="AG575">
        <v>0</v>
      </c>
      <c r="AH575" s="1">
        <v>120</v>
      </c>
      <c r="AI575">
        <v>573</v>
      </c>
      <c r="AJ575">
        <v>0</v>
      </c>
      <c r="AK575">
        <v>0</v>
      </c>
      <c r="AL575">
        <v>0</v>
      </c>
      <c r="AM575">
        <v>0</v>
      </c>
      <c r="AN575">
        <v>0</v>
      </c>
      <c r="AO575" s="1">
        <v>0</v>
      </c>
    </row>
    <row r="576" spans="7:41" x14ac:dyDescent="0.35">
      <c r="G576">
        <v>574</v>
      </c>
      <c r="H576">
        <v>0</v>
      </c>
      <c r="I576">
        <v>1</v>
      </c>
      <c r="J576">
        <v>0</v>
      </c>
      <c r="K576">
        <v>4</v>
      </c>
      <c r="L576">
        <v>1</v>
      </c>
      <c r="M576" s="1">
        <v>360</v>
      </c>
      <c r="N576">
        <v>574</v>
      </c>
      <c r="O576">
        <v>1</v>
      </c>
      <c r="P576">
        <v>0</v>
      </c>
      <c r="Q576">
        <v>1</v>
      </c>
      <c r="R576">
        <v>0</v>
      </c>
      <c r="S576">
        <v>0</v>
      </c>
      <c r="T576" s="1">
        <v>160</v>
      </c>
      <c r="U576">
        <v>574</v>
      </c>
      <c r="V576">
        <v>0</v>
      </c>
      <c r="W576">
        <v>1</v>
      </c>
      <c r="X576">
        <v>0</v>
      </c>
      <c r="Y576">
        <v>0</v>
      </c>
      <c r="Z576">
        <v>0</v>
      </c>
      <c r="AA576" s="1">
        <v>100</v>
      </c>
      <c r="AB576">
        <v>574</v>
      </c>
      <c r="AC576">
        <v>0</v>
      </c>
      <c r="AD576">
        <v>0</v>
      </c>
      <c r="AE576">
        <v>0</v>
      </c>
      <c r="AF576">
        <v>0</v>
      </c>
      <c r="AG576">
        <v>0</v>
      </c>
      <c r="AH576" s="1">
        <v>0</v>
      </c>
      <c r="AI576">
        <v>574</v>
      </c>
      <c r="AJ576">
        <v>0</v>
      </c>
      <c r="AK576">
        <v>0</v>
      </c>
      <c r="AL576">
        <v>0</v>
      </c>
      <c r="AM576">
        <v>0</v>
      </c>
      <c r="AN576">
        <v>0</v>
      </c>
      <c r="AO576" s="1">
        <v>0</v>
      </c>
    </row>
    <row r="577" spans="7:41" x14ac:dyDescent="0.35">
      <c r="G577">
        <v>575</v>
      </c>
      <c r="H577">
        <v>0</v>
      </c>
      <c r="I577">
        <v>0</v>
      </c>
      <c r="J577">
        <v>0</v>
      </c>
      <c r="K577">
        <v>3</v>
      </c>
      <c r="L577">
        <v>2</v>
      </c>
      <c r="M577" s="1">
        <v>300</v>
      </c>
      <c r="N577">
        <v>575</v>
      </c>
      <c r="O577">
        <v>1</v>
      </c>
      <c r="P577">
        <v>0</v>
      </c>
      <c r="Q577">
        <v>0</v>
      </c>
      <c r="R577">
        <v>1</v>
      </c>
      <c r="S577">
        <v>0</v>
      </c>
      <c r="T577" s="1">
        <v>160</v>
      </c>
      <c r="U577">
        <v>575</v>
      </c>
      <c r="V577">
        <v>0</v>
      </c>
      <c r="W577">
        <v>0</v>
      </c>
      <c r="X577">
        <v>0</v>
      </c>
      <c r="Y577">
        <v>0</v>
      </c>
      <c r="Z577">
        <v>0</v>
      </c>
      <c r="AA577" s="1">
        <v>0</v>
      </c>
      <c r="AB577">
        <v>575</v>
      </c>
      <c r="AC577">
        <v>0</v>
      </c>
      <c r="AD577">
        <v>0</v>
      </c>
      <c r="AE577">
        <v>0</v>
      </c>
      <c r="AF577">
        <v>0</v>
      </c>
      <c r="AG577">
        <v>0</v>
      </c>
      <c r="AH577" s="1">
        <v>0</v>
      </c>
      <c r="AI577">
        <v>575</v>
      </c>
      <c r="AJ577">
        <v>0</v>
      </c>
      <c r="AK577">
        <v>0</v>
      </c>
      <c r="AL577">
        <v>0</v>
      </c>
      <c r="AM577">
        <v>0</v>
      </c>
      <c r="AN577">
        <v>0</v>
      </c>
      <c r="AO577" s="1">
        <v>0</v>
      </c>
    </row>
    <row r="578" spans="7:41" x14ac:dyDescent="0.35">
      <c r="G578">
        <v>576</v>
      </c>
      <c r="H578">
        <v>0</v>
      </c>
      <c r="I578">
        <v>0</v>
      </c>
      <c r="J578">
        <v>2</v>
      </c>
      <c r="K578">
        <v>0</v>
      </c>
      <c r="L578">
        <v>0</v>
      </c>
      <c r="M578" s="1">
        <v>120</v>
      </c>
      <c r="N578">
        <v>576</v>
      </c>
      <c r="O578">
        <v>0</v>
      </c>
      <c r="P578">
        <v>1</v>
      </c>
      <c r="Q578">
        <v>1</v>
      </c>
      <c r="R578">
        <v>0</v>
      </c>
      <c r="S578">
        <v>0</v>
      </c>
      <c r="T578" s="1">
        <v>160</v>
      </c>
      <c r="U578">
        <v>576</v>
      </c>
      <c r="V578">
        <v>0</v>
      </c>
      <c r="W578">
        <v>0</v>
      </c>
      <c r="X578">
        <v>0</v>
      </c>
      <c r="Y578">
        <v>0</v>
      </c>
      <c r="Z578">
        <v>0</v>
      </c>
      <c r="AA578" s="1">
        <v>0</v>
      </c>
      <c r="AB578">
        <v>576</v>
      </c>
      <c r="AC578">
        <v>0</v>
      </c>
      <c r="AD578">
        <v>0</v>
      </c>
      <c r="AE578">
        <v>0</v>
      </c>
      <c r="AF578">
        <v>0</v>
      </c>
      <c r="AG578">
        <v>0</v>
      </c>
      <c r="AH578" s="1">
        <v>0</v>
      </c>
      <c r="AI578">
        <v>576</v>
      </c>
      <c r="AJ578">
        <v>0</v>
      </c>
      <c r="AK578">
        <v>0</v>
      </c>
      <c r="AL578">
        <v>0</v>
      </c>
      <c r="AM578">
        <v>0</v>
      </c>
      <c r="AN578">
        <v>0</v>
      </c>
      <c r="AO578" s="1">
        <v>0</v>
      </c>
    </row>
    <row r="579" spans="7:41" x14ac:dyDescent="0.35">
      <c r="G579">
        <v>577</v>
      </c>
      <c r="H579">
        <v>0</v>
      </c>
      <c r="I579">
        <v>2</v>
      </c>
      <c r="J579">
        <v>3</v>
      </c>
      <c r="K579">
        <v>0</v>
      </c>
      <c r="L579">
        <v>1</v>
      </c>
      <c r="M579" s="1">
        <v>360</v>
      </c>
      <c r="N579">
        <v>577</v>
      </c>
      <c r="O579">
        <v>0</v>
      </c>
      <c r="P579">
        <v>0</v>
      </c>
      <c r="Q579">
        <v>2</v>
      </c>
      <c r="R579">
        <v>0</v>
      </c>
      <c r="S579">
        <v>0</v>
      </c>
      <c r="T579" s="1">
        <v>160</v>
      </c>
      <c r="U579">
        <v>577</v>
      </c>
      <c r="V579">
        <v>0</v>
      </c>
      <c r="W579">
        <v>0</v>
      </c>
      <c r="X579">
        <v>0</v>
      </c>
      <c r="Y579">
        <v>0</v>
      </c>
      <c r="Z579">
        <v>0</v>
      </c>
      <c r="AA579" s="1">
        <v>0</v>
      </c>
      <c r="AB579">
        <v>577</v>
      </c>
      <c r="AC579">
        <v>0</v>
      </c>
      <c r="AD579">
        <v>0</v>
      </c>
      <c r="AE579">
        <v>0</v>
      </c>
      <c r="AF579">
        <v>0</v>
      </c>
      <c r="AG579">
        <v>0</v>
      </c>
      <c r="AH579" s="1">
        <v>0</v>
      </c>
      <c r="AI579">
        <v>577</v>
      </c>
      <c r="AJ579">
        <v>0</v>
      </c>
      <c r="AK579">
        <v>0</v>
      </c>
      <c r="AL579">
        <v>0</v>
      </c>
      <c r="AM579">
        <v>0</v>
      </c>
      <c r="AN579">
        <v>0</v>
      </c>
      <c r="AO579" s="1">
        <v>0</v>
      </c>
    </row>
    <row r="580" spans="7:41" x14ac:dyDescent="0.35">
      <c r="G580">
        <v>578</v>
      </c>
      <c r="H580">
        <v>0</v>
      </c>
      <c r="I580">
        <v>1</v>
      </c>
      <c r="J580">
        <v>2</v>
      </c>
      <c r="K580">
        <v>2</v>
      </c>
      <c r="L580">
        <v>0</v>
      </c>
      <c r="M580" s="1">
        <v>300</v>
      </c>
      <c r="N580">
        <v>578</v>
      </c>
      <c r="O580">
        <v>0</v>
      </c>
      <c r="P580">
        <v>0</v>
      </c>
      <c r="Q580">
        <v>1</v>
      </c>
      <c r="R580">
        <v>0</v>
      </c>
      <c r="S580">
        <v>1</v>
      </c>
      <c r="T580" s="1">
        <v>160</v>
      </c>
      <c r="U580">
        <v>578</v>
      </c>
      <c r="V580">
        <v>0</v>
      </c>
      <c r="W580">
        <v>3</v>
      </c>
      <c r="X580">
        <v>1</v>
      </c>
      <c r="Y580">
        <v>0</v>
      </c>
      <c r="Z580">
        <v>0</v>
      </c>
      <c r="AA580" s="1">
        <v>400</v>
      </c>
      <c r="AB580">
        <v>578</v>
      </c>
      <c r="AC580">
        <v>0</v>
      </c>
      <c r="AD580">
        <v>0</v>
      </c>
      <c r="AE580">
        <v>0</v>
      </c>
      <c r="AF580">
        <v>0</v>
      </c>
      <c r="AG580">
        <v>0</v>
      </c>
      <c r="AH580" s="1">
        <v>0</v>
      </c>
      <c r="AI580">
        <v>578</v>
      </c>
      <c r="AJ580">
        <v>0</v>
      </c>
      <c r="AK580">
        <v>0</v>
      </c>
      <c r="AL580">
        <v>0</v>
      </c>
      <c r="AM580">
        <v>0</v>
      </c>
      <c r="AN580">
        <v>0</v>
      </c>
      <c r="AO580" s="1">
        <v>0</v>
      </c>
    </row>
    <row r="581" spans="7:41" x14ac:dyDescent="0.35">
      <c r="G581">
        <v>579</v>
      </c>
      <c r="H581">
        <v>0</v>
      </c>
      <c r="I581">
        <v>1</v>
      </c>
      <c r="J581">
        <v>3</v>
      </c>
      <c r="K581">
        <v>0</v>
      </c>
      <c r="L581">
        <v>1</v>
      </c>
      <c r="M581" s="1">
        <v>300</v>
      </c>
      <c r="N581">
        <v>579</v>
      </c>
      <c r="O581">
        <v>0</v>
      </c>
      <c r="P581">
        <v>2</v>
      </c>
      <c r="Q581">
        <v>1</v>
      </c>
      <c r="R581">
        <v>0</v>
      </c>
      <c r="S581">
        <v>0</v>
      </c>
      <c r="T581" s="1">
        <v>240</v>
      </c>
      <c r="U581">
        <v>579</v>
      </c>
      <c r="V581">
        <v>0</v>
      </c>
      <c r="W581">
        <v>2</v>
      </c>
      <c r="X581">
        <v>0</v>
      </c>
      <c r="Y581">
        <v>0</v>
      </c>
      <c r="Z581">
        <v>0</v>
      </c>
      <c r="AA581" s="1">
        <v>200</v>
      </c>
      <c r="AB581">
        <v>579</v>
      </c>
      <c r="AC581">
        <v>0</v>
      </c>
      <c r="AD581">
        <v>0</v>
      </c>
      <c r="AE581">
        <v>0</v>
      </c>
      <c r="AF581">
        <v>0</v>
      </c>
      <c r="AG581">
        <v>0</v>
      </c>
      <c r="AH581" s="1">
        <v>0</v>
      </c>
      <c r="AI581">
        <v>579</v>
      </c>
      <c r="AJ581">
        <v>0</v>
      </c>
      <c r="AK581">
        <v>0</v>
      </c>
      <c r="AL581">
        <v>0</v>
      </c>
      <c r="AM581">
        <v>0</v>
      </c>
      <c r="AN581">
        <v>0</v>
      </c>
      <c r="AO581" s="1">
        <v>0</v>
      </c>
    </row>
    <row r="582" spans="7:41" x14ac:dyDescent="0.35">
      <c r="G582">
        <v>580</v>
      </c>
      <c r="H582">
        <v>0</v>
      </c>
      <c r="I582">
        <v>0</v>
      </c>
      <c r="J582">
        <v>0</v>
      </c>
      <c r="K582">
        <v>0</v>
      </c>
      <c r="L582">
        <v>0</v>
      </c>
      <c r="M582" s="1">
        <v>0</v>
      </c>
      <c r="N582">
        <v>580</v>
      </c>
      <c r="O582">
        <v>0</v>
      </c>
      <c r="P582">
        <v>0</v>
      </c>
      <c r="Q582">
        <v>1</v>
      </c>
      <c r="R582">
        <v>0</v>
      </c>
      <c r="S582">
        <v>0</v>
      </c>
      <c r="T582" s="1">
        <v>80</v>
      </c>
      <c r="U582">
        <v>580</v>
      </c>
      <c r="V582">
        <v>0</v>
      </c>
      <c r="W582">
        <v>1</v>
      </c>
      <c r="X582">
        <v>1</v>
      </c>
      <c r="Y582">
        <v>0</v>
      </c>
      <c r="Z582">
        <v>0</v>
      </c>
      <c r="AA582" s="1">
        <v>200</v>
      </c>
      <c r="AB582">
        <v>580</v>
      </c>
      <c r="AC582">
        <v>0</v>
      </c>
      <c r="AD582">
        <v>0</v>
      </c>
      <c r="AE582">
        <v>0</v>
      </c>
      <c r="AF582">
        <v>0</v>
      </c>
      <c r="AG582">
        <v>0</v>
      </c>
      <c r="AH582" s="1">
        <v>0</v>
      </c>
      <c r="AI582">
        <v>580</v>
      </c>
      <c r="AJ582">
        <v>0</v>
      </c>
      <c r="AK582">
        <v>0</v>
      </c>
      <c r="AL582">
        <v>0</v>
      </c>
      <c r="AM582">
        <v>0</v>
      </c>
      <c r="AN582">
        <v>0</v>
      </c>
      <c r="AO582" s="1">
        <v>0</v>
      </c>
    </row>
    <row r="583" spans="7:41" x14ac:dyDescent="0.35">
      <c r="G583">
        <v>581</v>
      </c>
      <c r="H583">
        <v>1</v>
      </c>
      <c r="I583">
        <v>0</v>
      </c>
      <c r="J583">
        <v>0</v>
      </c>
      <c r="K583">
        <v>0</v>
      </c>
      <c r="L583">
        <v>2</v>
      </c>
      <c r="M583" s="1">
        <v>180</v>
      </c>
      <c r="N583">
        <v>581</v>
      </c>
      <c r="O583">
        <v>1</v>
      </c>
      <c r="P583">
        <v>0</v>
      </c>
      <c r="Q583">
        <v>0</v>
      </c>
      <c r="R583">
        <v>0</v>
      </c>
      <c r="S583">
        <v>1</v>
      </c>
      <c r="T583" s="1">
        <v>160</v>
      </c>
      <c r="U583">
        <v>581</v>
      </c>
      <c r="V583">
        <v>0</v>
      </c>
      <c r="W583">
        <v>0</v>
      </c>
      <c r="X583">
        <v>0</v>
      </c>
      <c r="Y583">
        <v>0</v>
      </c>
      <c r="Z583">
        <v>0</v>
      </c>
      <c r="AA583" s="1">
        <v>0</v>
      </c>
      <c r="AB583">
        <v>581</v>
      </c>
      <c r="AC583">
        <v>0</v>
      </c>
      <c r="AD583">
        <v>0</v>
      </c>
      <c r="AE583">
        <v>0</v>
      </c>
      <c r="AF583">
        <v>0</v>
      </c>
      <c r="AG583">
        <v>0</v>
      </c>
      <c r="AH583" s="1">
        <v>0</v>
      </c>
      <c r="AI583">
        <v>581</v>
      </c>
      <c r="AJ583">
        <v>0</v>
      </c>
      <c r="AK583">
        <v>0</v>
      </c>
      <c r="AL583">
        <v>0</v>
      </c>
      <c r="AM583">
        <v>0</v>
      </c>
      <c r="AN583">
        <v>0</v>
      </c>
      <c r="AO583" s="1">
        <v>0</v>
      </c>
    </row>
    <row r="584" spans="7:41" x14ac:dyDescent="0.35">
      <c r="G584">
        <v>582</v>
      </c>
      <c r="H584">
        <v>2</v>
      </c>
      <c r="I584">
        <v>0</v>
      </c>
      <c r="J584">
        <v>1</v>
      </c>
      <c r="K584">
        <v>2</v>
      </c>
      <c r="L584">
        <v>0</v>
      </c>
      <c r="M584" s="1">
        <v>300</v>
      </c>
      <c r="N584">
        <v>582</v>
      </c>
      <c r="O584">
        <v>0</v>
      </c>
      <c r="P584">
        <v>0</v>
      </c>
      <c r="Q584">
        <v>0</v>
      </c>
      <c r="R584">
        <v>0</v>
      </c>
      <c r="S584">
        <v>0</v>
      </c>
      <c r="T584" s="1">
        <v>0</v>
      </c>
      <c r="U584">
        <v>582</v>
      </c>
      <c r="V584">
        <v>0</v>
      </c>
      <c r="W584">
        <v>2</v>
      </c>
      <c r="X584">
        <v>0</v>
      </c>
      <c r="Y584">
        <v>0</v>
      </c>
      <c r="Z584">
        <v>0</v>
      </c>
      <c r="AA584" s="1">
        <v>200</v>
      </c>
      <c r="AB584">
        <v>582</v>
      </c>
      <c r="AC584">
        <v>0</v>
      </c>
      <c r="AD584">
        <v>0</v>
      </c>
      <c r="AE584">
        <v>0</v>
      </c>
      <c r="AF584">
        <v>0</v>
      </c>
      <c r="AG584">
        <v>1</v>
      </c>
      <c r="AH584" s="1">
        <v>120</v>
      </c>
      <c r="AI584">
        <v>582</v>
      </c>
      <c r="AJ584">
        <v>0</v>
      </c>
      <c r="AK584">
        <v>0</v>
      </c>
      <c r="AL584">
        <v>1</v>
      </c>
      <c r="AM584">
        <v>0</v>
      </c>
      <c r="AN584">
        <v>0</v>
      </c>
      <c r="AO584" s="1">
        <v>150</v>
      </c>
    </row>
    <row r="585" spans="7:41" x14ac:dyDescent="0.35">
      <c r="G585">
        <v>583</v>
      </c>
      <c r="H585">
        <v>0</v>
      </c>
      <c r="I585">
        <v>1</v>
      </c>
      <c r="J585">
        <v>1</v>
      </c>
      <c r="K585">
        <v>0</v>
      </c>
      <c r="L585">
        <v>1</v>
      </c>
      <c r="M585" s="1">
        <v>180</v>
      </c>
      <c r="N585">
        <v>583</v>
      </c>
      <c r="O585">
        <v>0</v>
      </c>
      <c r="P585">
        <v>0</v>
      </c>
      <c r="Q585">
        <v>0</v>
      </c>
      <c r="R585">
        <v>0</v>
      </c>
      <c r="S585">
        <v>0</v>
      </c>
      <c r="T585" s="1">
        <v>0</v>
      </c>
      <c r="U585">
        <v>583</v>
      </c>
      <c r="V585">
        <v>0</v>
      </c>
      <c r="W585">
        <v>0</v>
      </c>
      <c r="X585">
        <v>0</v>
      </c>
      <c r="Y585">
        <v>0</v>
      </c>
      <c r="Z585">
        <v>0</v>
      </c>
      <c r="AA585" s="1">
        <v>0</v>
      </c>
      <c r="AB585">
        <v>583</v>
      </c>
      <c r="AC585">
        <v>0</v>
      </c>
      <c r="AD585">
        <v>0</v>
      </c>
      <c r="AE585">
        <v>0</v>
      </c>
      <c r="AF585">
        <v>0</v>
      </c>
      <c r="AG585">
        <v>0</v>
      </c>
      <c r="AH585" s="1">
        <v>0</v>
      </c>
      <c r="AI585">
        <v>583</v>
      </c>
      <c r="AJ585">
        <v>0</v>
      </c>
      <c r="AK585">
        <v>0</v>
      </c>
      <c r="AL585">
        <v>0</v>
      </c>
      <c r="AM585">
        <v>0</v>
      </c>
      <c r="AN585">
        <v>0</v>
      </c>
      <c r="AO585" s="1">
        <v>0</v>
      </c>
    </row>
    <row r="586" spans="7:41" x14ac:dyDescent="0.35">
      <c r="G586">
        <v>584</v>
      </c>
      <c r="H586">
        <v>0</v>
      </c>
      <c r="I586">
        <v>1</v>
      </c>
      <c r="J586">
        <v>1</v>
      </c>
      <c r="K586">
        <v>0</v>
      </c>
      <c r="L586">
        <v>2</v>
      </c>
      <c r="M586" s="1">
        <v>240</v>
      </c>
      <c r="N586">
        <v>584</v>
      </c>
      <c r="O586">
        <v>1</v>
      </c>
      <c r="P586">
        <v>1</v>
      </c>
      <c r="Q586">
        <v>1</v>
      </c>
      <c r="R586">
        <v>0</v>
      </c>
      <c r="S586">
        <v>0</v>
      </c>
      <c r="T586" s="1">
        <v>240</v>
      </c>
      <c r="U586">
        <v>584</v>
      </c>
      <c r="V586">
        <v>0</v>
      </c>
      <c r="W586">
        <v>0</v>
      </c>
      <c r="X586">
        <v>0</v>
      </c>
      <c r="Y586">
        <v>0</v>
      </c>
      <c r="Z586">
        <v>0</v>
      </c>
      <c r="AA586" s="1">
        <v>0</v>
      </c>
      <c r="AB586">
        <v>584</v>
      </c>
      <c r="AC586">
        <v>0</v>
      </c>
      <c r="AD586">
        <v>0</v>
      </c>
      <c r="AE586">
        <v>0</v>
      </c>
      <c r="AF586">
        <v>0</v>
      </c>
      <c r="AG586">
        <v>0</v>
      </c>
      <c r="AH586" s="1">
        <v>0</v>
      </c>
      <c r="AI586">
        <v>584</v>
      </c>
      <c r="AJ586">
        <v>0</v>
      </c>
      <c r="AK586">
        <v>1</v>
      </c>
      <c r="AL586">
        <v>0</v>
      </c>
      <c r="AM586">
        <v>0</v>
      </c>
      <c r="AN586">
        <v>0</v>
      </c>
      <c r="AO586" s="1">
        <v>150</v>
      </c>
    </row>
    <row r="587" spans="7:41" x14ac:dyDescent="0.35">
      <c r="G587">
        <v>585</v>
      </c>
      <c r="H587">
        <v>0</v>
      </c>
      <c r="I587">
        <v>1</v>
      </c>
      <c r="J587">
        <v>1</v>
      </c>
      <c r="K587">
        <v>1</v>
      </c>
      <c r="L587">
        <v>1</v>
      </c>
      <c r="M587" s="1">
        <v>240</v>
      </c>
      <c r="N587">
        <v>585</v>
      </c>
      <c r="O587">
        <v>0</v>
      </c>
      <c r="P587">
        <v>0</v>
      </c>
      <c r="Q587">
        <v>0</v>
      </c>
      <c r="R587">
        <v>0</v>
      </c>
      <c r="S587">
        <v>0</v>
      </c>
      <c r="T587" s="1">
        <v>0</v>
      </c>
      <c r="U587">
        <v>585</v>
      </c>
      <c r="V587">
        <v>0</v>
      </c>
      <c r="W587">
        <v>0</v>
      </c>
      <c r="X587">
        <v>0</v>
      </c>
      <c r="Y587">
        <v>0</v>
      </c>
      <c r="Z587">
        <v>0</v>
      </c>
      <c r="AA587" s="1">
        <v>0</v>
      </c>
      <c r="AB587">
        <v>585</v>
      </c>
      <c r="AC587">
        <v>1</v>
      </c>
      <c r="AD587">
        <v>0</v>
      </c>
      <c r="AE587">
        <v>0</v>
      </c>
      <c r="AF587">
        <v>0</v>
      </c>
      <c r="AG587">
        <v>0</v>
      </c>
      <c r="AH587" s="1">
        <v>120</v>
      </c>
      <c r="AI587">
        <v>585</v>
      </c>
      <c r="AJ587">
        <v>0</v>
      </c>
      <c r="AK587">
        <v>0</v>
      </c>
      <c r="AL587">
        <v>2</v>
      </c>
      <c r="AM587">
        <v>0</v>
      </c>
      <c r="AN587">
        <v>0</v>
      </c>
      <c r="AO587" s="1">
        <v>300</v>
      </c>
    </row>
    <row r="588" spans="7:41" x14ac:dyDescent="0.35">
      <c r="G588">
        <v>586</v>
      </c>
      <c r="H588">
        <v>0</v>
      </c>
      <c r="I588">
        <v>0</v>
      </c>
      <c r="J588">
        <v>1</v>
      </c>
      <c r="K588">
        <v>0</v>
      </c>
      <c r="L588">
        <v>1</v>
      </c>
      <c r="M588" s="1">
        <v>120</v>
      </c>
      <c r="N588">
        <v>586</v>
      </c>
      <c r="O588">
        <v>2</v>
      </c>
      <c r="P588">
        <v>1</v>
      </c>
      <c r="Q588">
        <v>2</v>
      </c>
      <c r="R588">
        <v>0</v>
      </c>
      <c r="S588">
        <v>0</v>
      </c>
      <c r="T588" s="1">
        <v>400</v>
      </c>
      <c r="U588">
        <v>586</v>
      </c>
      <c r="V588">
        <v>0</v>
      </c>
      <c r="W588">
        <v>0</v>
      </c>
      <c r="X588">
        <v>1</v>
      </c>
      <c r="Y588">
        <v>0</v>
      </c>
      <c r="Z588">
        <v>1</v>
      </c>
      <c r="AA588" s="1">
        <v>200</v>
      </c>
      <c r="AB588">
        <v>586</v>
      </c>
      <c r="AC588">
        <v>0</v>
      </c>
      <c r="AD588">
        <v>0</v>
      </c>
      <c r="AE588">
        <v>0</v>
      </c>
      <c r="AF588">
        <v>0</v>
      </c>
      <c r="AG588">
        <v>0</v>
      </c>
      <c r="AH588" s="1">
        <v>0</v>
      </c>
      <c r="AI588">
        <v>586</v>
      </c>
      <c r="AJ588">
        <v>0</v>
      </c>
      <c r="AK588">
        <v>0</v>
      </c>
      <c r="AL588">
        <v>0</v>
      </c>
      <c r="AM588">
        <v>0</v>
      </c>
      <c r="AN588">
        <v>0</v>
      </c>
      <c r="AO588" s="1">
        <v>0</v>
      </c>
    </row>
    <row r="589" spans="7:41" x14ac:dyDescent="0.35">
      <c r="G589">
        <v>587</v>
      </c>
      <c r="H589">
        <v>1</v>
      </c>
      <c r="I589">
        <v>0</v>
      </c>
      <c r="J589">
        <v>1</v>
      </c>
      <c r="K589">
        <v>4</v>
      </c>
      <c r="L589">
        <v>0</v>
      </c>
      <c r="M589" s="1">
        <v>360</v>
      </c>
      <c r="N589">
        <v>587</v>
      </c>
      <c r="O589">
        <v>1</v>
      </c>
      <c r="P589">
        <v>1</v>
      </c>
      <c r="Q589">
        <v>2</v>
      </c>
      <c r="R589">
        <v>0</v>
      </c>
      <c r="S589">
        <v>0</v>
      </c>
      <c r="T589" s="1">
        <v>320</v>
      </c>
      <c r="U589">
        <v>587</v>
      </c>
      <c r="V589">
        <v>0</v>
      </c>
      <c r="W589">
        <v>0</v>
      </c>
      <c r="X589">
        <v>0</v>
      </c>
      <c r="Y589">
        <v>0</v>
      </c>
      <c r="Z589">
        <v>0</v>
      </c>
      <c r="AA589" s="1">
        <v>0</v>
      </c>
      <c r="AB589">
        <v>587</v>
      </c>
      <c r="AC589">
        <v>0</v>
      </c>
      <c r="AD589">
        <v>0</v>
      </c>
      <c r="AE589">
        <v>0</v>
      </c>
      <c r="AF589">
        <v>1</v>
      </c>
      <c r="AG589">
        <v>0</v>
      </c>
      <c r="AH589" s="1">
        <v>120</v>
      </c>
      <c r="AI589">
        <v>587</v>
      </c>
      <c r="AJ589">
        <v>0</v>
      </c>
      <c r="AK589">
        <v>0</v>
      </c>
      <c r="AL589">
        <v>2</v>
      </c>
      <c r="AM589">
        <v>0</v>
      </c>
      <c r="AN589">
        <v>0</v>
      </c>
      <c r="AO589" s="1">
        <v>300</v>
      </c>
    </row>
    <row r="590" spans="7:41" x14ac:dyDescent="0.35">
      <c r="G590">
        <v>588</v>
      </c>
      <c r="H590">
        <v>0</v>
      </c>
      <c r="I590">
        <v>0</v>
      </c>
      <c r="J590">
        <v>0</v>
      </c>
      <c r="K590">
        <v>4</v>
      </c>
      <c r="L590">
        <v>0</v>
      </c>
      <c r="M590" s="1">
        <v>240</v>
      </c>
      <c r="N590">
        <v>588</v>
      </c>
      <c r="O590">
        <v>0</v>
      </c>
      <c r="P590">
        <v>0</v>
      </c>
      <c r="Q590">
        <v>3</v>
      </c>
      <c r="R590">
        <v>0</v>
      </c>
      <c r="S590">
        <v>0</v>
      </c>
      <c r="T590" s="1">
        <v>240</v>
      </c>
      <c r="U590">
        <v>588</v>
      </c>
      <c r="V590">
        <v>0</v>
      </c>
      <c r="W590">
        <v>0</v>
      </c>
      <c r="X590">
        <v>0</v>
      </c>
      <c r="Y590">
        <v>0</v>
      </c>
      <c r="Z590">
        <v>0</v>
      </c>
      <c r="AA590" s="1">
        <v>0</v>
      </c>
      <c r="AB590">
        <v>588</v>
      </c>
      <c r="AC590">
        <v>0</v>
      </c>
      <c r="AD590">
        <v>1</v>
      </c>
      <c r="AE590">
        <v>0</v>
      </c>
      <c r="AF590">
        <v>0</v>
      </c>
      <c r="AG590">
        <v>0</v>
      </c>
      <c r="AH590" s="1">
        <v>120</v>
      </c>
      <c r="AI590">
        <v>588</v>
      </c>
      <c r="AJ590">
        <v>0</v>
      </c>
      <c r="AK590">
        <v>0</v>
      </c>
      <c r="AL590">
        <v>0</v>
      </c>
      <c r="AM590">
        <v>0</v>
      </c>
      <c r="AN590">
        <v>0</v>
      </c>
      <c r="AO590" s="1">
        <v>0</v>
      </c>
    </row>
    <row r="591" spans="7:41" x14ac:dyDescent="0.35">
      <c r="G591">
        <v>589</v>
      </c>
      <c r="H591">
        <v>0</v>
      </c>
      <c r="I591">
        <v>1</v>
      </c>
      <c r="J591">
        <v>2</v>
      </c>
      <c r="K591">
        <v>0</v>
      </c>
      <c r="L591">
        <v>1</v>
      </c>
      <c r="M591" s="1">
        <v>240</v>
      </c>
      <c r="N591">
        <v>589</v>
      </c>
      <c r="O591">
        <v>1</v>
      </c>
      <c r="P591">
        <v>0</v>
      </c>
      <c r="Q591">
        <v>0</v>
      </c>
      <c r="R591">
        <v>0</v>
      </c>
      <c r="S591">
        <v>1</v>
      </c>
      <c r="T591" s="1">
        <v>160</v>
      </c>
      <c r="U591">
        <v>589</v>
      </c>
      <c r="V591">
        <v>0</v>
      </c>
      <c r="W591">
        <v>1</v>
      </c>
      <c r="X591">
        <v>0</v>
      </c>
      <c r="Y591">
        <v>0</v>
      </c>
      <c r="Z591">
        <v>1</v>
      </c>
      <c r="AA591" s="1">
        <v>200</v>
      </c>
      <c r="AB591">
        <v>589</v>
      </c>
      <c r="AC591">
        <v>0</v>
      </c>
      <c r="AD591">
        <v>0</v>
      </c>
      <c r="AE591">
        <v>0</v>
      </c>
      <c r="AF591">
        <v>0</v>
      </c>
      <c r="AG591">
        <v>0</v>
      </c>
      <c r="AH591" s="1">
        <v>0</v>
      </c>
      <c r="AI591">
        <v>589</v>
      </c>
      <c r="AJ591">
        <v>0</v>
      </c>
      <c r="AK591">
        <v>0</v>
      </c>
      <c r="AL591">
        <v>0</v>
      </c>
      <c r="AM591">
        <v>0</v>
      </c>
      <c r="AN591">
        <v>0</v>
      </c>
      <c r="AO591" s="1">
        <v>0</v>
      </c>
    </row>
    <row r="592" spans="7:41" x14ac:dyDescent="0.35">
      <c r="G592">
        <v>590</v>
      </c>
      <c r="H592">
        <v>1</v>
      </c>
      <c r="I592">
        <v>2</v>
      </c>
      <c r="J592">
        <v>1</v>
      </c>
      <c r="K592">
        <v>0</v>
      </c>
      <c r="L592">
        <v>1</v>
      </c>
      <c r="M592" s="1">
        <v>300</v>
      </c>
      <c r="N592">
        <v>590</v>
      </c>
      <c r="O592">
        <v>0</v>
      </c>
      <c r="P592">
        <v>0</v>
      </c>
      <c r="Q592">
        <v>1</v>
      </c>
      <c r="R592">
        <v>0</v>
      </c>
      <c r="S592">
        <v>1</v>
      </c>
      <c r="T592" s="1">
        <v>160</v>
      </c>
      <c r="U592">
        <v>590</v>
      </c>
      <c r="V592">
        <v>0</v>
      </c>
      <c r="W592">
        <v>0</v>
      </c>
      <c r="X592">
        <v>0</v>
      </c>
      <c r="Y592">
        <v>0</v>
      </c>
      <c r="Z592">
        <v>0</v>
      </c>
      <c r="AA592" s="1">
        <v>0</v>
      </c>
      <c r="AB592">
        <v>590</v>
      </c>
      <c r="AC592">
        <v>0</v>
      </c>
      <c r="AD592">
        <v>0</v>
      </c>
      <c r="AE592">
        <v>0</v>
      </c>
      <c r="AF592">
        <v>0</v>
      </c>
      <c r="AG592">
        <v>0</v>
      </c>
      <c r="AH592" s="1">
        <v>0</v>
      </c>
      <c r="AI592">
        <v>590</v>
      </c>
      <c r="AJ592">
        <v>0</v>
      </c>
      <c r="AK592">
        <v>0</v>
      </c>
      <c r="AL592">
        <v>0</v>
      </c>
      <c r="AM592">
        <v>0</v>
      </c>
      <c r="AN592">
        <v>0</v>
      </c>
      <c r="AO592" s="1">
        <v>0</v>
      </c>
    </row>
    <row r="593" spans="7:41" x14ac:dyDescent="0.35">
      <c r="G593">
        <v>591</v>
      </c>
      <c r="H593">
        <v>0</v>
      </c>
      <c r="I593">
        <v>1</v>
      </c>
      <c r="J593">
        <v>2</v>
      </c>
      <c r="K593">
        <v>0</v>
      </c>
      <c r="L593">
        <v>0</v>
      </c>
      <c r="M593" s="1">
        <v>180</v>
      </c>
      <c r="N593">
        <v>591</v>
      </c>
      <c r="O593">
        <v>1</v>
      </c>
      <c r="P593">
        <v>1</v>
      </c>
      <c r="Q593">
        <v>0</v>
      </c>
      <c r="R593">
        <v>0</v>
      </c>
      <c r="S593">
        <v>2</v>
      </c>
      <c r="T593" s="1">
        <v>320</v>
      </c>
      <c r="U593">
        <v>591</v>
      </c>
      <c r="V593">
        <v>0</v>
      </c>
      <c r="W593">
        <v>0</v>
      </c>
      <c r="X593">
        <v>0</v>
      </c>
      <c r="Y593">
        <v>0</v>
      </c>
      <c r="Z593">
        <v>0</v>
      </c>
      <c r="AA593" s="1">
        <v>0</v>
      </c>
      <c r="AB593">
        <v>591</v>
      </c>
      <c r="AC593">
        <v>0</v>
      </c>
      <c r="AD593">
        <v>0</v>
      </c>
      <c r="AE593">
        <v>0</v>
      </c>
      <c r="AF593">
        <v>0</v>
      </c>
      <c r="AG593">
        <v>1</v>
      </c>
      <c r="AH593" s="1">
        <v>120</v>
      </c>
      <c r="AI593">
        <v>591</v>
      </c>
      <c r="AJ593">
        <v>0</v>
      </c>
      <c r="AK593">
        <v>0</v>
      </c>
      <c r="AL593">
        <v>0</v>
      </c>
      <c r="AM593">
        <v>0</v>
      </c>
      <c r="AN593">
        <v>0</v>
      </c>
      <c r="AO593" s="1">
        <v>0</v>
      </c>
    </row>
    <row r="594" spans="7:41" x14ac:dyDescent="0.35">
      <c r="G594">
        <v>592</v>
      </c>
      <c r="H594">
        <v>1</v>
      </c>
      <c r="I594">
        <v>1</v>
      </c>
      <c r="J594">
        <v>3</v>
      </c>
      <c r="K594">
        <v>0</v>
      </c>
      <c r="L594">
        <v>0</v>
      </c>
      <c r="M594" s="1">
        <v>300</v>
      </c>
      <c r="N594">
        <v>592</v>
      </c>
      <c r="O594">
        <v>2</v>
      </c>
      <c r="P594">
        <v>1</v>
      </c>
      <c r="Q594">
        <v>1</v>
      </c>
      <c r="R594">
        <v>0</v>
      </c>
      <c r="S594">
        <v>0</v>
      </c>
      <c r="T594" s="1">
        <v>320</v>
      </c>
      <c r="U594">
        <v>592</v>
      </c>
      <c r="V594">
        <v>0</v>
      </c>
      <c r="W594">
        <v>0</v>
      </c>
      <c r="X594">
        <v>0</v>
      </c>
      <c r="Y594">
        <v>1</v>
      </c>
      <c r="Z594">
        <v>0</v>
      </c>
      <c r="AA594" s="1">
        <v>100</v>
      </c>
      <c r="AB594">
        <v>592</v>
      </c>
      <c r="AC594">
        <v>0</v>
      </c>
      <c r="AD594">
        <v>0</v>
      </c>
      <c r="AE594">
        <v>0</v>
      </c>
      <c r="AF594">
        <v>0</v>
      </c>
      <c r="AG594">
        <v>1</v>
      </c>
      <c r="AH594" s="1">
        <v>120</v>
      </c>
      <c r="AI594">
        <v>592</v>
      </c>
      <c r="AJ594">
        <v>0</v>
      </c>
      <c r="AK594">
        <v>0</v>
      </c>
      <c r="AL594">
        <v>0</v>
      </c>
      <c r="AM594">
        <v>0</v>
      </c>
      <c r="AN594">
        <v>0</v>
      </c>
      <c r="AO594" s="1">
        <v>0</v>
      </c>
    </row>
    <row r="595" spans="7:41" x14ac:dyDescent="0.35">
      <c r="G595">
        <v>593</v>
      </c>
      <c r="H595">
        <v>0</v>
      </c>
      <c r="I595">
        <v>1</v>
      </c>
      <c r="J595">
        <v>0</v>
      </c>
      <c r="K595">
        <v>2</v>
      </c>
      <c r="L595">
        <v>0</v>
      </c>
      <c r="M595" s="1">
        <v>180</v>
      </c>
      <c r="N595">
        <v>593</v>
      </c>
      <c r="O595">
        <v>1</v>
      </c>
      <c r="P595">
        <v>0</v>
      </c>
      <c r="Q595">
        <v>3</v>
      </c>
      <c r="R595">
        <v>1</v>
      </c>
      <c r="S595">
        <v>0</v>
      </c>
      <c r="T595" s="1">
        <v>400</v>
      </c>
      <c r="U595">
        <v>593</v>
      </c>
      <c r="V595">
        <v>1</v>
      </c>
      <c r="W595">
        <v>2</v>
      </c>
      <c r="X595">
        <v>0</v>
      </c>
      <c r="Y595">
        <v>0</v>
      </c>
      <c r="Z595">
        <v>0</v>
      </c>
      <c r="AA595" s="1">
        <v>300</v>
      </c>
      <c r="AB595">
        <v>593</v>
      </c>
      <c r="AC595">
        <v>0</v>
      </c>
      <c r="AD595">
        <v>0</v>
      </c>
      <c r="AE595">
        <v>0</v>
      </c>
      <c r="AF595">
        <v>0</v>
      </c>
      <c r="AG595">
        <v>0</v>
      </c>
      <c r="AH595" s="1">
        <v>0</v>
      </c>
      <c r="AI595">
        <v>593</v>
      </c>
      <c r="AJ595">
        <v>0</v>
      </c>
      <c r="AK595">
        <v>0</v>
      </c>
      <c r="AL595">
        <v>0</v>
      </c>
      <c r="AM595">
        <v>0</v>
      </c>
      <c r="AN595">
        <v>0</v>
      </c>
      <c r="AO595" s="1">
        <v>0</v>
      </c>
    </row>
    <row r="596" spans="7:41" x14ac:dyDescent="0.35">
      <c r="G596">
        <v>594</v>
      </c>
      <c r="H596">
        <v>1</v>
      </c>
      <c r="I596">
        <v>1</v>
      </c>
      <c r="J596">
        <v>0</v>
      </c>
      <c r="K596">
        <v>2</v>
      </c>
      <c r="L596">
        <v>0</v>
      </c>
      <c r="M596" s="1">
        <v>240</v>
      </c>
      <c r="N596">
        <v>594</v>
      </c>
      <c r="O596">
        <v>1</v>
      </c>
      <c r="P596">
        <v>0</v>
      </c>
      <c r="Q596">
        <v>0</v>
      </c>
      <c r="R596">
        <v>0</v>
      </c>
      <c r="S596">
        <v>0</v>
      </c>
      <c r="T596" s="1">
        <v>80</v>
      </c>
      <c r="U596">
        <v>594</v>
      </c>
      <c r="V596">
        <v>0</v>
      </c>
      <c r="W596">
        <v>0</v>
      </c>
      <c r="X596">
        <v>0</v>
      </c>
      <c r="Y596">
        <v>0</v>
      </c>
      <c r="Z596">
        <v>1</v>
      </c>
      <c r="AA596" s="1">
        <v>100</v>
      </c>
      <c r="AB596">
        <v>594</v>
      </c>
      <c r="AC596">
        <v>0</v>
      </c>
      <c r="AD596">
        <v>0</v>
      </c>
      <c r="AE596">
        <v>0</v>
      </c>
      <c r="AF596">
        <v>0</v>
      </c>
      <c r="AG596">
        <v>0</v>
      </c>
      <c r="AH596" s="1">
        <v>0</v>
      </c>
      <c r="AI596">
        <v>594</v>
      </c>
      <c r="AJ596">
        <v>0</v>
      </c>
      <c r="AK596">
        <v>0</v>
      </c>
      <c r="AL596">
        <v>1</v>
      </c>
      <c r="AM596">
        <v>0</v>
      </c>
      <c r="AN596">
        <v>0</v>
      </c>
      <c r="AO596" s="1">
        <v>150</v>
      </c>
    </row>
    <row r="597" spans="7:41" x14ac:dyDescent="0.35">
      <c r="G597">
        <v>595</v>
      </c>
      <c r="H597">
        <v>0</v>
      </c>
      <c r="I597">
        <v>3</v>
      </c>
      <c r="J597">
        <v>2</v>
      </c>
      <c r="K597">
        <v>2</v>
      </c>
      <c r="L597">
        <v>0</v>
      </c>
      <c r="M597" s="1">
        <v>420</v>
      </c>
      <c r="N597">
        <v>595</v>
      </c>
      <c r="O597">
        <v>0</v>
      </c>
      <c r="P597">
        <v>2</v>
      </c>
      <c r="Q597">
        <v>1</v>
      </c>
      <c r="R597">
        <v>0</v>
      </c>
      <c r="S597">
        <v>1</v>
      </c>
      <c r="T597" s="1">
        <v>320</v>
      </c>
      <c r="U597">
        <v>595</v>
      </c>
      <c r="V597">
        <v>0</v>
      </c>
      <c r="W597">
        <v>1</v>
      </c>
      <c r="X597">
        <v>1</v>
      </c>
      <c r="Y597">
        <v>0</v>
      </c>
      <c r="Z597">
        <v>0</v>
      </c>
      <c r="AA597" s="1">
        <v>200</v>
      </c>
      <c r="AB597">
        <v>595</v>
      </c>
      <c r="AC597">
        <v>0</v>
      </c>
      <c r="AD597">
        <v>0</v>
      </c>
      <c r="AE597">
        <v>0</v>
      </c>
      <c r="AF597">
        <v>0</v>
      </c>
      <c r="AG597">
        <v>0</v>
      </c>
      <c r="AH597" s="1">
        <v>0</v>
      </c>
      <c r="AI597">
        <v>595</v>
      </c>
      <c r="AJ597">
        <v>0</v>
      </c>
      <c r="AK597">
        <v>0</v>
      </c>
      <c r="AL597">
        <v>0</v>
      </c>
      <c r="AM597">
        <v>0</v>
      </c>
      <c r="AN597">
        <v>0</v>
      </c>
      <c r="AO597" s="1">
        <v>0</v>
      </c>
    </row>
    <row r="598" spans="7:41" x14ac:dyDescent="0.35">
      <c r="G598">
        <v>596</v>
      </c>
      <c r="H598">
        <v>0</v>
      </c>
      <c r="I598">
        <v>3</v>
      </c>
      <c r="J598">
        <v>1</v>
      </c>
      <c r="K598">
        <v>4</v>
      </c>
      <c r="L598">
        <v>0</v>
      </c>
      <c r="M598" s="1">
        <v>480</v>
      </c>
      <c r="N598">
        <v>596</v>
      </c>
      <c r="O598">
        <v>0</v>
      </c>
      <c r="P598">
        <v>0</v>
      </c>
      <c r="Q598">
        <v>0</v>
      </c>
      <c r="R598">
        <v>0</v>
      </c>
      <c r="S598">
        <v>0</v>
      </c>
      <c r="T598" s="1">
        <v>0</v>
      </c>
      <c r="U598">
        <v>596</v>
      </c>
      <c r="V598">
        <v>0</v>
      </c>
      <c r="W598">
        <v>0</v>
      </c>
      <c r="X598">
        <v>1</v>
      </c>
      <c r="Y598">
        <v>0</v>
      </c>
      <c r="Z598">
        <v>0</v>
      </c>
      <c r="AA598" s="1">
        <v>100</v>
      </c>
      <c r="AB598">
        <v>596</v>
      </c>
      <c r="AC598">
        <v>0</v>
      </c>
      <c r="AD598">
        <v>0</v>
      </c>
      <c r="AE598">
        <v>0</v>
      </c>
      <c r="AF598">
        <v>0</v>
      </c>
      <c r="AG598">
        <v>1</v>
      </c>
      <c r="AH598" s="1">
        <v>120</v>
      </c>
      <c r="AI598">
        <v>596</v>
      </c>
      <c r="AJ598">
        <v>0</v>
      </c>
      <c r="AK598">
        <v>0</v>
      </c>
      <c r="AL598">
        <v>1</v>
      </c>
      <c r="AM598">
        <v>0</v>
      </c>
      <c r="AN598">
        <v>0</v>
      </c>
      <c r="AO598" s="1">
        <v>150</v>
      </c>
    </row>
    <row r="599" spans="7:41" x14ac:dyDescent="0.35">
      <c r="G599">
        <v>597</v>
      </c>
      <c r="H599">
        <v>0</v>
      </c>
      <c r="I599">
        <v>0</v>
      </c>
      <c r="J599">
        <v>0</v>
      </c>
      <c r="K599">
        <v>0</v>
      </c>
      <c r="L599">
        <v>0</v>
      </c>
      <c r="M599" s="1">
        <v>0</v>
      </c>
      <c r="N599">
        <v>597</v>
      </c>
      <c r="O599">
        <v>0</v>
      </c>
      <c r="P599">
        <v>0</v>
      </c>
      <c r="Q599">
        <v>0</v>
      </c>
      <c r="R599">
        <v>0</v>
      </c>
      <c r="S599">
        <v>0</v>
      </c>
      <c r="T599" s="1">
        <v>0</v>
      </c>
      <c r="U599">
        <v>597</v>
      </c>
      <c r="V599">
        <v>0</v>
      </c>
      <c r="W599">
        <v>0</v>
      </c>
      <c r="X599">
        <v>0</v>
      </c>
      <c r="Y599">
        <v>0</v>
      </c>
      <c r="Z599">
        <v>0</v>
      </c>
      <c r="AA599" s="1">
        <v>0</v>
      </c>
      <c r="AB599">
        <v>597</v>
      </c>
      <c r="AC599">
        <v>0</v>
      </c>
      <c r="AD599">
        <v>0</v>
      </c>
      <c r="AE599">
        <v>0</v>
      </c>
      <c r="AF599">
        <v>0</v>
      </c>
      <c r="AG599">
        <v>1</v>
      </c>
      <c r="AH599" s="1">
        <v>120</v>
      </c>
      <c r="AI599">
        <v>597</v>
      </c>
      <c r="AJ599">
        <v>0</v>
      </c>
      <c r="AK599">
        <v>0</v>
      </c>
      <c r="AL599">
        <v>0</v>
      </c>
      <c r="AM599">
        <v>0</v>
      </c>
      <c r="AN599">
        <v>0</v>
      </c>
      <c r="AO599" s="1">
        <v>0</v>
      </c>
    </row>
    <row r="600" spans="7:41" x14ac:dyDescent="0.35">
      <c r="G600">
        <v>598</v>
      </c>
      <c r="H600">
        <v>1</v>
      </c>
      <c r="I600">
        <v>0</v>
      </c>
      <c r="J600">
        <v>0</v>
      </c>
      <c r="K600">
        <v>2</v>
      </c>
      <c r="L600">
        <v>0</v>
      </c>
      <c r="M600" s="1">
        <v>180</v>
      </c>
      <c r="N600">
        <v>598</v>
      </c>
      <c r="O600">
        <v>0</v>
      </c>
      <c r="P600">
        <v>1</v>
      </c>
      <c r="Q600">
        <v>1</v>
      </c>
      <c r="R600">
        <v>0</v>
      </c>
      <c r="S600">
        <v>0</v>
      </c>
      <c r="T600" s="1">
        <v>160</v>
      </c>
      <c r="U600">
        <v>598</v>
      </c>
      <c r="V600">
        <v>0</v>
      </c>
      <c r="W600">
        <v>0</v>
      </c>
      <c r="X600">
        <v>0</v>
      </c>
      <c r="Y600">
        <v>0</v>
      </c>
      <c r="Z600">
        <v>0</v>
      </c>
      <c r="AA600" s="1">
        <v>0</v>
      </c>
      <c r="AB600">
        <v>598</v>
      </c>
      <c r="AC600">
        <v>0</v>
      </c>
      <c r="AD600">
        <v>0</v>
      </c>
      <c r="AE600">
        <v>0</v>
      </c>
      <c r="AF600">
        <v>0</v>
      </c>
      <c r="AG600">
        <v>1</v>
      </c>
      <c r="AH600" s="1">
        <v>120</v>
      </c>
      <c r="AI600">
        <v>598</v>
      </c>
      <c r="AJ600">
        <v>0</v>
      </c>
      <c r="AK600">
        <v>0</v>
      </c>
      <c r="AL600">
        <v>2</v>
      </c>
      <c r="AM600">
        <v>0</v>
      </c>
      <c r="AN600">
        <v>0</v>
      </c>
      <c r="AO600" s="1">
        <v>300</v>
      </c>
    </row>
    <row r="601" spans="7:41" x14ac:dyDescent="0.35">
      <c r="G601">
        <v>599</v>
      </c>
      <c r="H601">
        <v>0</v>
      </c>
      <c r="I601">
        <v>1</v>
      </c>
      <c r="J601">
        <v>1</v>
      </c>
      <c r="K601">
        <v>0</v>
      </c>
      <c r="L601">
        <v>1</v>
      </c>
      <c r="M601" s="1">
        <v>180</v>
      </c>
      <c r="N601">
        <v>599</v>
      </c>
      <c r="O601">
        <v>1</v>
      </c>
      <c r="P601">
        <v>0</v>
      </c>
      <c r="Q601">
        <v>0</v>
      </c>
      <c r="R601">
        <v>0</v>
      </c>
      <c r="S601">
        <v>1</v>
      </c>
      <c r="T601" s="1">
        <v>160</v>
      </c>
      <c r="U601">
        <v>599</v>
      </c>
      <c r="V601">
        <v>0</v>
      </c>
      <c r="W601">
        <v>0</v>
      </c>
      <c r="X601">
        <v>0</v>
      </c>
      <c r="Y601">
        <v>0</v>
      </c>
      <c r="Z601">
        <v>0</v>
      </c>
      <c r="AA601" s="1">
        <v>0</v>
      </c>
      <c r="AB601">
        <v>599</v>
      </c>
      <c r="AC601">
        <v>0</v>
      </c>
      <c r="AD601">
        <v>0</v>
      </c>
      <c r="AE601">
        <v>0</v>
      </c>
      <c r="AF601">
        <v>0</v>
      </c>
      <c r="AG601">
        <v>0</v>
      </c>
      <c r="AH601" s="1">
        <v>0</v>
      </c>
      <c r="AI601">
        <v>599</v>
      </c>
      <c r="AJ601">
        <v>0</v>
      </c>
      <c r="AK601">
        <v>0</v>
      </c>
      <c r="AL601">
        <v>1</v>
      </c>
      <c r="AM601">
        <v>0</v>
      </c>
      <c r="AN601">
        <v>0</v>
      </c>
      <c r="AO601" s="1">
        <v>150</v>
      </c>
    </row>
    <row r="602" spans="7:41" x14ac:dyDescent="0.35">
      <c r="G602">
        <v>600</v>
      </c>
      <c r="H602">
        <v>0</v>
      </c>
      <c r="I602">
        <v>0</v>
      </c>
      <c r="J602">
        <v>0</v>
      </c>
      <c r="K602">
        <v>4</v>
      </c>
      <c r="L602">
        <v>2</v>
      </c>
      <c r="M602" s="1">
        <v>360</v>
      </c>
      <c r="N602">
        <v>600</v>
      </c>
      <c r="O602">
        <v>0</v>
      </c>
      <c r="P602">
        <v>0</v>
      </c>
      <c r="Q602">
        <v>0</v>
      </c>
      <c r="R602">
        <v>0</v>
      </c>
      <c r="S602">
        <v>0</v>
      </c>
      <c r="T602" s="1">
        <v>0</v>
      </c>
      <c r="U602">
        <v>600</v>
      </c>
      <c r="V602">
        <v>0</v>
      </c>
      <c r="W602">
        <v>0</v>
      </c>
      <c r="X602">
        <v>0</v>
      </c>
      <c r="Y602">
        <v>0</v>
      </c>
      <c r="Z602">
        <v>0</v>
      </c>
      <c r="AA602" s="1">
        <v>0</v>
      </c>
      <c r="AB602">
        <v>600</v>
      </c>
      <c r="AC602">
        <v>0</v>
      </c>
      <c r="AD602">
        <v>0</v>
      </c>
      <c r="AE602">
        <v>0</v>
      </c>
      <c r="AF602">
        <v>0</v>
      </c>
      <c r="AG602">
        <v>0</v>
      </c>
      <c r="AH602" s="1">
        <v>0</v>
      </c>
      <c r="AI602">
        <v>600</v>
      </c>
      <c r="AJ602">
        <v>0</v>
      </c>
      <c r="AK602">
        <v>0</v>
      </c>
      <c r="AL602">
        <v>2</v>
      </c>
      <c r="AM602">
        <v>0</v>
      </c>
      <c r="AN602">
        <v>0</v>
      </c>
      <c r="AO602" s="1">
        <v>300</v>
      </c>
    </row>
    <row r="603" spans="7:41" x14ac:dyDescent="0.35">
      <c r="G603">
        <v>601</v>
      </c>
      <c r="H603">
        <v>0</v>
      </c>
      <c r="I603">
        <v>0</v>
      </c>
      <c r="J603">
        <v>1</v>
      </c>
      <c r="K603">
        <v>4</v>
      </c>
      <c r="L603">
        <v>0</v>
      </c>
      <c r="M603" s="1">
        <v>300</v>
      </c>
      <c r="N603">
        <v>601</v>
      </c>
      <c r="O603">
        <v>0</v>
      </c>
      <c r="P603">
        <v>0</v>
      </c>
      <c r="Q603">
        <v>0</v>
      </c>
      <c r="R603">
        <v>2</v>
      </c>
      <c r="S603">
        <v>0</v>
      </c>
      <c r="T603" s="1">
        <v>160</v>
      </c>
      <c r="U603">
        <v>601</v>
      </c>
      <c r="V603">
        <v>0</v>
      </c>
      <c r="W603">
        <v>0</v>
      </c>
      <c r="X603">
        <v>0</v>
      </c>
      <c r="Y603">
        <v>0</v>
      </c>
      <c r="Z603">
        <v>1</v>
      </c>
      <c r="AA603" s="1">
        <v>100</v>
      </c>
      <c r="AB603">
        <v>601</v>
      </c>
      <c r="AC603">
        <v>0</v>
      </c>
      <c r="AD603">
        <v>0</v>
      </c>
      <c r="AE603">
        <v>0</v>
      </c>
      <c r="AF603">
        <v>0</v>
      </c>
      <c r="AG603">
        <v>0</v>
      </c>
      <c r="AH603" s="1">
        <v>0</v>
      </c>
      <c r="AI603">
        <v>601</v>
      </c>
      <c r="AJ603">
        <v>0</v>
      </c>
      <c r="AK603">
        <v>0</v>
      </c>
      <c r="AL603">
        <v>0</v>
      </c>
      <c r="AM603">
        <v>0</v>
      </c>
      <c r="AN603">
        <v>0</v>
      </c>
      <c r="AO603" s="1">
        <v>0</v>
      </c>
    </row>
    <row r="604" spans="7:41" x14ac:dyDescent="0.35">
      <c r="G604">
        <v>602</v>
      </c>
      <c r="H604">
        <v>1</v>
      </c>
      <c r="I604">
        <v>1</v>
      </c>
      <c r="J604">
        <v>0</v>
      </c>
      <c r="K604">
        <v>1</v>
      </c>
      <c r="L604">
        <v>1</v>
      </c>
      <c r="M604" s="1">
        <v>240</v>
      </c>
      <c r="N604">
        <v>602</v>
      </c>
      <c r="O604">
        <v>0</v>
      </c>
      <c r="P604">
        <v>1</v>
      </c>
      <c r="Q604">
        <v>2</v>
      </c>
      <c r="R604">
        <v>1</v>
      </c>
      <c r="S604">
        <v>1</v>
      </c>
      <c r="T604" s="1">
        <v>400</v>
      </c>
      <c r="U604">
        <v>602</v>
      </c>
      <c r="V604">
        <v>0</v>
      </c>
      <c r="W604">
        <v>2</v>
      </c>
      <c r="X604">
        <v>0</v>
      </c>
      <c r="Y604">
        <v>0</v>
      </c>
      <c r="Z604">
        <v>1</v>
      </c>
      <c r="AA604" s="1">
        <v>300</v>
      </c>
      <c r="AB604">
        <v>602</v>
      </c>
      <c r="AC604">
        <v>0</v>
      </c>
      <c r="AD604">
        <v>0</v>
      </c>
      <c r="AE604">
        <v>0</v>
      </c>
      <c r="AF604">
        <v>0</v>
      </c>
      <c r="AG604">
        <v>1</v>
      </c>
      <c r="AH604" s="1">
        <v>120</v>
      </c>
      <c r="AI604">
        <v>602</v>
      </c>
      <c r="AJ604">
        <v>0</v>
      </c>
      <c r="AK604">
        <v>0</v>
      </c>
      <c r="AL604">
        <v>0</v>
      </c>
      <c r="AM604">
        <v>0</v>
      </c>
      <c r="AN604">
        <v>0</v>
      </c>
      <c r="AO604" s="1">
        <v>0</v>
      </c>
    </row>
    <row r="605" spans="7:41" x14ac:dyDescent="0.35">
      <c r="G605">
        <v>603</v>
      </c>
      <c r="H605">
        <v>1</v>
      </c>
      <c r="I605">
        <v>0</v>
      </c>
      <c r="J605">
        <v>0</v>
      </c>
      <c r="K605">
        <v>1</v>
      </c>
      <c r="L605">
        <v>0</v>
      </c>
      <c r="M605" s="1">
        <v>120</v>
      </c>
      <c r="N605">
        <v>603</v>
      </c>
      <c r="O605">
        <v>1</v>
      </c>
      <c r="P605">
        <v>0</v>
      </c>
      <c r="Q605">
        <v>0</v>
      </c>
      <c r="R605">
        <v>0</v>
      </c>
      <c r="S605">
        <v>0</v>
      </c>
      <c r="T605" s="1">
        <v>80</v>
      </c>
      <c r="U605">
        <v>603</v>
      </c>
      <c r="V605">
        <v>0</v>
      </c>
      <c r="W605">
        <v>2</v>
      </c>
      <c r="X605">
        <v>0</v>
      </c>
      <c r="Y605">
        <v>0</v>
      </c>
      <c r="Z605">
        <v>0</v>
      </c>
      <c r="AA605" s="1">
        <v>200</v>
      </c>
      <c r="AB605">
        <v>603</v>
      </c>
      <c r="AC605">
        <v>1</v>
      </c>
      <c r="AD605">
        <v>0</v>
      </c>
      <c r="AE605">
        <v>0</v>
      </c>
      <c r="AF605">
        <v>0</v>
      </c>
      <c r="AG605">
        <v>0</v>
      </c>
      <c r="AH605" s="1">
        <v>120</v>
      </c>
      <c r="AI605">
        <v>603</v>
      </c>
      <c r="AJ605">
        <v>0</v>
      </c>
      <c r="AK605">
        <v>0</v>
      </c>
      <c r="AL605">
        <v>0</v>
      </c>
      <c r="AM605">
        <v>0</v>
      </c>
      <c r="AN605">
        <v>0</v>
      </c>
      <c r="AO605" s="1">
        <v>0</v>
      </c>
    </row>
    <row r="606" spans="7:41" x14ac:dyDescent="0.35">
      <c r="G606">
        <v>604</v>
      </c>
      <c r="H606">
        <v>1</v>
      </c>
      <c r="I606">
        <v>1</v>
      </c>
      <c r="J606">
        <v>2</v>
      </c>
      <c r="K606">
        <v>0</v>
      </c>
      <c r="L606">
        <v>1</v>
      </c>
      <c r="M606" s="1">
        <v>300</v>
      </c>
      <c r="N606">
        <v>604</v>
      </c>
      <c r="O606">
        <v>0</v>
      </c>
      <c r="P606">
        <v>1</v>
      </c>
      <c r="Q606">
        <v>3</v>
      </c>
      <c r="R606">
        <v>1</v>
      </c>
      <c r="S606">
        <v>0</v>
      </c>
      <c r="T606" s="1">
        <v>400</v>
      </c>
      <c r="U606">
        <v>604</v>
      </c>
      <c r="V606">
        <v>0</v>
      </c>
      <c r="W606">
        <v>0</v>
      </c>
      <c r="X606">
        <v>0</v>
      </c>
      <c r="Y606">
        <v>1</v>
      </c>
      <c r="Z606">
        <v>0</v>
      </c>
      <c r="AA606" s="1">
        <v>100</v>
      </c>
      <c r="AB606">
        <v>604</v>
      </c>
      <c r="AC606">
        <v>0</v>
      </c>
      <c r="AD606">
        <v>0</v>
      </c>
      <c r="AE606">
        <v>0</v>
      </c>
      <c r="AF606">
        <v>0</v>
      </c>
      <c r="AG606">
        <v>0</v>
      </c>
      <c r="AH606" s="1">
        <v>0</v>
      </c>
      <c r="AI606">
        <v>604</v>
      </c>
      <c r="AJ606">
        <v>0</v>
      </c>
      <c r="AK606">
        <v>0</v>
      </c>
      <c r="AL606">
        <v>0</v>
      </c>
      <c r="AM606">
        <v>0</v>
      </c>
      <c r="AN606">
        <v>0</v>
      </c>
      <c r="AO606" s="1">
        <v>0</v>
      </c>
    </row>
    <row r="607" spans="7:41" x14ac:dyDescent="0.35">
      <c r="G607">
        <v>605</v>
      </c>
      <c r="H607">
        <v>1</v>
      </c>
      <c r="I607">
        <v>1</v>
      </c>
      <c r="J607">
        <v>0</v>
      </c>
      <c r="K607">
        <v>0</v>
      </c>
      <c r="L607">
        <v>0</v>
      </c>
      <c r="M607" s="1">
        <v>120</v>
      </c>
      <c r="N607">
        <v>605</v>
      </c>
      <c r="O607">
        <v>2</v>
      </c>
      <c r="P607">
        <v>0</v>
      </c>
      <c r="Q607">
        <v>0</v>
      </c>
      <c r="R607">
        <v>0</v>
      </c>
      <c r="S607">
        <v>0</v>
      </c>
      <c r="T607" s="1">
        <v>160</v>
      </c>
      <c r="U607">
        <v>605</v>
      </c>
      <c r="V607">
        <v>0</v>
      </c>
      <c r="W607">
        <v>0</v>
      </c>
      <c r="X607">
        <v>0</v>
      </c>
      <c r="Y607">
        <v>0</v>
      </c>
      <c r="Z607">
        <v>0</v>
      </c>
      <c r="AA607" s="1">
        <v>0</v>
      </c>
      <c r="AB607">
        <v>605</v>
      </c>
      <c r="AC607">
        <v>0</v>
      </c>
      <c r="AD607">
        <v>0</v>
      </c>
      <c r="AE607">
        <v>0</v>
      </c>
      <c r="AF607">
        <v>0</v>
      </c>
      <c r="AG607">
        <v>0</v>
      </c>
      <c r="AH607" s="1">
        <v>0</v>
      </c>
      <c r="AI607">
        <v>605</v>
      </c>
      <c r="AJ607">
        <v>0</v>
      </c>
      <c r="AK607">
        <v>0</v>
      </c>
      <c r="AL607">
        <v>1</v>
      </c>
      <c r="AM607">
        <v>0</v>
      </c>
      <c r="AN607">
        <v>2</v>
      </c>
      <c r="AO607" s="1">
        <v>450</v>
      </c>
    </row>
    <row r="608" spans="7:41" x14ac:dyDescent="0.35">
      <c r="G608">
        <v>606</v>
      </c>
      <c r="H608">
        <v>0</v>
      </c>
      <c r="I608">
        <v>1</v>
      </c>
      <c r="J608">
        <v>1</v>
      </c>
      <c r="K608">
        <v>1</v>
      </c>
      <c r="L608">
        <v>0</v>
      </c>
      <c r="M608" s="1">
        <v>180</v>
      </c>
      <c r="N608">
        <v>606</v>
      </c>
      <c r="O608">
        <v>0</v>
      </c>
      <c r="P608">
        <v>0</v>
      </c>
      <c r="Q608">
        <v>1</v>
      </c>
      <c r="R608">
        <v>0</v>
      </c>
      <c r="S608">
        <v>0</v>
      </c>
      <c r="T608" s="1">
        <v>80</v>
      </c>
      <c r="U608">
        <v>606</v>
      </c>
      <c r="V608">
        <v>0</v>
      </c>
      <c r="W608">
        <v>0</v>
      </c>
      <c r="X608">
        <v>0</v>
      </c>
      <c r="Y608">
        <v>0</v>
      </c>
      <c r="Z608">
        <v>0</v>
      </c>
      <c r="AA608" s="1">
        <v>0</v>
      </c>
      <c r="AB608">
        <v>606</v>
      </c>
      <c r="AC608">
        <v>0</v>
      </c>
      <c r="AD608">
        <v>0</v>
      </c>
      <c r="AE608">
        <v>0</v>
      </c>
      <c r="AF608">
        <v>0</v>
      </c>
      <c r="AG608">
        <v>0</v>
      </c>
      <c r="AH608" s="1">
        <v>0</v>
      </c>
      <c r="AI608">
        <v>606</v>
      </c>
      <c r="AJ608">
        <v>0</v>
      </c>
      <c r="AK608">
        <v>0</v>
      </c>
      <c r="AL608">
        <v>0</v>
      </c>
      <c r="AM608">
        <v>0</v>
      </c>
      <c r="AN608">
        <v>0</v>
      </c>
      <c r="AO608" s="1">
        <v>0</v>
      </c>
    </row>
    <row r="609" spans="7:41" x14ac:dyDescent="0.35">
      <c r="G609">
        <v>607</v>
      </c>
      <c r="H609">
        <v>4</v>
      </c>
      <c r="I609">
        <v>1</v>
      </c>
      <c r="J609">
        <v>2</v>
      </c>
      <c r="K609">
        <v>0</v>
      </c>
      <c r="L609">
        <v>2</v>
      </c>
      <c r="M609" s="1">
        <v>540</v>
      </c>
      <c r="N609">
        <v>607</v>
      </c>
      <c r="O609">
        <v>0</v>
      </c>
      <c r="P609">
        <v>0</v>
      </c>
      <c r="Q609">
        <v>1</v>
      </c>
      <c r="R609">
        <v>0</v>
      </c>
      <c r="S609">
        <v>0</v>
      </c>
      <c r="T609" s="1">
        <v>80</v>
      </c>
      <c r="U609">
        <v>607</v>
      </c>
      <c r="V609">
        <v>0</v>
      </c>
      <c r="W609">
        <v>3</v>
      </c>
      <c r="X609">
        <v>0</v>
      </c>
      <c r="Y609">
        <v>0</v>
      </c>
      <c r="Z609">
        <v>0</v>
      </c>
      <c r="AA609" s="1">
        <v>300</v>
      </c>
      <c r="AB609">
        <v>607</v>
      </c>
      <c r="AC609">
        <v>0</v>
      </c>
      <c r="AD609">
        <v>0</v>
      </c>
      <c r="AE609">
        <v>0</v>
      </c>
      <c r="AF609">
        <v>0</v>
      </c>
      <c r="AG609">
        <v>1</v>
      </c>
      <c r="AH609" s="1">
        <v>120</v>
      </c>
      <c r="AI609">
        <v>607</v>
      </c>
      <c r="AJ609">
        <v>0</v>
      </c>
      <c r="AK609">
        <v>0</v>
      </c>
      <c r="AL609">
        <v>0</v>
      </c>
      <c r="AM609">
        <v>0</v>
      </c>
      <c r="AN609">
        <v>0</v>
      </c>
      <c r="AO609" s="1">
        <v>0</v>
      </c>
    </row>
    <row r="610" spans="7:41" x14ac:dyDescent="0.35">
      <c r="G610">
        <v>608</v>
      </c>
      <c r="H610">
        <v>0</v>
      </c>
      <c r="I610">
        <v>3</v>
      </c>
      <c r="J610">
        <v>2</v>
      </c>
      <c r="K610">
        <v>2</v>
      </c>
      <c r="L610">
        <v>0</v>
      </c>
      <c r="M610" s="1">
        <v>420</v>
      </c>
      <c r="N610">
        <v>608</v>
      </c>
      <c r="O610">
        <v>2</v>
      </c>
      <c r="P610">
        <v>1</v>
      </c>
      <c r="Q610">
        <v>0</v>
      </c>
      <c r="R610">
        <v>0</v>
      </c>
      <c r="S610">
        <v>1</v>
      </c>
      <c r="T610" s="1">
        <v>320</v>
      </c>
      <c r="U610">
        <v>608</v>
      </c>
      <c r="V610">
        <v>0</v>
      </c>
      <c r="W610">
        <v>1</v>
      </c>
      <c r="X610">
        <v>0</v>
      </c>
      <c r="Y610">
        <v>0</v>
      </c>
      <c r="Z610">
        <v>0</v>
      </c>
      <c r="AA610" s="1">
        <v>100</v>
      </c>
      <c r="AB610">
        <v>608</v>
      </c>
      <c r="AC610">
        <v>0</v>
      </c>
      <c r="AD610">
        <v>0</v>
      </c>
      <c r="AE610">
        <v>1</v>
      </c>
      <c r="AF610">
        <v>0</v>
      </c>
      <c r="AG610">
        <v>0</v>
      </c>
      <c r="AH610" s="1">
        <v>120</v>
      </c>
      <c r="AI610">
        <v>608</v>
      </c>
      <c r="AJ610">
        <v>0</v>
      </c>
      <c r="AK610">
        <v>0</v>
      </c>
      <c r="AL610">
        <v>0</v>
      </c>
      <c r="AM610">
        <v>0</v>
      </c>
      <c r="AN610">
        <v>0</v>
      </c>
      <c r="AO610" s="1">
        <v>0</v>
      </c>
    </row>
    <row r="611" spans="7:41" x14ac:dyDescent="0.35">
      <c r="G611">
        <v>609</v>
      </c>
      <c r="H611">
        <v>0</v>
      </c>
      <c r="I611">
        <v>1</v>
      </c>
      <c r="J611">
        <v>0</v>
      </c>
      <c r="K611">
        <v>0</v>
      </c>
      <c r="L611">
        <v>0</v>
      </c>
      <c r="M611" s="1">
        <v>60</v>
      </c>
      <c r="N611">
        <v>609</v>
      </c>
      <c r="O611">
        <v>0</v>
      </c>
      <c r="P611">
        <v>2</v>
      </c>
      <c r="Q611">
        <v>0</v>
      </c>
      <c r="R611">
        <v>0</v>
      </c>
      <c r="S611">
        <v>0</v>
      </c>
      <c r="T611" s="1">
        <v>160</v>
      </c>
      <c r="U611">
        <v>609</v>
      </c>
      <c r="V611">
        <v>0</v>
      </c>
      <c r="W611">
        <v>0</v>
      </c>
      <c r="X611">
        <v>0</v>
      </c>
      <c r="Y611">
        <v>0</v>
      </c>
      <c r="Z611">
        <v>0</v>
      </c>
      <c r="AA611" s="1">
        <v>0</v>
      </c>
      <c r="AB611">
        <v>609</v>
      </c>
      <c r="AC611">
        <v>0</v>
      </c>
      <c r="AD611">
        <v>0</v>
      </c>
      <c r="AE611">
        <v>0</v>
      </c>
      <c r="AF611">
        <v>0</v>
      </c>
      <c r="AG611">
        <v>0</v>
      </c>
      <c r="AH611" s="1">
        <v>0</v>
      </c>
      <c r="AI611">
        <v>609</v>
      </c>
      <c r="AJ611">
        <v>0</v>
      </c>
      <c r="AK611">
        <v>0</v>
      </c>
      <c r="AL611">
        <v>0</v>
      </c>
      <c r="AM611">
        <v>0</v>
      </c>
      <c r="AN611">
        <v>0</v>
      </c>
      <c r="AO611" s="1">
        <v>0</v>
      </c>
    </row>
    <row r="612" spans="7:41" x14ac:dyDescent="0.35">
      <c r="G612">
        <v>610</v>
      </c>
      <c r="H612">
        <v>0</v>
      </c>
      <c r="I612">
        <v>0</v>
      </c>
      <c r="J612">
        <v>1</v>
      </c>
      <c r="K612">
        <v>0</v>
      </c>
      <c r="L612">
        <v>1</v>
      </c>
      <c r="M612" s="1">
        <v>120</v>
      </c>
      <c r="N612">
        <v>610</v>
      </c>
      <c r="O612">
        <v>2</v>
      </c>
      <c r="P612">
        <v>1</v>
      </c>
      <c r="Q612">
        <v>2</v>
      </c>
      <c r="R612">
        <v>0</v>
      </c>
      <c r="S612">
        <v>0</v>
      </c>
      <c r="T612" s="1">
        <v>400</v>
      </c>
      <c r="U612">
        <v>610</v>
      </c>
      <c r="V612">
        <v>0</v>
      </c>
      <c r="W612">
        <v>3</v>
      </c>
      <c r="X612">
        <v>0</v>
      </c>
      <c r="Y612">
        <v>0</v>
      </c>
      <c r="Z612">
        <v>0</v>
      </c>
      <c r="AA612" s="1">
        <v>300</v>
      </c>
      <c r="AB612">
        <v>610</v>
      </c>
      <c r="AC612">
        <v>0</v>
      </c>
      <c r="AD612">
        <v>0</v>
      </c>
      <c r="AE612">
        <v>0</v>
      </c>
      <c r="AF612">
        <v>0</v>
      </c>
      <c r="AG612">
        <v>0</v>
      </c>
      <c r="AH612" s="1">
        <v>0</v>
      </c>
      <c r="AI612">
        <v>610</v>
      </c>
      <c r="AJ612">
        <v>0</v>
      </c>
      <c r="AK612">
        <v>0</v>
      </c>
      <c r="AL612">
        <v>0</v>
      </c>
      <c r="AM612">
        <v>0</v>
      </c>
      <c r="AN612">
        <v>0</v>
      </c>
      <c r="AO612" s="1">
        <v>0</v>
      </c>
    </row>
    <row r="613" spans="7:41" x14ac:dyDescent="0.35">
      <c r="G613">
        <v>611</v>
      </c>
      <c r="H613">
        <v>1</v>
      </c>
      <c r="I613">
        <v>0</v>
      </c>
      <c r="J613">
        <v>1</v>
      </c>
      <c r="K613">
        <v>0</v>
      </c>
      <c r="L613">
        <v>0</v>
      </c>
      <c r="M613" s="1">
        <v>120</v>
      </c>
      <c r="N613">
        <v>611</v>
      </c>
      <c r="O613">
        <v>0</v>
      </c>
      <c r="P613">
        <v>0</v>
      </c>
      <c r="Q613">
        <v>0</v>
      </c>
      <c r="R613">
        <v>0</v>
      </c>
      <c r="S613">
        <v>0</v>
      </c>
      <c r="T613" s="1">
        <v>0</v>
      </c>
      <c r="U613">
        <v>611</v>
      </c>
      <c r="V613">
        <v>0</v>
      </c>
      <c r="W613">
        <v>0</v>
      </c>
      <c r="X613">
        <v>0</v>
      </c>
      <c r="Y613">
        <v>0</v>
      </c>
      <c r="Z613">
        <v>0</v>
      </c>
      <c r="AA613" s="1">
        <v>0</v>
      </c>
      <c r="AB613">
        <v>611</v>
      </c>
      <c r="AC613">
        <v>0</v>
      </c>
      <c r="AD613">
        <v>0</v>
      </c>
      <c r="AE613">
        <v>0</v>
      </c>
      <c r="AF613">
        <v>0</v>
      </c>
      <c r="AG613">
        <v>1</v>
      </c>
      <c r="AH613" s="1">
        <v>120</v>
      </c>
      <c r="AI613">
        <v>611</v>
      </c>
      <c r="AJ613">
        <v>0</v>
      </c>
      <c r="AK613">
        <v>0</v>
      </c>
      <c r="AL613">
        <v>0</v>
      </c>
      <c r="AM613">
        <v>0</v>
      </c>
      <c r="AN613">
        <v>0</v>
      </c>
      <c r="AO613" s="1">
        <v>0</v>
      </c>
    </row>
    <row r="614" spans="7:41" x14ac:dyDescent="0.35">
      <c r="G614">
        <v>612</v>
      </c>
      <c r="H614">
        <v>0</v>
      </c>
      <c r="I614">
        <v>1</v>
      </c>
      <c r="J614">
        <v>3</v>
      </c>
      <c r="K614">
        <v>2</v>
      </c>
      <c r="L614">
        <v>2</v>
      </c>
      <c r="M614" s="1">
        <v>480</v>
      </c>
      <c r="N614">
        <v>612</v>
      </c>
      <c r="O614">
        <v>1</v>
      </c>
      <c r="P614">
        <v>0</v>
      </c>
      <c r="Q614">
        <v>0</v>
      </c>
      <c r="R614">
        <v>0</v>
      </c>
      <c r="S614">
        <v>0</v>
      </c>
      <c r="T614" s="1">
        <v>80</v>
      </c>
      <c r="U614">
        <v>612</v>
      </c>
      <c r="V614">
        <v>0</v>
      </c>
      <c r="W614">
        <v>0</v>
      </c>
      <c r="X614">
        <v>0</v>
      </c>
      <c r="Y614">
        <v>0</v>
      </c>
      <c r="Z614">
        <v>1</v>
      </c>
      <c r="AA614" s="1">
        <v>100</v>
      </c>
      <c r="AB614">
        <v>612</v>
      </c>
      <c r="AC614">
        <v>0</v>
      </c>
      <c r="AD614">
        <v>0</v>
      </c>
      <c r="AE614">
        <v>0</v>
      </c>
      <c r="AF614">
        <v>0</v>
      </c>
      <c r="AG614">
        <v>0</v>
      </c>
      <c r="AH614" s="1">
        <v>0</v>
      </c>
      <c r="AI614">
        <v>612</v>
      </c>
      <c r="AJ614">
        <v>0</v>
      </c>
      <c r="AK614">
        <v>0</v>
      </c>
      <c r="AL614">
        <v>0</v>
      </c>
      <c r="AM614">
        <v>0</v>
      </c>
      <c r="AN614">
        <v>0</v>
      </c>
      <c r="AO614" s="1">
        <v>0</v>
      </c>
    </row>
    <row r="615" spans="7:41" x14ac:dyDescent="0.35">
      <c r="G615">
        <v>613</v>
      </c>
      <c r="H615">
        <v>1</v>
      </c>
      <c r="I615">
        <v>0</v>
      </c>
      <c r="J615">
        <v>0</v>
      </c>
      <c r="K615">
        <v>1</v>
      </c>
      <c r="L615">
        <v>1</v>
      </c>
      <c r="M615" s="1">
        <v>180</v>
      </c>
      <c r="N615">
        <v>613</v>
      </c>
      <c r="O615">
        <v>0</v>
      </c>
      <c r="P615">
        <v>1</v>
      </c>
      <c r="Q615">
        <v>0</v>
      </c>
      <c r="R615">
        <v>0</v>
      </c>
      <c r="S615">
        <v>0</v>
      </c>
      <c r="T615" s="1">
        <v>80</v>
      </c>
      <c r="U615">
        <v>613</v>
      </c>
      <c r="V615">
        <v>0</v>
      </c>
      <c r="W615">
        <v>0</v>
      </c>
      <c r="X615">
        <v>0</v>
      </c>
      <c r="Y615">
        <v>0</v>
      </c>
      <c r="Z615">
        <v>0</v>
      </c>
      <c r="AA615" s="1">
        <v>0</v>
      </c>
      <c r="AB615">
        <v>613</v>
      </c>
      <c r="AC615">
        <v>0</v>
      </c>
      <c r="AD615">
        <v>0</v>
      </c>
      <c r="AE615">
        <v>0</v>
      </c>
      <c r="AF615">
        <v>0</v>
      </c>
      <c r="AG615">
        <v>0</v>
      </c>
      <c r="AH615" s="1">
        <v>0</v>
      </c>
      <c r="AI615">
        <v>613</v>
      </c>
      <c r="AJ615">
        <v>0</v>
      </c>
      <c r="AK615">
        <v>0</v>
      </c>
      <c r="AL615">
        <v>0</v>
      </c>
      <c r="AM615">
        <v>0</v>
      </c>
      <c r="AN615">
        <v>0</v>
      </c>
      <c r="AO615" s="1">
        <v>0</v>
      </c>
    </row>
    <row r="616" spans="7:41" x14ac:dyDescent="0.35">
      <c r="G616">
        <v>614</v>
      </c>
      <c r="H616">
        <v>1</v>
      </c>
      <c r="I616">
        <v>3</v>
      </c>
      <c r="J616">
        <v>2</v>
      </c>
      <c r="K616">
        <v>4</v>
      </c>
      <c r="L616">
        <v>1</v>
      </c>
      <c r="M616" s="1">
        <v>660</v>
      </c>
      <c r="N616">
        <v>614</v>
      </c>
      <c r="O616">
        <v>0</v>
      </c>
      <c r="P616">
        <v>0</v>
      </c>
      <c r="Q616">
        <v>0</v>
      </c>
      <c r="R616">
        <v>0</v>
      </c>
      <c r="S616">
        <v>0</v>
      </c>
      <c r="T616" s="1">
        <v>0</v>
      </c>
      <c r="U616">
        <v>614</v>
      </c>
      <c r="V616">
        <v>0</v>
      </c>
      <c r="W616">
        <v>0</v>
      </c>
      <c r="X616">
        <v>0</v>
      </c>
      <c r="Y616">
        <v>0</v>
      </c>
      <c r="Z616">
        <v>0</v>
      </c>
      <c r="AA616" s="1">
        <v>0</v>
      </c>
      <c r="AB616">
        <v>614</v>
      </c>
      <c r="AC616">
        <v>0</v>
      </c>
      <c r="AD616">
        <v>0</v>
      </c>
      <c r="AE616">
        <v>0</v>
      </c>
      <c r="AF616">
        <v>0</v>
      </c>
      <c r="AG616">
        <v>0</v>
      </c>
      <c r="AH616" s="1">
        <v>0</v>
      </c>
      <c r="AI616">
        <v>614</v>
      </c>
      <c r="AJ616">
        <v>0</v>
      </c>
      <c r="AK616">
        <v>0</v>
      </c>
      <c r="AL616">
        <v>0</v>
      </c>
      <c r="AM616">
        <v>0</v>
      </c>
      <c r="AN616">
        <v>0</v>
      </c>
      <c r="AO616" s="1">
        <v>0</v>
      </c>
    </row>
    <row r="617" spans="7:41" x14ac:dyDescent="0.35">
      <c r="G617">
        <v>615</v>
      </c>
      <c r="H617">
        <v>0</v>
      </c>
      <c r="I617">
        <v>1</v>
      </c>
      <c r="J617">
        <v>0</v>
      </c>
      <c r="K617">
        <v>4</v>
      </c>
      <c r="L617">
        <v>1</v>
      </c>
      <c r="M617" s="1">
        <v>360</v>
      </c>
      <c r="N617">
        <v>615</v>
      </c>
      <c r="O617">
        <v>1</v>
      </c>
      <c r="P617">
        <v>0</v>
      </c>
      <c r="Q617">
        <v>0</v>
      </c>
      <c r="R617">
        <v>0</v>
      </c>
      <c r="S617">
        <v>0</v>
      </c>
      <c r="T617" s="1">
        <v>80</v>
      </c>
      <c r="U617">
        <v>615</v>
      </c>
      <c r="V617">
        <v>0</v>
      </c>
      <c r="W617">
        <v>0</v>
      </c>
      <c r="X617">
        <v>0</v>
      </c>
      <c r="Y617">
        <v>0</v>
      </c>
      <c r="Z617">
        <v>0</v>
      </c>
      <c r="AA617" s="1">
        <v>0</v>
      </c>
      <c r="AB617">
        <v>615</v>
      </c>
      <c r="AC617">
        <v>1</v>
      </c>
      <c r="AD617">
        <v>0</v>
      </c>
      <c r="AE617">
        <v>0</v>
      </c>
      <c r="AF617">
        <v>0</v>
      </c>
      <c r="AG617">
        <v>0</v>
      </c>
      <c r="AH617" s="1">
        <v>120</v>
      </c>
      <c r="AI617">
        <v>615</v>
      </c>
      <c r="AJ617">
        <v>0</v>
      </c>
      <c r="AK617">
        <v>0</v>
      </c>
      <c r="AL617">
        <v>0</v>
      </c>
      <c r="AM617">
        <v>0</v>
      </c>
      <c r="AN617">
        <v>0</v>
      </c>
      <c r="AO617" s="1">
        <v>0</v>
      </c>
    </row>
    <row r="618" spans="7:41" x14ac:dyDescent="0.35">
      <c r="G618">
        <v>616</v>
      </c>
      <c r="H618">
        <v>0</v>
      </c>
      <c r="I618">
        <v>1</v>
      </c>
      <c r="J618">
        <v>1</v>
      </c>
      <c r="K618">
        <v>0</v>
      </c>
      <c r="L618">
        <v>2</v>
      </c>
      <c r="M618" s="1">
        <v>240</v>
      </c>
      <c r="N618">
        <v>616</v>
      </c>
      <c r="O618">
        <v>1</v>
      </c>
      <c r="P618">
        <v>0</v>
      </c>
      <c r="Q618">
        <v>0</v>
      </c>
      <c r="R618">
        <v>0</v>
      </c>
      <c r="S618">
        <v>0</v>
      </c>
      <c r="T618" s="1">
        <v>80</v>
      </c>
      <c r="U618">
        <v>616</v>
      </c>
      <c r="V618">
        <v>0</v>
      </c>
      <c r="W618">
        <v>0</v>
      </c>
      <c r="X618">
        <v>0</v>
      </c>
      <c r="Y618">
        <v>0</v>
      </c>
      <c r="Z618">
        <v>0</v>
      </c>
      <c r="AA618" s="1">
        <v>0</v>
      </c>
      <c r="AB618">
        <v>616</v>
      </c>
      <c r="AC618">
        <v>0</v>
      </c>
      <c r="AD618">
        <v>0</v>
      </c>
      <c r="AE618">
        <v>0</v>
      </c>
      <c r="AF618">
        <v>0</v>
      </c>
      <c r="AG618">
        <v>0</v>
      </c>
      <c r="AH618" s="1">
        <v>0</v>
      </c>
      <c r="AI618">
        <v>616</v>
      </c>
      <c r="AJ618">
        <v>0</v>
      </c>
      <c r="AK618">
        <v>0</v>
      </c>
      <c r="AL618">
        <v>1</v>
      </c>
      <c r="AM618">
        <v>0</v>
      </c>
      <c r="AN618">
        <v>0</v>
      </c>
      <c r="AO618" s="1">
        <v>150</v>
      </c>
    </row>
    <row r="619" spans="7:41" x14ac:dyDescent="0.35">
      <c r="G619">
        <v>617</v>
      </c>
      <c r="H619">
        <v>1</v>
      </c>
      <c r="I619">
        <v>2</v>
      </c>
      <c r="J619">
        <v>0</v>
      </c>
      <c r="K619">
        <v>4</v>
      </c>
      <c r="L619">
        <v>0</v>
      </c>
      <c r="M619" s="1">
        <v>420</v>
      </c>
      <c r="N619">
        <v>617</v>
      </c>
      <c r="O619">
        <v>0</v>
      </c>
      <c r="P619">
        <v>0</v>
      </c>
      <c r="Q619">
        <v>0</v>
      </c>
      <c r="R619">
        <v>0</v>
      </c>
      <c r="S619">
        <v>1</v>
      </c>
      <c r="T619" s="1">
        <v>80</v>
      </c>
      <c r="U619">
        <v>617</v>
      </c>
      <c r="V619">
        <v>0</v>
      </c>
      <c r="W619">
        <v>0</v>
      </c>
      <c r="X619">
        <v>0</v>
      </c>
      <c r="Y619">
        <v>0</v>
      </c>
      <c r="Z619">
        <v>0</v>
      </c>
      <c r="AA619" s="1">
        <v>0</v>
      </c>
      <c r="AB619">
        <v>617</v>
      </c>
      <c r="AC619">
        <v>0</v>
      </c>
      <c r="AD619">
        <v>0</v>
      </c>
      <c r="AE619">
        <v>0</v>
      </c>
      <c r="AF619">
        <v>0</v>
      </c>
      <c r="AG619">
        <v>0</v>
      </c>
      <c r="AH619" s="1">
        <v>0</v>
      </c>
      <c r="AI619">
        <v>617</v>
      </c>
      <c r="AJ619">
        <v>0</v>
      </c>
      <c r="AK619">
        <v>0</v>
      </c>
      <c r="AL619">
        <v>0</v>
      </c>
      <c r="AM619">
        <v>0</v>
      </c>
      <c r="AN619">
        <v>0</v>
      </c>
      <c r="AO619" s="1">
        <v>0</v>
      </c>
    </row>
    <row r="620" spans="7:41" x14ac:dyDescent="0.35">
      <c r="G620">
        <v>618</v>
      </c>
      <c r="H620">
        <v>0</v>
      </c>
      <c r="I620">
        <v>1</v>
      </c>
      <c r="J620">
        <v>1</v>
      </c>
      <c r="K620">
        <v>1</v>
      </c>
      <c r="L620">
        <v>2</v>
      </c>
      <c r="M620" s="1">
        <v>300</v>
      </c>
      <c r="N620">
        <v>618</v>
      </c>
      <c r="O620">
        <v>0</v>
      </c>
      <c r="P620">
        <v>2</v>
      </c>
      <c r="Q620">
        <v>0</v>
      </c>
      <c r="R620">
        <v>0</v>
      </c>
      <c r="S620">
        <v>0</v>
      </c>
      <c r="T620" s="1">
        <v>160</v>
      </c>
      <c r="U620">
        <v>618</v>
      </c>
      <c r="V620">
        <v>0</v>
      </c>
      <c r="W620">
        <v>0</v>
      </c>
      <c r="X620">
        <v>0</v>
      </c>
      <c r="Y620">
        <v>0</v>
      </c>
      <c r="Z620">
        <v>0</v>
      </c>
      <c r="AA620" s="1">
        <v>0</v>
      </c>
      <c r="AB620">
        <v>618</v>
      </c>
      <c r="AC620">
        <v>0</v>
      </c>
      <c r="AD620">
        <v>0</v>
      </c>
      <c r="AE620">
        <v>0</v>
      </c>
      <c r="AF620">
        <v>0</v>
      </c>
      <c r="AG620">
        <v>0</v>
      </c>
      <c r="AH620" s="1">
        <v>0</v>
      </c>
      <c r="AI620">
        <v>618</v>
      </c>
      <c r="AJ620">
        <v>0</v>
      </c>
      <c r="AK620">
        <v>0</v>
      </c>
      <c r="AL620">
        <v>3</v>
      </c>
      <c r="AM620">
        <v>0</v>
      </c>
      <c r="AN620">
        <v>0</v>
      </c>
      <c r="AO620" s="1">
        <v>450</v>
      </c>
    </row>
    <row r="621" spans="7:41" x14ac:dyDescent="0.35">
      <c r="G621">
        <v>619</v>
      </c>
      <c r="H621">
        <v>0</v>
      </c>
      <c r="I621">
        <v>0</v>
      </c>
      <c r="J621">
        <v>0</v>
      </c>
      <c r="K621">
        <v>0</v>
      </c>
      <c r="L621">
        <v>0</v>
      </c>
      <c r="M621" s="1">
        <v>0</v>
      </c>
      <c r="N621">
        <v>619</v>
      </c>
      <c r="O621">
        <v>0</v>
      </c>
      <c r="P621">
        <v>0</v>
      </c>
      <c r="Q621">
        <v>0</v>
      </c>
      <c r="R621">
        <v>1</v>
      </c>
      <c r="S621">
        <v>0</v>
      </c>
      <c r="T621" s="1">
        <v>80</v>
      </c>
      <c r="U621">
        <v>619</v>
      </c>
      <c r="V621">
        <v>0</v>
      </c>
      <c r="W621">
        <v>0</v>
      </c>
      <c r="X621">
        <v>0</v>
      </c>
      <c r="Y621">
        <v>0</v>
      </c>
      <c r="Z621">
        <v>0</v>
      </c>
      <c r="AA621" s="1">
        <v>0</v>
      </c>
      <c r="AB621">
        <v>619</v>
      </c>
      <c r="AC621">
        <v>0</v>
      </c>
      <c r="AD621">
        <v>0</v>
      </c>
      <c r="AE621">
        <v>0</v>
      </c>
      <c r="AF621">
        <v>0</v>
      </c>
      <c r="AG621">
        <v>0</v>
      </c>
      <c r="AH621" s="1">
        <v>0</v>
      </c>
      <c r="AI621">
        <v>619</v>
      </c>
      <c r="AJ621">
        <v>0</v>
      </c>
      <c r="AK621">
        <v>0</v>
      </c>
      <c r="AL621">
        <v>0</v>
      </c>
      <c r="AM621">
        <v>0</v>
      </c>
      <c r="AN621">
        <v>0</v>
      </c>
      <c r="AO621" s="1">
        <v>0</v>
      </c>
    </row>
    <row r="622" spans="7:41" x14ac:dyDescent="0.35">
      <c r="G622">
        <v>620</v>
      </c>
      <c r="H622">
        <v>0</v>
      </c>
      <c r="I622">
        <v>0</v>
      </c>
      <c r="J622">
        <v>2</v>
      </c>
      <c r="K622">
        <v>0</v>
      </c>
      <c r="L622">
        <v>0</v>
      </c>
      <c r="M622" s="1">
        <v>120</v>
      </c>
      <c r="N622">
        <v>620</v>
      </c>
      <c r="O622">
        <v>0</v>
      </c>
      <c r="P622">
        <v>0</v>
      </c>
      <c r="Q622">
        <v>2</v>
      </c>
      <c r="R622">
        <v>0</v>
      </c>
      <c r="S622">
        <v>0</v>
      </c>
      <c r="T622" s="1">
        <v>160</v>
      </c>
      <c r="U622">
        <v>620</v>
      </c>
      <c r="V622">
        <v>0</v>
      </c>
      <c r="W622">
        <v>0</v>
      </c>
      <c r="X622">
        <v>0</v>
      </c>
      <c r="Y622">
        <v>0</v>
      </c>
      <c r="Z622">
        <v>0</v>
      </c>
      <c r="AA622" s="1">
        <v>0</v>
      </c>
      <c r="AB622">
        <v>620</v>
      </c>
      <c r="AC622">
        <v>0</v>
      </c>
      <c r="AD622">
        <v>0</v>
      </c>
      <c r="AE622">
        <v>0</v>
      </c>
      <c r="AF622">
        <v>0</v>
      </c>
      <c r="AG622">
        <v>0</v>
      </c>
      <c r="AH622" s="1">
        <v>0</v>
      </c>
      <c r="AI622">
        <v>620</v>
      </c>
      <c r="AJ622">
        <v>0</v>
      </c>
      <c r="AK622">
        <v>0</v>
      </c>
      <c r="AL622">
        <v>1</v>
      </c>
      <c r="AM622">
        <v>0</v>
      </c>
      <c r="AN622">
        <v>0</v>
      </c>
      <c r="AO622" s="1">
        <v>150</v>
      </c>
    </row>
    <row r="623" spans="7:41" x14ac:dyDescent="0.35">
      <c r="G623">
        <v>621</v>
      </c>
      <c r="H623">
        <v>2</v>
      </c>
      <c r="I623">
        <v>0</v>
      </c>
      <c r="J623">
        <v>0</v>
      </c>
      <c r="K623">
        <v>0</v>
      </c>
      <c r="L623">
        <v>0</v>
      </c>
      <c r="M623" s="1">
        <v>120</v>
      </c>
      <c r="N623">
        <v>621</v>
      </c>
      <c r="O623">
        <v>1</v>
      </c>
      <c r="P623">
        <v>0</v>
      </c>
      <c r="Q623">
        <v>1</v>
      </c>
      <c r="R623">
        <v>1</v>
      </c>
      <c r="S623">
        <v>1</v>
      </c>
      <c r="T623" s="1">
        <v>320</v>
      </c>
      <c r="U623">
        <v>621</v>
      </c>
      <c r="V623">
        <v>0</v>
      </c>
      <c r="W623">
        <v>0</v>
      </c>
      <c r="X623">
        <v>0</v>
      </c>
      <c r="Y623">
        <v>0</v>
      </c>
      <c r="Z623">
        <v>0</v>
      </c>
      <c r="AA623" s="1">
        <v>0</v>
      </c>
      <c r="AB623">
        <v>621</v>
      </c>
      <c r="AC623">
        <v>0</v>
      </c>
      <c r="AD623">
        <v>0</v>
      </c>
      <c r="AE623">
        <v>0</v>
      </c>
      <c r="AF623">
        <v>0</v>
      </c>
      <c r="AG623">
        <v>1</v>
      </c>
      <c r="AH623" s="1">
        <v>120</v>
      </c>
      <c r="AI623">
        <v>621</v>
      </c>
      <c r="AJ623">
        <v>0</v>
      </c>
      <c r="AK623">
        <v>0</v>
      </c>
      <c r="AL623">
        <v>0</v>
      </c>
      <c r="AM623">
        <v>0</v>
      </c>
      <c r="AN623">
        <v>0</v>
      </c>
      <c r="AO623" s="1">
        <v>0</v>
      </c>
    </row>
    <row r="624" spans="7:41" x14ac:dyDescent="0.35">
      <c r="G624">
        <v>622</v>
      </c>
      <c r="H624">
        <v>1</v>
      </c>
      <c r="I624">
        <v>1</v>
      </c>
      <c r="J624">
        <v>1</v>
      </c>
      <c r="K624">
        <v>0</v>
      </c>
      <c r="L624">
        <v>0</v>
      </c>
      <c r="M624" s="1">
        <v>180</v>
      </c>
      <c r="N624">
        <v>622</v>
      </c>
      <c r="O624">
        <v>0</v>
      </c>
      <c r="P624">
        <v>0</v>
      </c>
      <c r="Q624">
        <v>0</v>
      </c>
      <c r="R624">
        <v>0</v>
      </c>
      <c r="S624">
        <v>0</v>
      </c>
      <c r="T624" s="1">
        <v>0</v>
      </c>
      <c r="U624">
        <v>622</v>
      </c>
      <c r="V624">
        <v>0</v>
      </c>
      <c r="W624">
        <v>3</v>
      </c>
      <c r="X624">
        <v>0</v>
      </c>
      <c r="Y624">
        <v>0</v>
      </c>
      <c r="Z624">
        <v>0</v>
      </c>
      <c r="AA624" s="1">
        <v>300</v>
      </c>
      <c r="AB624">
        <v>622</v>
      </c>
      <c r="AC624">
        <v>0</v>
      </c>
      <c r="AD624">
        <v>0</v>
      </c>
      <c r="AE624">
        <v>0</v>
      </c>
      <c r="AF624">
        <v>1</v>
      </c>
      <c r="AG624">
        <v>1</v>
      </c>
      <c r="AH624" s="1">
        <v>240</v>
      </c>
      <c r="AI624">
        <v>622</v>
      </c>
      <c r="AJ624">
        <v>0</v>
      </c>
      <c r="AK624">
        <v>0</v>
      </c>
      <c r="AL624">
        <v>1</v>
      </c>
      <c r="AM624">
        <v>0</v>
      </c>
      <c r="AN624">
        <v>0</v>
      </c>
      <c r="AO624" s="1">
        <v>150</v>
      </c>
    </row>
    <row r="625" spans="7:41" x14ac:dyDescent="0.35">
      <c r="G625">
        <v>623</v>
      </c>
      <c r="H625">
        <v>0</v>
      </c>
      <c r="I625">
        <v>0</v>
      </c>
      <c r="J625">
        <v>3</v>
      </c>
      <c r="K625">
        <v>1</v>
      </c>
      <c r="L625">
        <v>2</v>
      </c>
      <c r="M625" s="1">
        <v>360</v>
      </c>
      <c r="N625">
        <v>623</v>
      </c>
      <c r="O625">
        <v>0</v>
      </c>
      <c r="P625">
        <v>0</v>
      </c>
      <c r="Q625">
        <v>3</v>
      </c>
      <c r="R625">
        <v>0</v>
      </c>
      <c r="S625">
        <v>0</v>
      </c>
      <c r="T625" s="1">
        <v>240</v>
      </c>
      <c r="U625">
        <v>623</v>
      </c>
      <c r="V625">
        <v>0</v>
      </c>
      <c r="W625">
        <v>0</v>
      </c>
      <c r="X625">
        <v>0</v>
      </c>
      <c r="Y625">
        <v>0</v>
      </c>
      <c r="Z625">
        <v>0</v>
      </c>
      <c r="AA625" s="1">
        <v>0</v>
      </c>
      <c r="AB625">
        <v>623</v>
      </c>
      <c r="AC625">
        <v>0</v>
      </c>
      <c r="AD625">
        <v>0</v>
      </c>
      <c r="AE625">
        <v>0</v>
      </c>
      <c r="AF625">
        <v>0</v>
      </c>
      <c r="AG625">
        <v>0</v>
      </c>
      <c r="AH625" s="1">
        <v>0</v>
      </c>
      <c r="AI625">
        <v>623</v>
      </c>
      <c r="AJ625">
        <v>0</v>
      </c>
      <c r="AK625">
        <v>0</v>
      </c>
      <c r="AL625">
        <v>1</v>
      </c>
      <c r="AM625">
        <v>0</v>
      </c>
      <c r="AN625">
        <v>0</v>
      </c>
      <c r="AO625" s="1">
        <v>150</v>
      </c>
    </row>
    <row r="626" spans="7:41" x14ac:dyDescent="0.35">
      <c r="G626">
        <v>624</v>
      </c>
      <c r="H626">
        <v>1</v>
      </c>
      <c r="I626">
        <v>3</v>
      </c>
      <c r="J626">
        <v>1</v>
      </c>
      <c r="K626">
        <v>4</v>
      </c>
      <c r="L626">
        <v>1</v>
      </c>
      <c r="M626" s="1">
        <v>600</v>
      </c>
      <c r="N626">
        <v>624</v>
      </c>
      <c r="O626">
        <v>0</v>
      </c>
      <c r="P626">
        <v>2</v>
      </c>
      <c r="Q626">
        <v>0</v>
      </c>
      <c r="R626">
        <v>1</v>
      </c>
      <c r="S626">
        <v>2</v>
      </c>
      <c r="T626" s="1">
        <v>400</v>
      </c>
      <c r="U626">
        <v>624</v>
      </c>
      <c r="V626">
        <v>0</v>
      </c>
      <c r="W626">
        <v>3</v>
      </c>
      <c r="X626">
        <v>0</v>
      </c>
      <c r="Y626">
        <v>0</v>
      </c>
      <c r="Z626">
        <v>0</v>
      </c>
      <c r="AA626" s="1">
        <v>300</v>
      </c>
      <c r="AB626">
        <v>624</v>
      </c>
      <c r="AC626">
        <v>0</v>
      </c>
      <c r="AD626">
        <v>1</v>
      </c>
      <c r="AE626">
        <v>0</v>
      </c>
      <c r="AF626">
        <v>0</v>
      </c>
      <c r="AG626">
        <v>0</v>
      </c>
      <c r="AH626" s="1">
        <v>120</v>
      </c>
      <c r="AI626">
        <v>624</v>
      </c>
      <c r="AJ626">
        <v>0</v>
      </c>
      <c r="AK626">
        <v>0</v>
      </c>
      <c r="AL626">
        <v>1</v>
      </c>
      <c r="AM626">
        <v>0</v>
      </c>
      <c r="AN626">
        <v>0</v>
      </c>
      <c r="AO626" s="1">
        <v>150</v>
      </c>
    </row>
    <row r="627" spans="7:41" x14ac:dyDescent="0.35">
      <c r="G627">
        <v>625</v>
      </c>
      <c r="H627">
        <v>1</v>
      </c>
      <c r="I627">
        <v>4</v>
      </c>
      <c r="J627">
        <v>0</v>
      </c>
      <c r="K627">
        <v>4</v>
      </c>
      <c r="L627">
        <v>0</v>
      </c>
      <c r="M627" s="1">
        <v>540</v>
      </c>
      <c r="N627">
        <v>625</v>
      </c>
      <c r="O627">
        <v>0</v>
      </c>
      <c r="P627">
        <v>1</v>
      </c>
      <c r="Q627">
        <v>0</v>
      </c>
      <c r="R627">
        <v>0</v>
      </c>
      <c r="S627">
        <v>0</v>
      </c>
      <c r="T627" s="1">
        <v>80</v>
      </c>
      <c r="U627">
        <v>625</v>
      </c>
      <c r="V627">
        <v>0</v>
      </c>
      <c r="W627">
        <v>2</v>
      </c>
      <c r="X627">
        <v>0</v>
      </c>
      <c r="Y627">
        <v>0</v>
      </c>
      <c r="Z627">
        <v>0</v>
      </c>
      <c r="AA627" s="1">
        <v>200</v>
      </c>
      <c r="AB627">
        <v>625</v>
      </c>
      <c r="AC627">
        <v>1</v>
      </c>
      <c r="AD627">
        <v>0</v>
      </c>
      <c r="AE627">
        <v>0</v>
      </c>
      <c r="AF627">
        <v>1</v>
      </c>
      <c r="AG627">
        <v>0</v>
      </c>
      <c r="AH627" s="1">
        <v>240</v>
      </c>
      <c r="AI627">
        <v>625</v>
      </c>
      <c r="AJ627">
        <v>0</v>
      </c>
      <c r="AK627">
        <v>0</v>
      </c>
      <c r="AL627">
        <v>1</v>
      </c>
      <c r="AM627">
        <v>0</v>
      </c>
      <c r="AN627">
        <v>0</v>
      </c>
      <c r="AO627" s="1">
        <v>150</v>
      </c>
    </row>
    <row r="628" spans="7:41" x14ac:dyDescent="0.35">
      <c r="G628">
        <v>626</v>
      </c>
      <c r="H628">
        <v>0</v>
      </c>
      <c r="I628">
        <v>0</v>
      </c>
      <c r="J628">
        <v>0</v>
      </c>
      <c r="K628">
        <v>2</v>
      </c>
      <c r="L628">
        <v>0</v>
      </c>
      <c r="M628" s="1">
        <v>120</v>
      </c>
      <c r="N628">
        <v>626</v>
      </c>
      <c r="O628">
        <v>0</v>
      </c>
      <c r="P628">
        <v>0</v>
      </c>
      <c r="Q628">
        <v>0</v>
      </c>
      <c r="R628">
        <v>3</v>
      </c>
      <c r="S628">
        <v>0</v>
      </c>
      <c r="T628" s="1">
        <v>240</v>
      </c>
      <c r="U628">
        <v>626</v>
      </c>
      <c r="V628">
        <v>0</v>
      </c>
      <c r="W628">
        <v>2</v>
      </c>
      <c r="X628">
        <v>0</v>
      </c>
      <c r="Y628">
        <v>0</v>
      </c>
      <c r="Z628">
        <v>0</v>
      </c>
      <c r="AA628" s="1">
        <v>200</v>
      </c>
      <c r="AB628">
        <v>626</v>
      </c>
      <c r="AC628">
        <v>0</v>
      </c>
      <c r="AD628">
        <v>0</v>
      </c>
      <c r="AE628">
        <v>0</v>
      </c>
      <c r="AF628">
        <v>0</v>
      </c>
      <c r="AG628">
        <v>1</v>
      </c>
      <c r="AH628" s="1">
        <v>120</v>
      </c>
      <c r="AI628">
        <v>626</v>
      </c>
      <c r="AJ628">
        <v>0</v>
      </c>
      <c r="AK628">
        <v>0</v>
      </c>
      <c r="AL628">
        <v>0</v>
      </c>
      <c r="AM628">
        <v>0</v>
      </c>
      <c r="AN628">
        <v>0</v>
      </c>
      <c r="AO628" s="1">
        <v>0</v>
      </c>
    </row>
    <row r="629" spans="7:41" x14ac:dyDescent="0.35">
      <c r="G629">
        <v>627</v>
      </c>
      <c r="H629">
        <v>1</v>
      </c>
      <c r="I629">
        <v>1</v>
      </c>
      <c r="J629">
        <v>0</v>
      </c>
      <c r="K629">
        <v>4</v>
      </c>
      <c r="L629">
        <v>4</v>
      </c>
      <c r="M629" s="1">
        <v>600</v>
      </c>
      <c r="N629">
        <v>627</v>
      </c>
      <c r="O629">
        <v>0</v>
      </c>
      <c r="P629">
        <v>0</v>
      </c>
      <c r="Q629">
        <v>1</v>
      </c>
      <c r="R629">
        <v>0</v>
      </c>
      <c r="S629">
        <v>0</v>
      </c>
      <c r="T629" s="1">
        <v>80</v>
      </c>
      <c r="U629">
        <v>627</v>
      </c>
      <c r="V629">
        <v>0</v>
      </c>
      <c r="W629">
        <v>3</v>
      </c>
      <c r="X629">
        <v>0</v>
      </c>
      <c r="Y629">
        <v>0</v>
      </c>
      <c r="Z629">
        <v>0</v>
      </c>
      <c r="AA629" s="1">
        <v>300</v>
      </c>
      <c r="AB629">
        <v>627</v>
      </c>
      <c r="AC629">
        <v>0</v>
      </c>
      <c r="AD629">
        <v>0</v>
      </c>
      <c r="AE629">
        <v>0</v>
      </c>
      <c r="AF629">
        <v>0</v>
      </c>
      <c r="AG629">
        <v>0</v>
      </c>
      <c r="AH629" s="1">
        <v>0</v>
      </c>
      <c r="AI629">
        <v>627</v>
      </c>
      <c r="AJ629">
        <v>0</v>
      </c>
      <c r="AK629">
        <v>0</v>
      </c>
      <c r="AL629">
        <v>0</v>
      </c>
      <c r="AM629">
        <v>0</v>
      </c>
      <c r="AN629">
        <v>0</v>
      </c>
      <c r="AO629" s="1">
        <v>0</v>
      </c>
    </row>
    <row r="630" spans="7:41" x14ac:dyDescent="0.35">
      <c r="G630">
        <v>628</v>
      </c>
      <c r="H630">
        <v>1</v>
      </c>
      <c r="I630">
        <v>1</v>
      </c>
      <c r="J630">
        <v>2</v>
      </c>
      <c r="K630">
        <v>0</v>
      </c>
      <c r="L630">
        <v>2</v>
      </c>
      <c r="M630" s="1">
        <v>360</v>
      </c>
      <c r="N630">
        <v>628</v>
      </c>
      <c r="O630">
        <v>0</v>
      </c>
      <c r="P630">
        <v>0</v>
      </c>
      <c r="Q630">
        <v>0</v>
      </c>
      <c r="R630">
        <v>0</v>
      </c>
      <c r="S630">
        <v>0</v>
      </c>
      <c r="T630" s="1">
        <v>0</v>
      </c>
      <c r="U630">
        <v>628</v>
      </c>
      <c r="V630">
        <v>0</v>
      </c>
      <c r="W630">
        <v>0</v>
      </c>
      <c r="X630">
        <v>0</v>
      </c>
      <c r="Y630">
        <v>0</v>
      </c>
      <c r="Z630">
        <v>0</v>
      </c>
      <c r="AA630" s="1">
        <v>0</v>
      </c>
      <c r="AB630">
        <v>628</v>
      </c>
      <c r="AC630">
        <v>0</v>
      </c>
      <c r="AD630">
        <v>0</v>
      </c>
      <c r="AE630">
        <v>0</v>
      </c>
      <c r="AF630">
        <v>0</v>
      </c>
      <c r="AG630">
        <v>0</v>
      </c>
      <c r="AH630" s="1">
        <v>0</v>
      </c>
      <c r="AI630">
        <v>628</v>
      </c>
      <c r="AJ630">
        <v>0</v>
      </c>
      <c r="AK630">
        <v>0</v>
      </c>
      <c r="AL630">
        <v>0</v>
      </c>
      <c r="AM630">
        <v>0</v>
      </c>
      <c r="AN630">
        <v>0</v>
      </c>
      <c r="AO630" s="1">
        <v>0</v>
      </c>
    </row>
    <row r="631" spans="7:41" x14ac:dyDescent="0.35">
      <c r="G631">
        <v>629</v>
      </c>
      <c r="H631">
        <v>1</v>
      </c>
      <c r="I631">
        <v>1</v>
      </c>
      <c r="J631">
        <v>1</v>
      </c>
      <c r="K631">
        <v>0</v>
      </c>
      <c r="L631">
        <v>1</v>
      </c>
      <c r="M631" s="1">
        <v>240</v>
      </c>
      <c r="N631">
        <v>629</v>
      </c>
      <c r="O631">
        <v>0</v>
      </c>
      <c r="P631">
        <v>1</v>
      </c>
      <c r="Q631">
        <v>0</v>
      </c>
      <c r="R631">
        <v>0</v>
      </c>
      <c r="S631">
        <v>1</v>
      </c>
      <c r="T631" s="1">
        <v>160</v>
      </c>
      <c r="U631">
        <v>629</v>
      </c>
      <c r="V631">
        <v>0</v>
      </c>
      <c r="W631">
        <v>0</v>
      </c>
      <c r="X631">
        <v>0</v>
      </c>
      <c r="Y631">
        <v>0</v>
      </c>
      <c r="Z631">
        <v>0</v>
      </c>
      <c r="AA631" s="1">
        <v>0</v>
      </c>
      <c r="AB631">
        <v>629</v>
      </c>
      <c r="AC631">
        <v>0</v>
      </c>
      <c r="AD631">
        <v>0</v>
      </c>
      <c r="AE631">
        <v>0</v>
      </c>
      <c r="AF631">
        <v>0</v>
      </c>
      <c r="AG631">
        <v>1</v>
      </c>
      <c r="AH631" s="1">
        <v>120</v>
      </c>
      <c r="AI631">
        <v>629</v>
      </c>
      <c r="AJ631">
        <v>0</v>
      </c>
      <c r="AK631">
        <v>0</v>
      </c>
      <c r="AL631">
        <v>0</v>
      </c>
      <c r="AM631">
        <v>0</v>
      </c>
      <c r="AN631">
        <v>0</v>
      </c>
      <c r="AO631" s="1">
        <v>0</v>
      </c>
    </row>
    <row r="632" spans="7:41" x14ac:dyDescent="0.35">
      <c r="G632">
        <v>630</v>
      </c>
      <c r="H632">
        <v>0</v>
      </c>
      <c r="I632">
        <v>1</v>
      </c>
      <c r="J632">
        <v>0</v>
      </c>
      <c r="K632">
        <v>1</v>
      </c>
      <c r="L632">
        <v>0</v>
      </c>
      <c r="M632" s="1">
        <v>120</v>
      </c>
      <c r="N632">
        <v>630</v>
      </c>
      <c r="O632">
        <v>0</v>
      </c>
      <c r="P632">
        <v>0</v>
      </c>
      <c r="Q632">
        <v>0</v>
      </c>
      <c r="R632">
        <v>1</v>
      </c>
      <c r="S632">
        <v>1</v>
      </c>
      <c r="T632" s="1">
        <v>160</v>
      </c>
      <c r="U632">
        <v>630</v>
      </c>
      <c r="V632">
        <v>0</v>
      </c>
      <c r="W632">
        <v>0</v>
      </c>
      <c r="X632">
        <v>0</v>
      </c>
      <c r="Y632">
        <v>0</v>
      </c>
      <c r="Z632">
        <v>0</v>
      </c>
      <c r="AA632" s="1">
        <v>0</v>
      </c>
      <c r="AB632">
        <v>630</v>
      </c>
      <c r="AC632">
        <v>0</v>
      </c>
      <c r="AD632">
        <v>0</v>
      </c>
      <c r="AE632">
        <v>0</v>
      </c>
      <c r="AF632">
        <v>0</v>
      </c>
      <c r="AG632">
        <v>0</v>
      </c>
      <c r="AH632" s="1">
        <v>0</v>
      </c>
      <c r="AI632">
        <v>630</v>
      </c>
      <c r="AJ632">
        <v>0</v>
      </c>
      <c r="AK632">
        <v>0</v>
      </c>
      <c r="AL632">
        <v>0</v>
      </c>
      <c r="AM632">
        <v>0</v>
      </c>
      <c r="AN632">
        <v>0</v>
      </c>
      <c r="AO632" s="1">
        <v>0</v>
      </c>
    </row>
    <row r="633" spans="7:41" x14ac:dyDescent="0.35">
      <c r="G633">
        <v>631</v>
      </c>
      <c r="H633">
        <v>0</v>
      </c>
      <c r="I633">
        <v>0</v>
      </c>
      <c r="J633">
        <v>2</v>
      </c>
      <c r="K633">
        <v>3</v>
      </c>
      <c r="L633">
        <v>1</v>
      </c>
      <c r="M633" s="1">
        <v>360</v>
      </c>
      <c r="N633">
        <v>631</v>
      </c>
      <c r="O633">
        <v>0</v>
      </c>
      <c r="P633">
        <v>0</v>
      </c>
      <c r="Q633">
        <v>1</v>
      </c>
      <c r="R633">
        <v>0</v>
      </c>
      <c r="S633">
        <v>0</v>
      </c>
      <c r="T633" s="1">
        <v>80</v>
      </c>
      <c r="U633">
        <v>631</v>
      </c>
      <c r="V633">
        <v>0</v>
      </c>
      <c r="W633">
        <v>0</v>
      </c>
      <c r="X633">
        <v>0</v>
      </c>
      <c r="Y633">
        <v>0</v>
      </c>
      <c r="Z633">
        <v>0</v>
      </c>
      <c r="AA633" s="1">
        <v>0</v>
      </c>
      <c r="AB633">
        <v>631</v>
      </c>
      <c r="AC633">
        <v>0</v>
      </c>
      <c r="AD633">
        <v>0</v>
      </c>
      <c r="AE633">
        <v>0</v>
      </c>
      <c r="AF633">
        <v>0</v>
      </c>
      <c r="AG633">
        <v>0</v>
      </c>
      <c r="AH633" s="1">
        <v>0</v>
      </c>
      <c r="AI633">
        <v>631</v>
      </c>
      <c r="AJ633">
        <v>0</v>
      </c>
      <c r="AK633">
        <v>0</v>
      </c>
      <c r="AL633">
        <v>0</v>
      </c>
      <c r="AM633">
        <v>0</v>
      </c>
      <c r="AN633">
        <v>0</v>
      </c>
      <c r="AO633" s="1">
        <v>0</v>
      </c>
    </row>
    <row r="634" spans="7:41" x14ac:dyDescent="0.35">
      <c r="G634">
        <v>632</v>
      </c>
      <c r="H634">
        <v>0</v>
      </c>
      <c r="I634">
        <v>0</v>
      </c>
      <c r="J634">
        <v>2</v>
      </c>
      <c r="K634">
        <v>3</v>
      </c>
      <c r="L634">
        <v>0</v>
      </c>
      <c r="M634" s="1">
        <v>300</v>
      </c>
      <c r="N634">
        <v>632</v>
      </c>
      <c r="O634">
        <v>0</v>
      </c>
      <c r="P634">
        <v>1</v>
      </c>
      <c r="Q634">
        <v>1</v>
      </c>
      <c r="R634">
        <v>0</v>
      </c>
      <c r="S634">
        <v>1</v>
      </c>
      <c r="T634" s="1">
        <v>240</v>
      </c>
      <c r="U634">
        <v>632</v>
      </c>
      <c r="V634">
        <v>0</v>
      </c>
      <c r="W634">
        <v>0</v>
      </c>
      <c r="X634">
        <v>0</v>
      </c>
      <c r="Y634">
        <v>0</v>
      </c>
      <c r="Z634">
        <v>0</v>
      </c>
      <c r="AA634" s="1">
        <v>0</v>
      </c>
      <c r="AB634">
        <v>632</v>
      </c>
      <c r="AC634">
        <v>0</v>
      </c>
      <c r="AD634">
        <v>0</v>
      </c>
      <c r="AE634">
        <v>0</v>
      </c>
      <c r="AF634">
        <v>0</v>
      </c>
      <c r="AG634">
        <v>0</v>
      </c>
      <c r="AH634" s="1">
        <v>0</v>
      </c>
      <c r="AI634">
        <v>632</v>
      </c>
      <c r="AJ634">
        <v>0</v>
      </c>
      <c r="AK634">
        <v>0</v>
      </c>
      <c r="AL634">
        <v>0</v>
      </c>
      <c r="AM634">
        <v>0</v>
      </c>
      <c r="AN634">
        <v>0</v>
      </c>
      <c r="AO634" s="1">
        <v>0</v>
      </c>
    </row>
    <row r="635" spans="7:41" x14ac:dyDescent="0.35">
      <c r="G635">
        <v>633</v>
      </c>
      <c r="H635">
        <v>0</v>
      </c>
      <c r="I635">
        <v>0</v>
      </c>
      <c r="J635">
        <v>1</v>
      </c>
      <c r="K635">
        <v>0</v>
      </c>
      <c r="L635">
        <v>0</v>
      </c>
      <c r="M635" s="1">
        <v>60</v>
      </c>
      <c r="N635">
        <v>633</v>
      </c>
      <c r="O635">
        <v>0</v>
      </c>
      <c r="P635">
        <v>0</v>
      </c>
      <c r="Q635">
        <v>2</v>
      </c>
      <c r="R635">
        <v>1</v>
      </c>
      <c r="S635">
        <v>0</v>
      </c>
      <c r="T635" s="1">
        <v>240</v>
      </c>
      <c r="U635">
        <v>633</v>
      </c>
      <c r="V635">
        <v>1</v>
      </c>
      <c r="W635">
        <v>0</v>
      </c>
      <c r="X635">
        <v>1</v>
      </c>
      <c r="Y635">
        <v>0</v>
      </c>
      <c r="Z635">
        <v>0</v>
      </c>
      <c r="AA635" s="1">
        <v>200</v>
      </c>
      <c r="AB635">
        <v>633</v>
      </c>
      <c r="AC635">
        <v>0</v>
      </c>
      <c r="AD635">
        <v>0</v>
      </c>
      <c r="AE635">
        <v>0</v>
      </c>
      <c r="AF635">
        <v>0</v>
      </c>
      <c r="AG635">
        <v>0</v>
      </c>
      <c r="AH635" s="1">
        <v>0</v>
      </c>
      <c r="AI635">
        <v>633</v>
      </c>
      <c r="AJ635">
        <v>0</v>
      </c>
      <c r="AK635">
        <v>0</v>
      </c>
      <c r="AL635">
        <v>2</v>
      </c>
      <c r="AM635">
        <v>0</v>
      </c>
      <c r="AN635">
        <v>0</v>
      </c>
      <c r="AO635" s="1">
        <v>300</v>
      </c>
    </row>
    <row r="636" spans="7:41" x14ac:dyDescent="0.35">
      <c r="G636">
        <v>634</v>
      </c>
      <c r="H636">
        <v>0</v>
      </c>
      <c r="I636">
        <v>0</v>
      </c>
      <c r="J636">
        <v>2</v>
      </c>
      <c r="K636">
        <v>0</v>
      </c>
      <c r="L636">
        <v>2</v>
      </c>
      <c r="M636" s="1">
        <v>240</v>
      </c>
      <c r="N636">
        <v>634</v>
      </c>
      <c r="O636">
        <v>0</v>
      </c>
      <c r="P636">
        <v>0</v>
      </c>
      <c r="Q636">
        <v>2</v>
      </c>
      <c r="R636">
        <v>1</v>
      </c>
      <c r="S636">
        <v>0</v>
      </c>
      <c r="T636" s="1">
        <v>240</v>
      </c>
      <c r="U636">
        <v>634</v>
      </c>
      <c r="V636">
        <v>0</v>
      </c>
      <c r="W636">
        <v>0</v>
      </c>
      <c r="X636">
        <v>0</v>
      </c>
      <c r="Y636">
        <v>0</v>
      </c>
      <c r="Z636">
        <v>0</v>
      </c>
      <c r="AA636" s="1">
        <v>0</v>
      </c>
      <c r="AB636">
        <v>634</v>
      </c>
      <c r="AC636">
        <v>0</v>
      </c>
      <c r="AD636">
        <v>0</v>
      </c>
      <c r="AE636">
        <v>0</v>
      </c>
      <c r="AF636">
        <v>0</v>
      </c>
      <c r="AG636">
        <v>1</v>
      </c>
      <c r="AH636" s="1">
        <v>120</v>
      </c>
      <c r="AI636">
        <v>634</v>
      </c>
      <c r="AJ636">
        <v>0</v>
      </c>
      <c r="AK636">
        <v>0</v>
      </c>
      <c r="AL636">
        <v>1</v>
      </c>
      <c r="AM636">
        <v>0</v>
      </c>
      <c r="AN636">
        <v>0</v>
      </c>
      <c r="AO636" s="1">
        <v>150</v>
      </c>
    </row>
    <row r="637" spans="7:41" x14ac:dyDescent="0.35">
      <c r="G637">
        <v>635</v>
      </c>
      <c r="H637">
        <v>2</v>
      </c>
      <c r="I637">
        <v>2</v>
      </c>
      <c r="J637">
        <v>3</v>
      </c>
      <c r="K637">
        <v>0</v>
      </c>
      <c r="L637">
        <v>1</v>
      </c>
      <c r="M637" s="1">
        <v>480</v>
      </c>
      <c r="N637">
        <v>635</v>
      </c>
      <c r="O637">
        <v>0</v>
      </c>
      <c r="P637">
        <v>2</v>
      </c>
      <c r="Q637">
        <v>1</v>
      </c>
      <c r="R637">
        <v>0</v>
      </c>
      <c r="S637">
        <v>1</v>
      </c>
      <c r="T637" s="1">
        <v>320</v>
      </c>
      <c r="U637">
        <v>635</v>
      </c>
      <c r="V637">
        <v>0</v>
      </c>
      <c r="W637">
        <v>0</v>
      </c>
      <c r="X637">
        <v>0</v>
      </c>
      <c r="Y637">
        <v>0</v>
      </c>
      <c r="Z637">
        <v>0</v>
      </c>
      <c r="AA637" s="1">
        <v>0</v>
      </c>
      <c r="AB637">
        <v>635</v>
      </c>
      <c r="AC637">
        <v>0</v>
      </c>
      <c r="AD637">
        <v>1</v>
      </c>
      <c r="AE637">
        <v>0</v>
      </c>
      <c r="AF637">
        <v>0</v>
      </c>
      <c r="AG637">
        <v>0</v>
      </c>
      <c r="AH637" s="1">
        <v>120</v>
      </c>
      <c r="AI637">
        <v>635</v>
      </c>
      <c r="AJ637">
        <v>0</v>
      </c>
      <c r="AK637">
        <v>0</v>
      </c>
      <c r="AL637">
        <v>0</v>
      </c>
      <c r="AM637">
        <v>0</v>
      </c>
      <c r="AN637">
        <v>0</v>
      </c>
      <c r="AO637" s="1">
        <v>0</v>
      </c>
    </row>
    <row r="638" spans="7:41" x14ac:dyDescent="0.35">
      <c r="G638">
        <v>636</v>
      </c>
      <c r="H638">
        <v>0</v>
      </c>
      <c r="I638">
        <v>1</v>
      </c>
      <c r="J638">
        <v>0</v>
      </c>
      <c r="K638">
        <v>2</v>
      </c>
      <c r="L638">
        <v>0</v>
      </c>
      <c r="M638" s="1">
        <v>180</v>
      </c>
      <c r="N638">
        <v>636</v>
      </c>
      <c r="O638">
        <v>1</v>
      </c>
      <c r="P638">
        <v>0</v>
      </c>
      <c r="Q638">
        <v>0</v>
      </c>
      <c r="R638">
        <v>1</v>
      </c>
      <c r="S638">
        <v>0</v>
      </c>
      <c r="T638" s="1">
        <v>160</v>
      </c>
      <c r="U638">
        <v>636</v>
      </c>
      <c r="V638">
        <v>0</v>
      </c>
      <c r="W638">
        <v>1</v>
      </c>
      <c r="X638">
        <v>0</v>
      </c>
      <c r="Y638">
        <v>0</v>
      </c>
      <c r="Z638">
        <v>1</v>
      </c>
      <c r="AA638" s="1">
        <v>200</v>
      </c>
      <c r="AB638">
        <v>636</v>
      </c>
      <c r="AC638">
        <v>1</v>
      </c>
      <c r="AD638">
        <v>0</v>
      </c>
      <c r="AE638">
        <v>0</v>
      </c>
      <c r="AF638">
        <v>0</v>
      </c>
      <c r="AG638">
        <v>0</v>
      </c>
      <c r="AH638" s="1">
        <v>120</v>
      </c>
      <c r="AI638">
        <v>636</v>
      </c>
      <c r="AJ638">
        <v>2</v>
      </c>
      <c r="AK638">
        <v>0</v>
      </c>
      <c r="AL638">
        <v>0</v>
      </c>
      <c r="AM638">
        <v>0</v>
      </c>
      <c r="AN638">
        <v>0</v>
      </c>
      <c r="AO638" s="1">
        <v>300</v>
      </c>
    </row>
    <row r="639" spans="7:41" x14ac:dyDescent="0.35">
      <c r="G639">
        <v>637</v>
      </c>
      <c r="H639">
        <v>0</v>
      </c>
      <c r="I639">
        <v>0</v>
      </c>
      <c r="J639">
        <v>2</v>
      </c>
      <c r="K639">
        <v>0</v>
      </c>
      <c r="L639">
        <v>0</v>
      </c>
      <c r="M639" s="1">
        <v>120</v>
      </c>
      <c r="N639">
        <v>637</v>
      </c>
      <c r="O639">
        <v>0</v>
      </c>
      <c r="P639">
        <v>0</v>
      </c>
      <c r="Q639">
        <v>0</v>
      </c>
      <c r="R639">
        <v>0</v>
      </c>
      <c r="S639">
        <v>1</v>
      </c>
      <c r="T639" s="1">
        <v>80</v>
      </c>
      <c r="U639">
        <v>637</v>
      </c>
      <c r="V639">
        <v>0</v>
      </c>
      <c r="W639">
        <v>0</v>
      </c>
      <c r="X639">
        <v>0</v>
      </c>
      <c r="Y639">
        <v>0</v>
      </c>
      <c r="Z639">
        <v>0</v>
      </c>
      <c r="AA639" s="1">
        <v>0</v>
      </c>
      <c r="AB639">
        <v>637</v>
      </c>
      <c r="AC639">
        <v>0</v>
      </c>
      <c r="AD639">
        <v>0</v>
      </c>
      <c r="AE639">
        <v>0</v>
      </c>
      <c r="AF639">
        <v>0</v>
      </c>
      <c r="AG639">
        <v>0</v>
      </c>
      <c r="AH639" s="1">
        <v>0</v>
      </c>
      <c r="AI639">
        <v>637</v>
      </c>
      <c r="AJ639">
        <v>0</v>
      </c>
      <c r="AK639">
        <v>0</v>
      </c>
      <c r="AL639">
        <v>2</v>
      </c>
      <c r="AM639">
        <v>0</v>
      </c>
      <c r="AN639">
        <v>0</v>
      </c>
      <c r="AO639" s="1">
        <v>300</v>
      </c>
    </row>
    <row r="640" spans="7:41" x14ac:dyDescent="0.35">
      <c r="G640">
        <v>638</v>
      </c>
      <c r="H640">
        <v>0</v>
      </c>
      <c r="I640">
        <v>0</v>
      </c>
      <c r="J640">
        <v>1</v>
      </c>
      <c r="K640">
        <v>4</v>
      </c>
      <c r="L640">
        <v>1</v>
      </c>
      <c r="M640" s="1">
        <v>360</v>
      </c>
      <c r="N640">
        <v>638</v>
      </c>
      <c r="O640">
        <v>2</v>
      </c>
      <c r="P640">
        <v>0</v>
      </c>
      <c r="Q640">
        <v>1</v>
      </c>
      <c r="R640">
        <v>0</v>
      </c>
      <c r="S640">
        <v>0</v>
      </c>
      <c r="T640" s="1">
        <v>240</v>
      </c>
      <c r="U640">
        <v>638</v>
      </c>
      <c r="V640">
        <v>0</v>
      </c>
      <c r="W640">
        <v>1</v>
      </c>
      <c r="X640">
        <v>0</v>
      </c>
      <c r="Y640">
        <v>0</v>
      </c>
      <c r="Z640">
        <v>0</v>
      </c>
      <c r="AA640" s="1">
        <v>100</v>
      </c>
      <c r="AB640">
        <v>638</v>
      </c>
      <c r="AC640">
        <v>0</v>
      </c>
      <c r="AD640">
        <v>0</v>
      </c>
      <c r="AE640">
        <v>0</v>
      </c>
      <c r="AF640">
        <v>0</v>
      </c>
      <c r="AG640">
        <v>0</v>
      </c>
      <c r="AH640" s="1">
        <v>0</v>
      </c>
      <c r="AI640">
        <v>638</v>
      </c>
      <c r="AJ640">
        <v>0</v>
      </c>
      <c r="AK640">
        <v>0</v>
      </c>
      <c r="AL640">
        <v>0</v>
      </c>
      <c r="AM640">
        <v>0</v>
      </c>
      <c r="AN640">
        <v>0</v>
      </c>
      <c r="AO640" s="1">
        <v>0</v>
      </c>
    </row>
    <row r="641" spans="7:41" x14ac:dyDescent="0.35">
      <c r="G641">
        <v>639</v>
      </c>
      <c r="H641">
        <v>0</v>
      </c>
      <c r="I641">
        <v>0</v>
      </c>
      <c r="J641">
        <v>0</v>
      </c>
      <c r="K641">
        <v>0</v>
      </c>
      <c r="L641">
        <v>1</v>
      </c>
      <c r="M641" s="1">
        <v>60</v>
      </c>
      <c r="N641">
        <v>639</v>
      </c>
      <c r="O641">
        <v>0</v>
      </c>
      <c r="P641">
        <v>0</v>
      </c>
      <c r="Q641">
        <v>2</v>
      </c>
      <c r="R641">
        <v>1</v>
      </c>
      <c r="S641">
        <v>0</v>
      </c>
      <c r="T641" s="1">
        <v>240</v>
      </c>
      <c r="U641">
        <v>639</v>
      </c>
      <c r="V641">
        <v>0</v>
      </c>
      <c r="W641">
        <v>0</v>
      </c>
      <c r="X641">
        <v>0</v>
      </c>
      <c r="Y641">
        <v>0</v>
      </c>
      <c r="Z641">
        <v>0</v>
      </c>
      <c r="AA641" s="1">
        <v>0</v>
      </c>
      <c r="AB641">
        <v>639</v>
      </c>
      <c r="AC641">
        <v>0</v>
      </c>
      <c r="AD641">
        <v>0</v>
      </c>
      <c r="AE641">
        <v>0</v>
      </c>
      <c r="AF641">
        <v>0</v>
      </c>
      <c r="AG641">
        <v>0</v>
      </c>
      <c r="AH641" s="1">
        <v>0</v>
      </c>
      <c r="AI641">
        <v>639</v>
      </c>
      <c r="AJ641">
        <v>0</v>
      </c>
      <c r="AK641">
        <v>0</v>
      </c>
      <c r="AL641">
        <v>1</v>
      </c>
      <c r="AM641">
        <v>0</v>
      </c>
      <c r="AN641">
        <v>0</v>
      </c>
      <c r="AO641" s="1">
        <v>150</v>
      </c>
    </row>
    <row r="642" spans="7:41" x14ac:dyDescent="0.35">
      <c r="G642">
        <v>640</v>
      </c>
      <c r="H642">
        <v>0</v>
      </c>
      <c r="I642">
        <v>0</v>
      </c>
      <c r="J642">
        <v>0</v>
      </c>
      <c r="K642">
        <v>0</v>
      </c>
      <c r="L642">
        <v>0</v>
      </c>
      <c r="M642" s="1">
        <v>0</v>
      </c>
      <c r="N642">
        <v>640</v>
      </c>
      <c r="O642">
        <v>0</v>
      </c>
      <c r="P642">
        <v>1</v>
      </c>
      <c r="Q642">
        <v>0</v>
      </c>
      <c r="R642">
        <v>0</v>
      </c>
      <c r="S642">
        <v>0</v>
      </c>
      <c r="T642" s="1">
        <v>80</v>
      </c>
      <c r="U642">
        <v>640</v>
      </c>
      <c r="V642">
        <v>0</v>
      </c>
      <c r="W642">
        <v>0</v>
      </c>
      <c r="X642">
        <v>0</v>
      </c>
      <c r="Y642">
        <v>0</v>
      </c>
      <c r="Z642">
        <v>0</v>
      </c>
      <c r="AA642" s="1">
        <v>0</v>
      </c>
      <c r="AB642">
        <v>640</v>
      </c>
      <c r="AC642">
        <v>0</v>
      </c>
      <c r="AD642">
        <v>0</v>
      </c>
      <c r="AE642">
        <v>0</v>
      </c>
      <c r="AF642">
        <v>0</v>
      </c>
      <c r="AG642">
        <v>0</v>
      </c>
      <c r="AH642" s="1">
        <v>0</v>
      </c>
      <c r="AI642">
        <v>640</v>
      </c>
      <c r="AJ642">
        <v>0</v>
      </c>
      <c r="AK642">
        <v>0</v>
      </c>
      <c r="AL642">
        <v>1</v>
      </c>
      <c r="AM642">
        <v>0</v>
      </c>
      <c r="AN642">
        <v>0</v>
      </c>
      <c r="AO642" s="1">
        <v>150</v>
      </c>
    </row>
    <row r="643" spans="7:41" x14ac:dyDescent="0.35">
      <c r="G643">
        <v>641</v>
      </c>
      <c r="H643">
        <v>0</v>
      </c>
      <c r="I643">
        <v>0</v>
      </c>
      <c r="J643">
        <v>0</v>
      </c>
      <c r="K643">
        <v>0</v>
      </c>
      <c r="L643">
        <v>0</v>
      </c>
      <c r="M643" s="1">
        <v>0</v>
      </c>
      <c r="N643">
        <v>641</v>
      </c>
      <c r="O643">
        <v>0</v>
      </c>
      <c r="P643">
        <v>1</v>
      </c>
      <c r="Q643">
        <v>0</v>
      </c>
      <c r="R643">
        <v>1</v>
      </c>
      <c r="S643">
        <v>0</v>
      </c>
      <c r="T643" s="1">
        <v>160</v>
      </c>
      <c r="U643">
        <v>641</v>
      </c>
      <c r="V643">
        <v>0</v>
      </c>
      <c r="W643">
        <v>0</v>
      </c>
      <c r="X643">
        <v>0</v>
      </c>
      <c r="Y643">
        <v>0</v>
      </c>
      <c r="Z643">
        <v>0</v>
      </c>
      <c r="AA643" s="1">
        <v>0</v>
      </c>
      <c r="AB643">
        <v>641</v>
      </c>
      <c r="AC643">
        <v>0</v>
      </c>
      <c r="AD643">
        <v>0</v>
      </c>
      <c r="AE643">
        <v>0</v>
      </c>
      <c r="AF643">
        <v>0</v>
      </c>
      <c r="AG643">
        <v>0</v>
      </c>
      <c r="AH643" s="1">
        <v>0</v>
      </c>
      <c r="AI643">
        <v>641</v>
      </c>
      <c r="AJ643">
        <v>0</v>
      </c>
      <c r="AK643">
        <v>0</v>
      </c>
      <c r="AL643">
        <v>0</v>
      </c>
      <c r="AM643">
        <v>0</v>
      </c>
      <c r="AN643">
        <v>0</v>
      </c>
      <c r="AO643" s="1">
        <v>0</v>
      </c>
    </row>
    <row r="644" spans="7:41" x14ac:dyDescent="0.35">
      <c r="G644">
        <v>642</v>
      </c>
      <c r="H644">
        <v>1</v>
      </c>
      <c r="I644">
        <v>0</v>
      </c>
      <c r="J644">
        <v>3</v>
      </c>
      <c r="K644">
        <v>1</v>
      </c>
      <c r="L644">
        <v>1</v>
      </c>
      <c r="M644" s="1">
        <v>360</v>
      </c>
      <c r="N644">
        <v>642</v>
      </c>
      <c r="O644">
        <v>0</v>
      </c>
      <c r="P644">
        <v>0</v>
      </c>
      <c r="Q644">
        <v>2</v>
      </c>
      <c r="R644">
        <v>0</v>
      </c>
      <c r="S644">
        <v>0</v>
      </c>
      <c r="T644" s="1">
        <v>160</v>
      </c>
      <c r="U644">
        <v>642</v>
      </c>
      <c r="V644">
        <v>0</v>
      </c>
      <c r="W644">
        <v>0</v>
      </c>
      <c r="X644">
        <v>0</v>
      </c>
      <c r="Y644">
        <v>0</v>
      </c>
      <c r="Z644">
        <v>1</v>
      </c>
      <c r="AA644" s="1">
        <v>100</v>
      </c>
      <c r="AB644">
        <v>642</v>
      </c>
      <c r="AC644">
        <v>0</v>
      </c>
      <c r="AD644">
        <v>0</v>
      </c>
      <c r="AE644">
        <v>0</v>
      </c>
      <c r="AF644">
        <v>0</v>
      </c>
      <c r="AG644">
        <v>0</v>
      </c>
      <c r="AH644" s="1">
        <v>0</v>
      </c>
      <c r="AI644">
        <v>642</v>
      </c>
      <c r="AJ644">
        <v>0</v>
      </c>
      <c r="AK644">
        <v>0</v>
      </c>
      <c r="AL644">
        <v>0</v>
      </c>
      <c r="AM644">
        <v>0</v>
      </c>
      <c r="AN644">
        <v>0</v>
      </c>
      <c r="AO644" s="1">
        <v>0</v>
      </c>
    </row>
    <row r="645" spans="7:41" x14ac:dyDescent="0.35">
      <c r="G645">
        <v>643</v>
      </c>
      <c r="H645">
        <v>0</v>
      </c>
      <c r="I645">
        <v>0</v>
      </c>
      <c r="J645">
        <v>2</v>
      </c>
      <c r="K645">
        <v>4</v>
      </c>
      <c r="L645">
        <v>0</v>
      </c>
      <c r="M645" s="1">
        <v>360</v>
      </c>
      <c r="N645">
        <v>643</v>
      </c>
      <c r="O645">
        <v>0</v>
      </c>
      <c r="P645">
        <v>2</v>
      </c>
      <c r="Q645">
        <v>0</v>
      </c>
      <c r="R645">
        <v>2</v>
      </c>
      <c r="S645">
        <v>1</v>
      </c>
      <c r="T645" s="1">
        <v>400</v>
      </c>
      <c r="U645">
        <v>643</v>
      </c>
      <c r="V645">
        <v>0</v>
      </c>
      <c r="W645">
        <v>2</v>
      </c>
      <c r="X645">
        <v>0</v>
      </c>
      <c r="Y645">
        <v>0</v>
      </c>
      <c r="Z645">
        <v>1</v>
      </c>
      <c r="AA645" s="1">
        <v>300</v>
      </c>
      <c r="AB645">
        <v>643</v>
      </c>
      <c r="AC645">
        <v>0</v>
      </c>
      <c r="AD645">
        <v>0</v>
      </c>
      <c r="AE645">
        <v>0</v>
      </c>
      <c r="AF645">
        <v>1</v>
      </c>
      <c r="AG645">
        <v>0</v>
      </c>
      <c r="AH645" s="1">
        <v>120</v>
      </c>
      <c r="AI645">
        <v>643</v>
      </c>
      <c r="AJ645">
        <v>0</v>
      </c>
      <c r="AK645">
        <v>0</v>
      </c>
      <c r="AL645">
        <v>3</v>
      </c>
      <c r="AM645">
        <v>0</v>
      </c>
      <c r="AN645">
        <v>0</v>
      </c>
      <c r="AO645" s="1">
        <v>450</v>
      </c>
    </row>
    <row r="646" spans="7:41" x14ac:dyDescent="0.35">
      <c r="G646">
        <v>644</v>
      </c>
      <c r="H646">
        <v>0</v>
      </c>
      <c r="I646">
        <v>0</v>
      </c>
      <c r="J646">
        <v>1</v>
      </c>
      <c r="K646">
        <v>0</v>
      </c>
      <c r="L646">
        <v>0</v>
      </c>
      <c r="M646" s="1">
        <v>60</v>
      </c>
      <c r="N646">
        <v>644</v>
      </c>
      <c r="O646">
        <v>2</v>
      </c>
      <c r="P646">
        <v>0</v>
      </c>
      <c r="Q646">
        <v>2</v>
      </c>
      <c r="R646">
        <v>0</v>
      </c>
      <c r="S646">
        <v>0</v>
      </c>
      <c r="T646" s="1">
        <v>320</v>
      </c>
      <c r="U646">
        <v>644</v>
      </c>
      <c r="V646">
        <v>0</v>
      </c>
      <c r="W646">
        <v>0</v>
      </c>
      <c r="X646">
        <v>0</v>
      </c>
      <c r="Y646">
        <v>0</v>
      </c>
      <c r="Z646">
        <v>0</v>
      </c>
      <c r="AA646" s="1">
        <v>0</v>
      </c>
      <c r="AB646">
        <v>644</v>
      </c>
      <c r="AC646">
        <v>0</v>
      </c>
      <c r="AD646">
        <v>0</v>
      </c>
      <c r="AE646">
        <v>0</v>
      </c>
      <c r="AF646">
        <v>0</v>
      </c>
      <c r="AG646">
        <v>0</v>
      </c>
      <c r="AH646" s="1">
        <v>0</v>
      </c>
      <c r="AI646">
        <v>644</v>
      </c>
      <c r="AJ646">
        <v>0</v>
      </c>
      <c r="AK646">
        <v>0</v>
      </c>
      <c r="AL646">
        <v>2</v>
      </c>
      <c r="AM646">
        <v>0</v>
      </c>
      <c r="AN646">
        <v>0</v>
      </c>
      <c r="AO646" s="1">
        <v>300</v>
      </c>
    </row>
    <row r="647" spans="7:41" x14ac:dyDescent="0.35">
      <c r="G647">
        <v>645</v>
      </c>
      <c r="H647">
        <v>1</v>
      </c>
      <c r="I647">
        <v>2</v>
      </c>
      <c r="J647">
        <v>1</v>
      </c>
      <c r="K647">
        <v>2</v>
      </c>
      <c r="L647">
        <v>0</v>
      </c>
      <c r="M647" s="1">
        <v>360</v>
      </c>
      <c r="N647">
        <v>645</v>
      </c>
      <c r="O647">
        <v>0</v>
      </c>
      <c r="P647">
        <v>1</v>
      </c>
      <c r="Q647">
        <v>0</v>
      </c>
      <c r="R647">
        <v>0</v>
      </c>
      <c r="S647">
        <v>0</v>
      </c>
      <c r="T647" s="1">
        <v>80</v>
      </c>
      <c r="U647">
        <v>645</v>
      </c>
      <c r="V647">
        <v>0</v>
      </c>
      <c r="W647">
        <v>1</v>
      </c>
      <c r="X647">
        <v>0</v>
      </c>
      <c r="Y647">
        <v>0</v>
      </c>
      <c r="Z647">
        <v>0</v>
      </c>
      <c r="AA647" s="1">
        <v>100</v>
      </c>
      <c r="AB647">
        <v>645</v>
      </c>
      <c r="AC647">
        <v>0</v>
      </c>
      <c r="AD647">
        <v>0</v>
      </c>
      <c r="AE647">
        <v>0</v>
      </c>
      <c r="AF647">
        <v>0</v>
      </c>
      <c r="AG647">
        <v>0</v>
      </c>
      <c r="AH647" s="1">
        <v>0</v>
      </c>
      <c r="AI647">
        <v>645</v>
      </c>
      <c r="AJ647">
        <v>0</v>
      </c>
      <c r="AK647">
        <v>0</v>
      </c>
      <c r="AL647">
        <v>1</v>
      </c>
      <c r="AM647">
        <v>0</v>
      </c>
      <c r="AN647">
        <v>0</v>
      </c>
      <c r="AO647" s="1">
        <v>150</v>
      </c>
    </row>
    <row r="648" spans="7:41" x14ac:dyDescent="0.35">
      <c r="G648">
        <v>646</v>
      </c>
      <c r="H648">
        <v>0</v>
      </c>
      <c r="I648">
        <v>2</v>
      </c>
      <c r="J648">
        <v>1</v>
      </c>
      <c r="K648">
        <v>0</v>
      </c>
      <c r="L648">
        <v>0</v>
      </c>
      <c r="M648" s="1">
        <v>180</v>
      </c>
      <c r="N648">
        <v>646</v>
      </c>
      <c r="O648">
        <v>0</v>
      </c>
      <c r="P648">
        <v>1</v>
      </c>
      <c r="Q648">
        <v>0</v>
      </c>
      <c r="R648">
        <v>0</v>
      </c>
      <c r="S648">
        <v>1</v>
      </c>
      <c r="T648" s="1">
        <v>160</v>
      </c>
      <c r="U648">
        <v>646</v>
      </c>
      <c r="V648">
        <v>0</v>
      </c>
      <c r="W648">
        <v>0</v>
      </c>
      <c r="X648">
        <v>0</v>
      </c>
      <c r="Y648">
        <v>0</v>
      </c>
      <c r="Z648">
        <v>0</v>
      </c>
      <c r="AA648" s="1">
        <v>0</v>
      </c>
      <c r="AB648">
        <v>646</v>
      </c>
      <c r="AC648">
        <v>0</v>
      </c>
      <c r="AD648">
        <v>0</v>
      </c>
      <c r="AE648">
        <v>0</v>
      </c>
      <c r="AF648">
        <v>0</v>
      </c>
      <c r="AG648">
        <v>0</v>
      </c>
      <c r="AH648" s="1">
        <v>0</v>
      </c>
      <c r="AI648">
        <v>646</v>
      </c>
      <c r="AJ648">
        <v>0</v>
      </c>
      <c r="AK648">
        <v>0</v>
      </c>
      <c r="AL648">
        <v>0</v>
      </c>
      <c r="AM648">
        <v>0</v>
      </c>
      <c r="AN648">
        <v>0</v>
      </c>
      <c r="AO648" s="1">
        <v>0</v>
      </c>
    </row>
    <row r="649" spans="7:41" x14ac:dyDescent="0.35">
      <c r="G649">
        <v>647</v>
      </c>
      <c r="H649">
        <v>0</v>
      </c>
      <c r="I649">
        <v>1</v>
      </c>
      <c r="J649">
        <v>1</v>
      </c>
      <c r="K649">
        <v>0</v>
      </c>
      <c r="L649">
        <v>1</v>
      </c>
      <c r="M649" s="1">
        <v>180</v>
      </c>
      <c r="N649">
        <v>647</v>
      </c>
      <c r="O649">
        <v>0</v>
      </c>
      <c r="P649">
        <v>1</v>
      </c>
      <c r="Q649">
        <v>1</v>
      </c>
      <c r="R649">
        <v>1</v>
      </c>
      <c r="S649">
        <v>0</v>
      </c>
      <c r="T649" s="1">
        <v>240</v>
      </c>
      <c r="U649">
        <v>647</v>
      </c>
      <c r="V649">
        <v>1</v>
      </c>
      <c r="W649">
        <v>0</v>
      </c>
      <c r="X649">
        <v>0</v>
      </c>
      <c r="Y649">
        <v>0</v>
      </c>
      <c r="Z649">
        <v>0</v>
      </c>
      <c r="AA649" s="1">
        <v>100</v>
      </c>
      <c r="AB649">
        <v>647</v>
      </c>
      <c r="AC649">
        <v>0</v>
      </c>
      <c r="AD649">
        <v>0</v>
      </c>
      <c r="AE649">
        <v>0</v>
      </c>
      <c r="AF649">
        <v>0</v>
      </c>
      <c r="AG649">
        <v>0</v>
      </c>
      <c r="AH649" s="1">
        <v>0</v>
      </c>
      <c r="AI649">
        <v>647</v>
      </c>
      <c r="AJ649">
        <v>0</v>
      </c>
      <c r="AK649">
        <v>0</v>
      </c>
      <c r="AL649">
        <v>0</v>
      </c>
      <c r="AM649">
        <v>0</v>
      </c>
      <c r="AN649">
        <v>0</v>
      </c>
      <c r="AO649" s="1">
        <v>0</v>
      </c>
    </row>
    <row r="650" spans="7:41" x14ac:dyDescent="0.35">
      <c r="G650">
        <v>648</v>
      </c>
      <c r="H650">
        <v>0</v>
      </c>
      <c r="I650">
        <v>0</v>
      </c>
      <c r="J650">
        <v>1</v>
      </c>
      <c r="K650">
        <v>0</v>
      </c>
      <c r="L650">
        <v>0</v>
      </c>
      <c r="M650" s="1">
        <v>60</v>
      </c>
      <c r="N650">
        <v>648</v>
      </c>
      <c r="O650">
        <v>0</v>
      </c>
      <c r="P650">
        <v>0</v>
      </c>
      <c r="Q650">
        <v>2</v>
      </c>
      <c r="R650">
        <v>0</v>
      </c>
      <c r="S650">
        <v>0</v>
      </c>
      <c r="T650" s="1">
        <v>160</v>
      </c>
      <c r="U650">
        <v>648</v>
      </c>
      <c r="V650">
        <v>0</v>
      </c>
      <c r="W650">
        <v>1</v>
      </c>
      <c r="X650">
        <v>0</v>
      </c>
      <c r="Y650">
        <v>0</v>
      </c>
      <c r="Z650">
        <v>0</v>
      </c>
      <c r="AA650" s="1">
        <v>100</v>
      </c>
      <c r="AB650">
        <v>648</v>
      </c>
      <c r="AC650">
        <v>0</v>
      </c>
      <c r="AD650">
        <v>0</v>
      </c>
      <c r="AE650">
        <v>0</v>
      </c>
      <c r="AF650">
        <v>0</v>
      </c>
      <c r="AG650">
        <v>0</v>
      </c>
      <c r="AH650" s="1">
        <v>0</v>
      </c>
      <c r="AI650">
        <v>648</v>
      </c>
      <c r="AJ650">
        <v>0</v>
      </c>
      <c r="AK650">
        <v>0</v>
      </c>
      <c r="AL650">
        <v>0</v>
      </c>
      <c r="AM650">
        <v>0</v>
      </c>
      <c r="AN650">
        <v>0</v>
      </c>
      <c r="AO650" s="1">
        <v>0</v>
      </c>
    </row>
    <row r="651" spans="7:41" x14ac:dyDescent="0.35">
      <c r="G651">
        <v>649</v>
      </c>
      <c r="H651">
        <v>0</v>
      </c>
      <c r="I651">
        <v>1</v>
      </c>
      <c r="J651">
        <v>0</v>
      </c>
      <c r="K651">
        <v>2</v>
      </c>
      <c r="L651">
        <v>0</v>
      </c>
      <c r="M651" s="1">
        <v>180</v>
      </c>
      <c r="N651">
        <v>649</v>
      </c>
      <c r="O651">
        <v>0</v>
      </c>
      <c r="P651">
        <v>0</v>
      </c>
      <c r="Q651">
        <v>1</v>
      </c>
      <c r="R651">
        <v>0</v>
      </c>
      <c r="S651">
        <v>0</v>
      </c>
      <c r="T651" s="1">
        <v>80</v>
      </c>
      <c r="U651">
        <v>649</v>
      </c>
      <c r="V651">
        <v>0</v>
      </c>
      <c r="W651">
        <v>0</v>
      </c>
      <c r="X651">
        <v>0</v>
      </c>
      <c r="Y651">
        <v>0</v>
      </c>
      <c r="Z651">
        <v>1</v>
      </c>
      <c r="AA651" s="1">
        <v>100</v>
      </c>
      <c r="AB651">
        <v>649</v>
      </c>
      <c r="AC651">
        <v>0</v>
      </c>
      <c r="AD651">
        <v>0</v>
      </c>
      <c r="AE651">
        <v>0</v>
      </c>
      <c r="AF651">
        <v>0</v>
      </c>
      <c r="AG651">
        <v>0</v>
      </c>
      <c r="AH651" s="1">
        <v>0</v>
      </c>
      <c r="AI651">
        <v>649</v>
      </c>
      <c r="AJ651">
        <v>0</v>
      </c>
      <c r="AK651">
        <v>0</v>
      </c>
      <c r="AL651">
        <v>1</v>
      </c>
      <c r="AM651">
        <v>0</v>
      </c>
      <c r="AN651">
        <v>0</v>
      </c>
      <c r="AO651" s="1">
        <v>150</v>
      </c>
    </row>
    <row r="652" spans="7:41" x14ac:dyDescent="0.35">
      <c r="G652">
        <v>650</v>
      </c>
      <c r="H652">
        <v>2</v>
      </c>
      <c r="I652">
        <v>1</v>
      </c>
      <c r="J652">
        <v>1</v>
      </c>
      <c r="K652">
        <v>0</v>
      </c>
      <c r="L652">
        <v>2</v>
      </c>
      <c r="M652" s="1">
        <v>360</v>
      </c>
      <c r="N652">
        <v>650</v>
      </c>
      <c r="O652">
        <v>1</v>
      </c>
      <c r="P652">
        <v>0</v>
      </c>
      <c r="Q652">
        <v>2</v>
      </c>
      <c r="R652">
        <v>0</v>
      </c>
      <c r="S652">
        <v>1</v>
      </c>
      <c r="T652" s="1">
        <v>320</v>
      </c>
      <c r="U652">
        <v>650</v>
      </c>
      <c r="V652">
        <v>0</v>
      </c>
      <c r="W652">
        <v>0</v>
      </c>
      <c r="X652">
        <v>0</v>
      </c>
      <c r="Y652">
        <v>1</v>
      </c>
      <c r="Z652">
        <v>0</v>
      </c>
      <c r="AA652" s="1">
        <v>100</v>
      </c>
      <c r="AB652">
        <v>650</v>
      </c>
      <c r="AC652">
        <v>0</v>
      </c>
      <c r="AD652">
        <v>0</v>
      </c>
      <c r="AE652">
        <v>0</v>
      </c>
      <c r="AF652">
        <v>0</v>
      </c>
      <c r="AG652">
        <v>0</v>
      </c>
      <c r="AH652" s="1">
        <v>0</v>
      </c>
      <c r="AI652">
        <v>650</v>
      </c>
      <c r="AJ652">
        <v>0</v>
      </c>
      <c r="AK652">
        <v>0</v>
      </c>
      <c r="AL652">
        <v>2</v>
      </c>
      <c r="AM652">
        <v>0</v>
      </c>
      <c r="AN652">
        <v>0</v>
      </c>
      <c r="AO652" s="1">
        <v>300</v>
      </c>
    </row>
    <row r="653" spans="7:41" x14ac:dyDescent="0.35">
      <c r="G653">
        <v>651</v>
      </c>
      <c r="H653">
        <v>0</v>
      </c>
      <c r="I653">
        <v>0</v>
      </c>
      <c r="J653">
        <v>1</v>
      </c>
      <c r="K653">
        <v>1</v>
      </c>
      <c r="L653">
        <v>0</v>
      </c>
      <c r="M653" s="1">
        <v>120</v>
      </c>
      <c r="N653">
        <v>651</v>
      </c>
      <c r="O653">
        <v>0</v>
      </c>
      <c r="P653">
        <v>1</v>
      </c>
      <c r="Q653">
        <v>0</v>
      </c>
      <c r="R653">
        <v>0</v>
      </c>
      <c r="S653">
        <v>0</v>
      </c>
      <c r="T653" s="1">
        <v>80</v>
      </c>
      <c r="U653">
        <v>651</v>
      </c>
      <c r="V653">
        <v>0</v>
      </c>
      <c r="W653">
        <v>2</v>
      </c>
      <c r="X653">
        <v>0</v>
      </c>
      <c r="Y653">
        <v>0</v>
      </c>
      <c r="Z653">
        <v>0</v>
      </c>
      <c r="AA653" s="1">
        <v>200</v>
      </c>
      <c r="AB653">
        <v>651</v>
      </c>
      <c r="AC653">
        <v>0</v>
      </c>
      <c r="AD653">
        <v>0</v>
      </c>
      <c r="AE653">
        <v>0</v>
      </c>
      <c r="AF653">
        <v>0</v>
      </c>
      <c r="AG653">
        <v>0</v>
      </c>
      <c r="AH653" s="1">
        <v>0</v>
      </c>
      <c r="AI653">
        <v>651</v>
      </c>
      <c r="AJ653">
        <v>0</v>
      </c>
      <c r="AK653">
        <v>0</v>
      </c>
      <c r="AL653">
        <v>0</v>
      </c>
      <c r="AM653">
        <v>0</v>
      </c>
      <c r="AN653">
        <v>0</v>
      </c>
      <c r="AO653" s="1">
        <v>0</v>
      </c>
    </row>
    <row r="654" spans="7:41" x14ac:dyDescent="0.35">
      <c r="G654">
        <v>652</v>
      </c>
      <c r="H654">
        <v>0</v>
      </c>
      <c r="I654">
        <v>0</v>
      </c>
      <c r="J654">
        <v>0</v>
      </c>
      <c r="K654">
        <v>2</v>
      </c>
      <c r="L654">
        <v>0</v>
      </c>
      <c r="M654" s="1">
        <v>120</v>
      </c>
      <c r="N654">
        <v>652</v>
      </c>
      <c r="O654">
        <v>0</v>
      </c>
      <c r="P654">
        <v>2</v>
      </c>
      <c r="Q654">
        <v>0</v>
      </c>
      <c r="R654">
        <v>3</v>
      </c>
      <c r="S654">
        <v>1</v>
      </c>
      <c r="T654" s="1">
        <v>480</v>
      </c>
      <c r="U654">
        <v>652</v>
      </c>
      <c r="V654">
        <v>1</v>
      </c>
      <c r="W654">
        <v>0</v>
      </c>
      <c r="X654">
        <v>0</v>
      </c>
      <c r="Y654">
        <v>0</v>
      </c>
      <c r="Z654">
        <v>0</v>
      </c>
      <c r="AA654" s="1">
        <v>100</v>
      </c>
      <c r="AB654">
        <v>652</v>
      </c>
      <c r="AC654">
        <v>0</v>
      </c>
      <c r="AD654">
        <v>1</v>
      </c>
      <c r="AE654">
        <v>0</v>
      </c>
      <c r="AF654">
        <v>0</v>
      </c>
      <c r="AG654">
        <v>0</v>
      </c>
      <c r="AH654" s="1">
        <v>120</v>
      </c>
      <c r="AI654">
        <v>652</v>
      </c>
      <c r="AJ654">
        <v>0</v>
      </c>
      <c r="AK654">
        <v>0</v>
      </c>
      <c r="AL654">
        <v>0</v>
      </c>
      <c r="AM654">
        <v>0</v>
      </c>
      <c r="AN654">
        <v>0</v>
      </c>
      <c r="AO654" s="1">
        <v>0</v>
      </c>
    </row>
    <row r="655" spans="7:41" x14ac:dyDescent="0.35">
      <c r="G655">
        <v>653</v>
      </c>
      <c r="H655">
        <v>1</v>
      </c>
      <c r="I655">
        <v>0</v>
      </c>
      <c r="J655">
        <v>1</v>
      </c>
      <c r="K655">
        <v>0</v>
      </c>
      <c r="L655">
        <v>0</v>
      </c>
      <c r="M655" s="1">
        <v>120</v>
      </c>
      <c r="N655">
        <v>653</v>
      </c>
      <c r="O655">
        <v>1</v>
      </c>
      <c r="P655">
        <v>1</v>
      </c>
      <c r="Q655">
        <v>0</v>
      </c>
      <c r="R655">
        <v>0</v>
      </c>
      <c r="S655">
        <v>0</v>
      </c>
      <c r="T655" s="1">
        <v>160</v>
      </c>
      <c r="U655">
        <v>653</v>
      </c>
      <c r="V655">
        <v>0</v>
      </c>
      <c r="W655">
        <v>0</v>
      </c>
      <c r="X655">
        <v>1</v>
      </c>
      <c r="Y655">
        <v>0</v>
      </c>
      <c r="Z655">
        <v>0</v>
      </c>
      <c r="AA655" s="1">
        <v>100</v>
      </c>
      <c r="AB655">
        <v>653</v>
      </c>
      <c r="AC655">
        <v>0</v>
      </c>
      <c r="AD655">
        <v>0</v>
      </c>
      <c r="AE655">
        <v>0</v>
      </c>
      <c r="AF655">
        <v>0</v>
      </c>
      <c r="AG655">
        <v>0</v>
      </c>
      <c r="AH655" s="1">
        <v>0</v>
      </c>
      <c r="AI655">
        <v>653</v>
      </c>
      <c r="AJ655">
        <v>0</v>
      </c>
      <c r="AK655">
        <v>0</v>
      </c>
      <c r="AL655">
        <v>3</v>
      </c>
      <c r="AM655">
        <v>0</v>
      </c>
      <c r="AN655">
        <v>0</v>
      </c>
      <c r="AO655" s="1">
        <v>450</v>
      </c>
    </row>
    <row r="656" spans="7:41" x14ac:dyDescent="0.35">
      <c r="G656">
        <v>654</v>
      </c>
      <c r="H656">
        <v>0</v>
      </c>
      <c r="I656">
        <v>0</v>
      </c>
      <c r="J656">
        <v>1</v>
      </c>
      <c r="K656">
        <v>4</v>
      </c>
      <c r="L656">
        <v>1</v>
      </c>
      <c r="M656" s="1">
        <v>360</v>
      </c>
      <c r="N656">
        <v>654</v>
      </c>
      <c r="O656">
        <v>1</v>
      </c>
      <c r="P656">
        <v>1</v>
      </c>
      <c r="Q656">
        <v>0</v>
      </c>
      <c r="R656">
        <v>0</v>
      </c>
      <c r="S656">
        <v>0</v>
      </c>
      <c r="T656" s="1">
        <v>160</v>
      </c>
      <c r="U656">
        <v>654</v>
      </c>
      <c r="V656">
        <v>0</v>
      </c>
      <c r="W656">
        <v>0</v>
      </c>
      <c r="X656">
        <v>0</v>
      </c>
      <c r="Y656">
        <v>0</v>
      </c>
      <c r="Z656">
        <v>1</v>
      </c>
      <c r="AA656" s="1">
        <v>100</v>
      </c>
      <c r="AB656">
        <v>654</v>
      </c>
      <c r="AC656">
        <v>0</v>
      </c>
      <c r="AD656">
        <v>0</v>
      </c>
      <c r="AE656">
        <v>0</v>
      </c>
      <c r="AF656">
        <v>0</v>
      </c>
      <c r="AG656">
        <v>0</v>
      </c>
      <c r="AH656" s="1">
        <v>0</v>
      </c>
      <c r="AI656">
        <v>654</v>
      </c>
      <c r="AJ656">
        <v>0</v>
      </c>
      <c r="AK656">
        <v>0</v>
      </c>
      <c r="AL656">
        <v>0</v>
      </c>
      <c r="AM656">
        <v>0</v>
      </c>
      <c r="AN656">
        <v>0</v>
      </c>
      <c r="AO656" s="1">
        <v>0</v>
      </c>
    </row>
    <row r="657" spans="7:41" x14ac:dyDescent="0.35">
      <c r="G657">
        <v>655</v>
      </c>
      <c r="H657">
        <v>0</v>
      </c>
      <c r="I657">
        <v>1</v>
      </c>
      <c r="J657">
        <v>0</v>
      </c>
      <c r="K657">
        <v>0</v>
      </c>
      <c r="L657">
        <v>1</v>
      </c>
      <c r="M657" s="1">
        <v>120</v>
      </c>
      <c r="N657">
        <v>655</v>
      </c>
      <c r="O657">
        <v>1</v>
      </c>
      <c r="P657">
        <v>0</v>
      </c>
      <c r="Q657">
        <v>0</v>
      </c>
      <c r="R657">
        <v>0</v>
      </c>
      <c r="S657">
        <v>0</v>
      </c>
      <c r="T657" s="1">
        <v>80</v>
      </c>
      <c r="U657">
        <v>655</v>
      </c>
      <c r="V657">
        <v>0</v>
      </c>
      <c r="W657">
        <v>1</v>
      </c>
      <c r="X657">
        <v>0</v>
      </c>
      <c r="Y657">
        <v>0</v>
      </c>
      <c r="Z657">
        <v>0</v>
      </c>
      <c r="AA657" s="1">
        <v>100</v>
      </c>
      <c r="AB657">
        <v>655</v>
      </c>
      <c r="AC657">
        <v>0</v>
      </c>
      <c r="AD657">
        <v>0</v>
      </c>
      <c r="AE657">
        <v>0</v>
      </c>
      <c r="AF657">
        <v>0</v>
      </c>
      <c r="AG657">
        <v>1</v>
      </c>
      <c r="AH657" s="1">
        <v>120</v>
      </c>
      <c r="AI657">
        <v>655</v>
      </c>
      <c r="AJ657">
        <v>0</v>
      </c>
      <c r="AK657">
        <v>0</v>
      </c>
      <c r="AL657">
        <v>0</v>
      </c>
      <c r="AM657">
        <v>0</v>
      </c>
      <c r="AN657">
        <v>0</v>
      </c>
      <c r="AO657" s="1">
        <v>0</v>
      </c>
    </row>
    <row r="658" spans="7:41" x14ac:dyDescent="0.35">
      <c r="G658">
        <v>656</v>
      </c>
      <c r="H658">
        <v>0</v>
      </c>
      <c r="I658">
        <v>1</v>
      </c>
      <c r="J658">
        <v>1</v>
      </c>
      <c r="K658">
        <v>3</v>
      </c>
      <c r="L658">
        <v>2</v>
      </c>
      <c r="M658" s="1">
        <v>420</v>
      </c>
      <c r="N658">
        <v>656</v>
      </c>
      <c r="O658">
        <v>0</v>
      </c>
      <c r="P658">
        <v>0</v>
      </c>
      <c r="Q658">
        <v>0</v>
      </c>
      <c r="R658">
        <v>1</v>
      </c>
      <c r="S658">
        <v>0</v>
      </c>
      <c r="T658" s="1">
        <v>80</v>
      </c>
      <c r="U658">
        <v>656</v>
      </c>
      <c r="V658">
        <v>0</v>
      </c>
      <c r="W658">
        <v>0</v>
      </c>
      <c r="X658">
        <v>0</v>
      </c>
      <c r="Y658">
        <v>1</v>
      </c>
      <c r="Z658">
        <v>0</v>
      </c>
      <c r="AA658" s="1">
        <v>100</v>
      </c>
      <c r="AB658">
        <v>656</v>
      </c>
      <c r="AC658">
        <v>0</v>
      </c>
      <c r="AD658">
        <v>0</v>
      </c>
      <c r="AE658">
        <v>0</v>
      </c>
      <c r="AF658">
        <v>0</v>
      </c>
      <c r="AG658">
        <v>0</v>
      </c>
      <c r="AH658" s="1">
        <v>0</v>
      </c>
      <c r="AI658">
        <v>656</v>
      </c>
      <c r="AJ658">
        <v>0</v>
      </c>
      <c r="AK658">
        <v>0</v>
      </c>
      <c r="AL658">
        <v>0</v>
      </c>
      <c r="AM658">
        <v>0</v>
      </c>
      <c r="AN658">
        <v>0</v>
      </c>
      <c r="AO658" s="1">
        <v>0</v>
      </c>
    </row>
    <row r="659" spans="7:41" x14ac:dyDescent="0.35">
      <c r="G659">
        <v>657</v>
      </c>
      <c r="H659">
        <v>2</v>
      </c>
      <c r="I659">
        <v>1</v>
      </c>
      <c r="J659">
        <v>2</v>
      </c>
      <c r="K659">
        <v>4</v>
      </c>
      <c r="L659">
        <v>0</v>
      </c>
      <c r="M659" s="1">
        <v>540</v>
      </c>
      <c r="N659">
        <v>657</v>
      </c>
      <c r="O659">
        <v>0</v>
      </c>
      <c r="P659">
        <v>0</v>
      </c>
      <c r="Q659">
        <v>0</v>
      </c>
      <c r="R659">
        <v>1</v>
      </c>
      <c r="S659">
        <v>1</v>
      </c>
      <c r="T659" s="1">
        <v>160</v>
      </c>
      <c r="U659">
        <v>657</v>
      </c>
      <c r="V659">
        <v>0</v>
      </c>
      <c r="W659">
        <v>0</v>
      </c>
      <c r="X659">
        <v>0</v>
      </c>
      <c r="Y659">
        <v>0</v>
      </c>
      <c r="Z659">
        <v>0</v>
      </c>
      <c r="AA659" s="1">
        <v>0</v>
      </c>
      <c r="AB659">
        <v>657</v>
      </c>
      <c r="AC659">
        <v>0</v>
      </c>
      <c r="AD659">
        <v>0</v>
      </c>
      <c r="AE659">
        <v>0</v>
      </c>
      <c r="AF659">
        <v>0</v>
      </c>
      <c r="AG659">
        <v>1</v>
      </c>
      <c r="AH659" s="1">
        <v>120</v>
      </c>
      <c r="AI659">
        <v>657</v>
      </c>
      <c r="AJ659">
        <v>0</v>
      </c>
      <c r="AK659">
        <v>0</v>
      </c>
      <c r="AL659">
        <v>0</v>
      </c>
      <c r="AM659">
        <v>0</v>
      </c>
      <c r="AN659">
        <v>0</v>
      </c>
      <c r="AO659" s="1">
        <v>0</v>
      </c>
    </row>
    <row r="660" spans="7:41" x14ac:dyDescent="0.35">
      <c r="G660">
        <v>658</v>
      </c>
      <c r="H660">
        <v>0</v>
      </c>
      <c r="I660">
        <v>1</v>
      </c>
      <c r="J660">
        <v>0</v>
      </c>
      <c r="K660">
        <v>2</v>
      </c>
      <c r="L660">
        <v>2</v>
      </c>
      <c r="M660" s="1">
        <v>300</v>
      </c>
      <c r="N660">
        <v>658</v>
      </c>
      <c r="O660">
        <v>0</v>
      </c>
      <c r="P660">
        <v>1</v>
      </c>
      <c r="Q660">
        <v>1</v>
      </c>
      <c r="R660">
        <v>0</v>
      </c>
      <c r="S660">
        <v>1</v>
      </c>
      <c r="T660" s="1">
        <v>240</v>
      </c>
      <c r="U660">
        <v>658</v>
      </c>
      <c r="V660">
        <v>0</v>
      </c>
      <c r="W660">
        <v>0</v>
      </c>
      <c r="X660">
        <v>0</v>
      </c>
      <c r="Y660">
        <v>0</v>
      </c>
      <c r="Z660">
        <v>0</v>
      </c>
      <c r="AA660" s="1">
        <v>0</v>
      </c>
      <c r="AB660">
        <v>658</v>
      </c>
      <c r="AC660">
        <v>0</v>
      </c>
      <c r="AD660">
        <v>0</v>
      </c>
      <c r="AE660">
        <v>0</v>
      </c>
      <c r="AF660">
        <v>1</v>
      </c>
      <c r="AG660">
        <v>0</v>
      </c>
      <c r="AH660" s="1">
        <v>120</v>
      </c>
      <c r="AI660">
        <v>658</v>
      </c>
      <c r="AJ660">
        <v>0</v>
      </c>
      <c r="AK660">
        <v>0</v>
      </c>
      <c r="AL660">
        <v>0</v>
      </c>
      <c r="AM660">
        <v>0</v>
      </c>
      <c r="AN660">
        <v>1</v>
      </c>
      <c r="AO660" s="1">
        <v>150</v>
      </c>
    </row>
    <row r="661" spans="7:41" x14ac:dyDescent="0.35">
      <c r="G661">
        <v>659</v>
      </c>
      <c r="H661">
        <v>1</v>
      </c>
      <c r="I661">
        <v>0</v>
      </c>
      <c r="J661">
        <v>2</v>
      </c>
      <c r="K661">
        <v>2</v>
      </c>
      <c r="L661">
        <v>2</v>
      </c>
      <c r="M661" s="1">
        <v>420</v>
      </c>
      <c r="N661">
        <v>659</v>
      </c>
      <c r="O661">
        <v>0</v>
      </c>
      <c r="P661">
        <v>0</v>
      </c>
      <c r="Q661">
        <v>0</v>
      </c>
      <c r="R661">
        <v>0</v>
      </c>
      <c r="S661">
        <v>0</v>
      </c>
      <c r="T661" s="1">
        <v>0</v>
      </c>
      <c r="U661">
        <v>659</v>
      </c>
      <c r="V661">
        <v>0</v>
      </c>
      <c r="W661">
        <v>1</v>
      </c>
      <c r="X661">
        <v>0</v>
      </c>
      <c r="Y661">
        <v>0</v>
      </c>
      <c r="Z661">
        <v>0</v>
      </c>
      <c r="AA661" s="1">
        <v>100</v>
      </c>
      <c r="AB661">
        <v>659</v>
      </c>
      <c r="AC661">
        <v>0</v>
      </c>
      <c r="AD661">
        <v>1</v>
      </c>
      <c r="AE661">
        <v>0</v>
      </c>
      <c r="AF661">
        <v>0</v>
      </c>
      <c r="AG661">
        <v>0</v>
      </c>
      <c r="AH661" s="1">
        <v>120</v>
      </c>
      <c r="AI661">
        <v>659</v>
      </c>
      <c r="AJ661">
        <v>0</v>
      </c>
      <c r="AK661">
        <v>0</v>
      </c>
      <c r="AL661">
        <v>0</v>
      </c>
      <c r="AM661">
        <v>0</v>
      </c>
      <c r="AN661">
        <v>0</v>
      </c>
      <c r="AO661" s="1">
        <v>0</v>
      </c>
    </row>
    <row r="662" spans="7:41" x14ac:dyDescent="0.35">
      <c r="G662">
        <v>660</v>
      </c>
      <c r="H662">
        <v>1</v>
      </c>
      <c r="I662">
        <v>0</v>
      </c>
      <c r="J662">
        <v>2</v>
      </c>
      <c r="K662">
        <v>2</v>
      </c>
      <c r="L662">
        <v>1</v>
      </c>
      <c r="M662" s="1">
        <v>360</v>
      </c>
      <c r="N662">
        <v>660</v>
      </c>
      <c r="O662">
        <v>1</v>
      </c>
      <c r="P662">
        <v>0</v>
      </c>
      <c r="Q662">
        <v>2</v>
      </c>
      <c r="R662">
        <v>0</v>
      </c>
      <c r="S662">
        <v>1</v>
      </c>
      <c r="T662" s="1">
        <v>320</v>
      </c>
      <c r="U662">
        <v>660</v>
      </c>
      <c r="V662">
        <v>0</v>
      </c>
      <c r="W662">
        <v>1</v>
      </c>
      <c r="X662">
        <v>0</v>
      </c>
      <c r="Y662">
        <v>0</v>
      </c>
      <c r="Z662">
        <v>0</v>
      </c>
      <c r="AA662" s="1">
        <v>100</v>
      </c>
      <c r="AB662">
        <v>660</v>
      </c>
      <c r="AC662">
        <v>0</v>
      </c>
      <c r="AD662">
        <v>0</v>
      </c>
      <c r="AE662">
        <v>0</v>
      </c>
      <c r="AF662">
        <v>0</v>
      </c>
      <c r="AG662">
        <v>0</v>
      </c>
      <c r="AH662" s="1">
        <v>0</v>
      </c>
      <c r="AI662">
        <v>660</v>
      </c>
      <c r="AJ662">
        <v>0</v>
      </c>
      <c r="AK662">
        <v>0</v>
      </c>
      <c r="AL662">
        <v>1</v>
      </c>
      <c r="AM662">
        <v>0</v>
      </c>
      <c r="AN662">
        <v>0</v>
      </c>
      <c r="AO662" s="1">
        <v>150</v>
      </c>
    </row>
    <row r="663" spans="7:41" x14ac:dyDescent="0.35">
      <c r="G663">
        <v>661</v>
      </c>
      <c r="H663">
        <v>1</v>
      </c>
      <c r="I663">
        <v>0</v>
      </c>
      <c r="J663">
        <v>3</v>
      </c>
      <c r="K663">
        <v>0</v>
      </c>
      <c r="L663">
        <v>0</v>
      </c>
      <c r="M663" s="1">
        <v>240</v>
      </c>
      <c r="N663">
        <v>661</v>
      </c>
      <c r="O663">
        <v>0</v>
      </c>
      <c r="P663">
        <v>0</v>
      </c>
      <c r="Q663">
        <v>0</v>
      </c>
      <c r="R663">
        <v>0</v>
      </c>
      <c r="S663">
        <v>0</v>
      </c>
      <c r="T663" s="1">
        <v>0</v>
      </c>
      <c r="U663">
        <v>661</v>
      </c>
      <c r="V663">
        <v>0</v>
      </c>
      <c r="W663">
        <v>0</v>
      </c>
      <c r="X663">
        <v>0</v>
      </c>
      <c r="Y663">
        <v>0</v>
      </c>
      <c r="Z663">
        <v>0</v>
      </c>
      <c r="AA663" s="1">
        <v>0</v>
      </c>
      <c r="AB663">
        <v>661</v>
      </c>
      <c r="AC663">
        <v>0</v>
      </c>
      <c r="AD663">
        <v>1</v>
      </c>
      <c r="AE663">
        <v>0</v>
      </c>
      <c r="AF663">
        <v>0</v>
      </c>
      <c r="AG663">
        <v>1</v>
      </c>
      <c r="AH663" s="1">
        <v>240</v>
      </c>
      <c r="AI663">
        <v>661</v>
      </c>
      <c r="AJ663">
        <v>0</v>
      </c>
      <c r="AK663">
        <v>0</v>
      </c>
      <c r="AL663">
        <v>0</v>
      </c>
      <c r="AM663">
        <v>0</v>
      </c>
      <c r="AN663">
        <v>0</v>
      </c>
      <c r="AO663" s="1">
        <v>0</v>
      </c>
    </row>
    <row r="664" spans="7:41" x14ac:dyDescent="0.35">
      <c r="G664">
        <v>662</v>
      </c>
      <c r="H664">
        <v>0</v>
      </c>
      <c r="I664">
        <v>0</v>
      </c>
      <c r="J664">
        <v>3</v>
      </c>
      <c r="K664">
        <v>1</v>
      </c>
      <c r="L664">
        <v>0</v>
      </c>
      <c r="M664" s="1">
        <v>240</v>
      </c>
      <c r="N664">
        <v>662</v>
      </c>
      <c r="O664">
        <v>0</v>
      </c>
      <c r="P664">
        <v>0</v>
      </c>
      <c r="Q664">
        <v>2</v>
      </c>
      <c r="R664">
        <v>0</v>
      </c>
      <c r="S664">
        <v>0</v>
      </c>
      <c r="T664" s="1">
        <v>160</v>
      </c>
      <c r="U664">
        <v>662</v>
      </c>
      <c r="V664">
        <v>0</v>
      </c>
      <c r="W664">
        <v>0</v>
      </c>
      <c r="X664">
        <v>0</v>
      </c>
      <c r="Y664">
        <v>0</v>
      </c>
      <c r="Z664">
        <v>0</v>
      </c>
      <c r="AA664" s="1">
        <v>0</v>
      </c>
      <c r="AB664">
        <v>662</v>
      </c>
      <c r="AC664">
        <v>0</v>
      </c>
      <c r="AD664">
        <v>1</v>
      </c>
      <c r="AE664">
        <v>0</v>
      </c>
      <c r="AF664">
        <v>0</v>
      </c>
      <c r="AG664">
        <v>0</v>
      </c>
      <c r="AH664" s="1">
        <v>120</v>
      </c>
      <c r="AI664">
        <v>662</v>
      </c>
      <c r="AJ664">
        <v>0</v>
      </c>
      <c r="AK664">
        <v>0</v>
      </c>
      <c r="AL664">
        <v>1</v>
      </c>
      <c r="AM664">
        <v>0</v>
      </c>
      <c r="AN664">
        <v>0</v>
      </c>
      <c r="AO664" s="1">
        <v>150</v>
      </c>
    </row>
    <row r="665" spans="7:41" x14ac:dyDescent="0.35">
      <c r="G665">
        <v>663</v>
      </c>
      <c r="H665">
        <v>0</v>
      </c>
      <c r="I665">
        <v>0</v>
      </c>
      <c r="J665">
        <v>1</v>
      </c>
      <c r="K665">
        <v>0</v>
      </c>
      <c r="L665">
        <v>2</v>
      </c>
      <c r="M665" s="1">
        <v>180</v>
      </c>
      <c r="N665">
        <v>663</v>
      </c>
      <c r="O665">
        <v>1</v>
      </c>
      <c r="P665">
        <v>0</v>
      </c>
      <c r="Q665">
        <v>1</v>
      </c>
      <c r="R665">
        <v>0</v>
      </c>
      <c r="S665">
        <v>0</v>
      </c>
      <c r="T665" s="1">
        <v>160</v>
      </c>
      <c r="U665">
        <v>663</v>
      </c>
      <c r="V665">
        <v>0</v>
      </c>
      <c r="W665">
        <v>0</v>
      </c>
      <c r="X665">
        <v>0</v>
      </c>
      <c r="Y665">
        <v>0</v>
      </c>
      <c r="Z665">
        <v>0</v>
      </c>
      <c r="AA665" s="1">
        <v>0</v>
      </c>
      <c r="AB665">
        <v>663</v>
      </c>
      <c r="AC665">
        <v>0</v>
      </c>
      <c r="AD665">
        <v>0</v>
      </c>
      <c r="AE665">
        <v>0</v>
      </c>
      <c r="AF665">
        <v>0</v>
      </c>
      <c r="AG665">
        <v>0</v>
      </c>
      <c r="AH665" s="1">
        <v>0</v>
      </c>
      <c r="AI665">
        <v>663</v>
      </c>
      <c r="AJ665">
        <v>0</v>
      </c>
      <c r="AK665">
        <v>0</v>
      </c>
      <c r="AL665">
        <v>1</v>
      </c>
      <c r="AM665">
        <v>0</v>
      </c>
      <c r="AN665">
        <v>0</v>
      </c>
      <c r="AO665" s="1">
        <v>150</v>
      </c>
    </row>
    <row r="666" spans="7:41" x14ac:dyDescent="0.35">
      <c r="G666">
        <v>664</v>
      </c>
      <c r="H666">
        <v>1</v>
      </c>
      <c r="I666">
        <v>1</v>
      </c>
      <c r="J666">
        <v>1</v>
      </c>
      <c r="K666">
        <v>1</v>
      </c>
      <c r="L666">
        <v>1</v>
      </c>
      <c r="M666" s="1">
        <v>300</v>
      </c>
      <c r="N666">
        <v>664</v>
      </c>
      <c r="O666">
        <v>1</v>
      </c>
      <c r="P666">
        <v>0</v>
      </c>
      <c r="Q666">
        <v>0</v>
      </c>
      <c r="R666">
        <v>0</v>
      </c>
      <c r="S666">
        <v>0</v>
      </c>
      <c r="T666" s="1">
        <v>80</v>
      </c>
      <c r="U666">
        <v>664</v>
      </c>
      <c r="V666">
        <v>0</v>
      </c>
      <c r="W666">
        <v>0</v>
      </c>
      <c r="X666">
        <v>0</v>
      </c>
      <c r="Y666">
        <v>0</v>
      </c>
      <c r="Z666">
        <v>0</v>
      </c>
      <c r="AA666" s="1">
        <v>0</v>
      </c>
      <c r="AB666">
        <v>664</v>
      </c>
      <c r="AC666">
        <v>0</v>
      </c>
      <c r="AD666">
        <v>0</v>
      </c>
      <c r="AE666">
        <v>0</v>
      </c>
      <c r="AF666">
        <v>0</v>
      </c>
      <c r="AG666">
        <v>0</v>
      </c>
      <c r="AH666" s="1">
        <v>0</v>
      </c>
      <c r="AI666">
        <v>664</v>
      </c>
      <c r="AJ666">
        <v>0</v>
      </c>
      <c r="AK666">
        <v>0</v>
      </c>
      <c r="AL666">
        <v>2</v>
      </c>
      <c r="AM666">
        <v>0</v>
      </c>
      <c r="AN666">
        <v>0</v>
      </c>
      <c r="AO666" s="1">
        <v>300</v>
      </c>
    </row>
    <row r="667" spans="7:41" x14ac:dyDescent="0.35">
      <c r="G667">
        <v>665</v>
      </c>
      <c r="H667">
        <v>1</v>
      </c>
      <c r="I667">
        <v>0</v>
      </c>
      <c r="J667">
        <v>3</v>
      </c>
      <c r="K667">
        <v>3</v>
      </c>
      <c r="L667">
        <v>1</v>
      </c>
      <c r="M667" s="1">
        <v>480</v>
      </c>
      <c r="N667">
        <v>665</v>
      </c>
      <c r="O667">
        <v>0</v>
      </c>
      <c r="P667">
        <v>2</v>
      </c>
      <c r="Q667">
        <v>1</v>
      </c>
      <c r="R667">
        <v>1</v>
      </c>
      <c r="S667">
        <v>0</v>
      </c>
      <c r="T667" s="1">
        <v>320</v>
      </c>
      <c r="U667">
        <v>665</v>
      </c>
      <c r="V667">
        <v>0</v>
      </c>
      <c r="W667">
        <v>0</v>
      </c>
      <c r="X667">
        <v>0</v>
      </c>
      <c r="Y667">
        <v>0</v>
      </c>
      <c r="Z667">
        <v>0</v>
      </c>
      <c r="AA667" s="1">
        <v>0</v>
      </c>
      <c r="AB667">
        <v>665</v>
      </c>
      <c r="AC667">
        <v>0</v>
      </c>
      <c r="AD667">
        <v>0</v>
      </c>
      <c r="AE667">
        <v>0</v>
      </c>
      <c r="AF667">
        <v>0</v>
      </c>
      <c r="AG667">
        <v>0</v>
      </c>
      <c r="AH667" s="1">
        <v>0</v>
      </c>
      <c r="AI667">
        <v>665</v>
      </c>
      <c r="AJ667">
        <v>0</v>
      </c>
      <c r="AK667">
        <v>0</v>
      </c>
      <c r="AL667">
        <v>1</v>
      </c>
      <c r="AM667">
        <v>0</v>
      </c>
      <c r="AN667">
        <v>0</v>
      </c>
      <c r="AO667" s="1">
        <v>150</v>
      </c>
    </row>
    <row r="668" spans="7:41" x14ac:dyDescent="0.35">
      <c r="G668">
        <v>666</v>
      </c>
      <c r="H668">
        <v>2</v>
      </c>
      <c r="I668">
        <v>0</v>
      </c>
      <c r="J668">
        <v>0</v>
      </c>
      <c r="K668">
        <v>0</v>
      </c>
      <c r="L668">
        <v>0</v>
      </c>
      <c r="M668" s="1">
        <v>120</v>
      </c>
      <c r="N668">
        <v>666</v>
      </c>
      <c r="O668">
        <v>0</v>
      </c>
      <c r="P668">
        <v>0</v>
      </c>
      <c r="Q668">
        <v>0</v>
      </c>
      <c r="R668">
        <v>0</v>
      </c>
      <c r="S668">
        <v>0</v>
      </c>
      <c r="T668" s="1">
        <v>0</v>
      </c>
      <c r="U668">
        <v>666</v>
      </c>
      <c r="V668">
        <v>0</v>
      </c>
      <c r="W668">
        <v>0</v>
      </c>
      <c r="X668">
        <v>1</v>
      </c>
      <c r="Y668">
        <v>0</v>
      </c>
      <c r="Z668">
        <v>0</v>
      </c>
      <c r="AA668" s="1">
        <v>100</v>
      </c>
      <c r="AB668">
        <v>666</v>
      </c>
      <c r="AC668">
        <v>0</v>
      </c>
      <c r="AD668">
        <v>0</v>
      </c>
      <c r="AE668">
        <v>0</v>
      </c>
      <c r="AF668">
        <v>0</v>
      </c>
      <c r="AG668">
        <v>0</v>
      </c>
      <c r="AH668" s="1">
        <v>0</v>
      </c>
      <c r="AI668">
        <v>666</v>
      </c>
      <c r="AJ668">
        <v>0</v>
      </c>
      <c r="AK668">
        <v>0</v>
      </c>
      <c r="AL668">
        <v>2</v>
      </c>
      <c r="AM668">
        <v>0</v>
      </c>
      <c r="AN668">
        <v>0</v>
      </c>
      <c r="AO668" s="1">
        <v>300</v>
      </c>
    </row>
    <row r="669" spans="7:41" x14ac:dyDescent="0.35">
      <c r="G669">
        <v>667</v>
      </c>
      <c r="H669">
        <v>1</v>
      </c>
      <c r="I669">
        <v>1</v>
      </c>
      <c r="J669">
        <v>3</v>
      </c>
      <c r="K669">
        <v>0</v>
      </c>
      <c r="L669">
        <v>0</v>
      </c>
      <c r="M669" s="1">
        <v>300</v>
      </c>
      <c r="N669">
        <v>667</v>
      </c>
      <c r="O669">
        <v>0</v>
      </c>
      <c r="P669">
        <v>0</v>
      </c>
      <c r="Q669">
        <v>1</v>
      </c>
      <c r="R669">
        <v>0</v>
      </c>
      <c r="S669">
        <v>1</v>
      </c>
      <c r="T669" s="1">
        <v>160</v>
      </c>
      <c r="U669">
        <v>667</v>
      </c>
      <c r="V669">
        <v>0</v>
      </c>
      <c r="W669">
        <v>0</v>
      </c>
      <c r="X669">
        <v>0</v>
      </c>
      <c r="Y669">
        <v>0</v>
      </c>
      <c r="Z669">
        <v>0</v>
      </c>
      <c r="AA669" s="1">
        <v>0</v>
      </c>
      <c r="AB669">
        <v>667</v>
      </c>
      <c r="AC669">
        <v>0</v>
      </c>
      <c r="AD669">
        <v>0</v>
      </c>
      <c r="AE669">
        <v>0</v>
      </c>
      <c r="AF669">
        <v>0</v>
      </c>
      <c r="AG669">
        <v>0</v>
      </c>
      <c r="AH669" s="1">
        <v>0</v>
      </c>
      <c r="AI669">
        <v>667</v>
      </c>
      <c r="AJ669">
        <v>0</v>
      </c>
      <c r="AK669">
        <v>0</v>
      </c>
      <c r="AL669">
        <v>0</v>
      </c>
      <c r="AM669">
        <v>0</v>
      </c>
      <c r="AN669">
        <v>0</v>
      </c>
      <c r="AO669" s="1">
        <v>0</v>
      </c>
    </row>
    <row r="670" spans="7:41" x14ac:dyDescent="0.35">
      <c r="G670">
        <v>668</v>
      </c>
      <c r="H670">
        <v>0</v>
      </c>
      <c r="I670">
        <v>0</v>
      </c>
      <c r="J670">
        <v>0</v>
      </c>
      <c r="K670">
        <v>1</v>
      </c>
      <c r="L670">
        <v>0</v>
      </c>
      <c r="M670" s="1">
        <v>60</v>
      </c>
      <c r="N670">
        <v>668</v>
      </c>
      <c r="O670">
        <v>1</v>
      </c>
      <c r="P670">
        <v>2</v>
      </c>
      <c r="Q670">
        <v>0</v>
      </c>
      <c r="R670">
        <v>0</v>
      </c>
      <c r="S670">
        <v>0</v>
      </c>
      <c r="T670" s="1">
        <v>240</v>
      </c>
      <c r="U670">
        <v>668</v>
      </c>
      <c r="V670">
        <v>0</v>
      </c>
      <c r="W670">
        <v>0</v>
      </c>
      <c r="X670">
        <v>0</v>
      </c>
      <c r="Y670">
        <v>0</v>
      </c>
      <c r="Z670">
        <v>0</v>
      </c>
      <c r="AA670" s="1">
        <v>0</v>
      </c>
      <c r="AB670">
        <v>668</v>
      </c>
      <c r="AC670">
        <v>1</v>
      </c>
      <c r="AD670">
        <v>0</v>
      </c>
      <c r="AE670">
        <v>0</v>
      </c>
      <c r="AF670">
        <v>0</v>
      </c>
      <c r="AG670">
        <v>0</v>
      </c>
      <c r="AH670" s="1">
        <v>120</v>
      </c>
      <c r="AI670">
        <v>668</v>
      </c>
      <c r="AJ670">
        <v>0</v>
      </c>
      <c r="AK670">
        <v>0</v>
      </c>
      <c r="AL670">
        <v>0</v>
      </c>
      <c r="AM670">
        <v>0</v>
      </c>
      <c r="AN670">
        <v>0</v>
      </c>
      <c r="AO670" s="1">
        <v>0</v>
      </c>
    </row>
    <row r="671" spans="7:41" x14ac:dyDescent="0.35">
      <c r="G671">
        <v>669</v>
      </c>
      <c r="H671">
        <v>0</v>
      </c>
      <c r="I671">
        <v>1</v>
      </c>
      <c r="J671">
        <v>1</v>
      </c>
      <c r="K671">
        <v>4</v>
      </c>
      <c r="L671">
        <v>0</v>
      </c>
      <c r="M671" s="1">
        <v>360</v>
      </c>
      <c r="N671">
        <v>669</v>
      </c>
      <c r="O671">
        <v>0</v>
      </c>
      <c r="P671">
        <v>0</v>
      </c>
      <c r="Q671">
        <v>0</v>
      </c>
      <c r="R671">
        <v>0</v>
      </c>
      <c r="S671">
        <v>0</v>
      </c>
      <c r="T671" s="1">
        <v>0</v>
      </c>
      <c r="U671">
        <v>669</v>
      </c>
      <c r="V671">
        <v>0</v>
      </c>
      <c r="W671">
        <v>2</v>
      </c>
      <c r="X671">
        <v>0</v>
      </c>
      <c r="Y671">
        <v>0</v>
      </c>
      <c r="Z671">
        <v>0</v>
      </c>
      <c r="AA671" s="1">
        <v>200</v>
      </c>
      <c r="AB671">
        <v>669</v>
      </c>
      <c r="AC671">
        <v>0</v>
      </c>
      <c r="AD671">
        <v>0</v>
      </c>
      <c r="AE671">
        <v>0</v>
      </c>
      <c r="AF671">
        <v>0</v>
      </c>
      <c r="AG671">
        <v>0</v>
      </c>
      <c r="AH671" s="1">
        <v>0</v>
      </c>
      <c r="AI671">
        <v>669</v>
      </c>
      <c r="AJ671">
        <v>0</v>
      </c>
      <c r="AK671">
        <v>0</v>
      </c>
      <c r="AL671">
        <v>2</v>
      </c>
      <c r="AM671">
        <v>0</v>
      </c>
      <c r="AN671">
        <v>0</v>
      </c>
      <c r="AO671" s="1">
        <v>300</v>
      </c>
    </row>
    <row r="672" spans="7:41" x14ac:dyDescent="0.35">
      <c r="G672">
        <v>670</v>
      </c>
      <c r="H672">
        <v>1</v>
      </c>
      <c r="I672">
        <v>0</v>
      </c>
      <c r="J672">
        <v>1</v>
      </c>
      <c r="K672">
        <v>2</v>
      </c>
      <c r="L672">
        <v>2</v>
      </c>
      <c r="M672" s="1">
        <v>360</v>
      </c>
      <c r="N672">
        <v>670</v>
      </c>
      <c r="O672">
        <v>0</v>
      </c>
      <c r="P672">
        <v>0</v>
      </c>
      <c r="Q672">
        <v>0</v>
      </c>
      <c r="R672">
        <v>1</v>
      </c>
      <c r="S672">
        <v>0</v>
      </c>
      <c r="T672" s="1">
        <v>80</v>
      </c>
      <c r="U672">
        <v>670</v>
      </c>
      <c r="V672">
        <v>0</v>
      </c>
      <c r="W672">
        <v>0</v>
      </c>
      <c r="X672">
        <v>0</v>
      </c>
      <c r="Y672">
        <v>0</v>
      </c>
      <c r="Z672">
        <v>0</v>
      </c>
      <c r="AA672" s="1">
        <v>0</v>
      </c>
      <c r="AB672">
        <v>670</v>
      </c>
      <c r="AC672">
        <v>0</v>
      </c>
      <c r="AD672">
        <v>0</v>
      </c>
      <c r="AE672">
        <v>0</v>
      </c>
      <c r="AF672">
        <v>0</v>
      </c>
      <c r="AG672">
        <v>0</v>
      </c>
      <c r="AH672" s="1">
        <v>0</v>
      </c>
      <c r="AI672">
        <v>670</v>
      </c>
      <c r="AJ672">
        <v>0</v>
      </c>
      <c r="AK672">
        <v>0</v>
      </c>
      <c r="AL672">
        <v>0</v>
      </c>
      <c r="AM672">
        <v>0</v>
      </c>
      <c r="AN672">
        <v>0</v>
      </c>
      <c r="AO672" s="1">
        <v>0</v>
      </c>
    </row>
    <row r="673" spans="7:41" x14ac:dyDescent="0.35">
      <c r="G673">
        <v>671</v>
      </c>
      <c r="H673">
        <v>0</v>
      </c>
      <c r="I673">
        <v>2</v>
      </c>
      <c r="J673">
        <v>0</v>
      </c>
      <c r="K673">
        <v>4</v>
      </c>
      <c r="L673">
        <v>0</v>
      </c>
      <c r="M673" s="1">
        <v>360</v>
      </c>
      <c r="N673">
        <v>671</v>
      </c>
      <c r="O673">
        <v>1</v>
      </c>
      <c r="P673">
        <v>1</v>
      </c>
      <c r="Q673">
        <v>0</v>
      </c>
      <c r="R673">
        <v>1</v>
      </c>
      <c r="S673">
        <v>0</v>
      </c>
      <c r="T673" s="1">
        <v>240</v>
      </c>
      <c r="U673">
        <v>671</v>
      </c>
      <c r="V673">
        <v>0</v>
      </c>
      <c r="W673">
        <v>0</v>
      </c>
      <c r="X673">
        <v>0</v>
      </c>
      <c r="Y673">
        <v>0</v>
      </c>
      <c r="Z673">
        <v>0</v>
      </c>
      <c r="AA673" s="1">
        <v>0</v>
      </c>
      <c r="AB673">
        <v>671</v>
      </c>
      <c r="AC673">
        <v>0</v>
      </c>
      <c r="AD673">
        <v>0</v>
      </c>
      <c r="AE673">
        <v>0</v>
      </c>
      <c r="AF673">
        <v>0</v>
      </c>
      <c r="AG673">
        <v>0</v>
      </c>
      <c r="AH673" s="1">
        <v>0</v>
      </c>
      <c r="AI673">
        <v>671</v>
      </c>
      <c r="AJ673">
        <v>0</v>
      </c>
      <c r="AK673">
        <v>0</v>
      </c>
      <c r="AL673">
        <v>0</v>
      </c>
      <c r="AM673">
        <v>0</v>
      </c>
      <c r="AN673">
        <v>0</v>
      </c>
      <c r="AO673" s="1">
        <v>0</v>
      </c>
    </row>
    <row r="674" spans="7:41" x14ac:dyDescent="0.35">
      <c r="G674">
        <v>672</v>
      </c>
      <c r="H674">
        <v>1</v>
      </c>
      <c r="I674">
        <v>0</v>
      </c>
      <c r="J674">
        <v>0</v>
      </c>
      <c r="K674">
        <v>1</v>
      </c>
      <c r="L674">
        <v>1</v>
      </c>
      <c r="M674" s="1">
        <v>180</v>
      </c>
      <c r="N674">
        <v>672</v>
      </c>
      <c r="O674">
        <v>0</v>
      </c>
      <c r="P674">
        <v>0</v>
      </c>
      <c r="Q674">
        <v>0</v>
      </c>
      <c r="R674">
        <v>0</v>
      </c>
      <c r="S674">
        <v>0</v>
      </c>
      <c r="T674" s="1">
        <v>0</v>
      </c>
      <c r="U674">
        <v>672</v>
      </c>
      <c r="V674">
        <v>0</v>
      </c>
      <c r="W674">
        <v>1</v>
      </c>
      <c r="X674">
        <v>1</v>
      </c>
      <c r="Y674">
        <v>1</v>
      </c>
      <c r="Z674">
        <v>0</v>
      </c>
      <c r="AA674" s="1">
        <v>300</v>
      </c>
      <c r="AB674">
        <v>672</v>
      </c>
      <c r="AC674">
        <v>0</v>
      </c>
      <c r="AD674">
        <v>0</v>
      </c>
      <c r="AE674">
        <v>0</v>
      </c>
      <c r="AF674">
        <v>0</v>
      </c>
      <c r="AG674">
        <v>0</v>
      </c>
      <c r="AH674" s="1">
        <v>0</v>
      </c>
      <c r="AI674">
        <v>672</v>
      </c>
      <c r="AJ674">
        <v>0</v>
      </c>
      <c r="AK674">
        <v>0</v>
      </c>
      <c r="AL674">
        <v>0</v>
      </c>
      <c r="AM674">
        <v>0</v>
      </c>
      <c r="AN674">
        <v>0</v>
      </c>
      <c r="AO674" s="1">
        <v>0</v>
      </c>
    </row>
    <row r="675" spans="7:41" x14ac:dyDescent="0.35">
      <c r="G675">
        <v>673</v>
      </c>
      <c r="H675">
        <v>0</v>
      </c>
      <c r="I675">
        <v>0</v>
      </c>
      <c r="J675">
        <v>1</v>
      </c>
      <c r="K675">
        <v>2</v>
      </c>
      <c r="L675">
        <v>0</v>
      </c>
      <c r="M675" s="1">
        <v>180</v>
      </c>
      <c r="N675">
        <v>673</v>
      </c>
      <c r="O675">
        <v>0</v>
      </c>
      <c r="P675">
        <v>1</v>
      </c>
      <c r="Q675">
        <v>0</v>
      </c>
      <c r="R675">
        <v>0</v>
      </c>
      <c r="S675">
        <v>0</v>
      </c>
      <c r="T675" s="1">
        <v>80</v>
      </c>
      <c r="U675">
        <v>673</v>
      </c>
      <c r="V675">
        <v>0</v>
      </c>
      <c r="W675">
        <v>0</v>
      </c>
      <c r="X675">
        <v>0</v>
      </c>
      <c r="Y675">
        <v>0</v>
      </c>
      <c r="Z675">
        <v>0</v>
      </c>
      <c r="AA675" s="1">
        <v>0</v>
      </c>
      <c r="AB675">
        <v>673</v>
      </c>
      <c r="AC675">
        <v>0</v>
      </c>
      <c r="AD675">
        <v>0</v>
      </c>
      <c r="AE675">
        <v>0</v>
      </c>
      <c r="AF675">
        <v>0</v>
      </c>
      <c r="AG675">
        <v>1</v>
      </c>
      <c r="AH675" s="1">
        <v>120</v>
      </c>
      <c r="AI675">
        <v>673</v>
      </c>
      <c r="AJ675">
        <v>0</v>
      </c>
      <c r="AK675">
        <v>0</v>
      </c>
      <c r="AL675">
        <v>0</v>
      </c>
      <c r="AM675">
        <v>0</v>
      </c>
      <c r="AN675">
        <v>0</v>
      </c>
      <c r="AO675" s="1">
        <v>0</v>
      </c>
    </row>
    <row r="676" spans="7:41" x14ac:dyDescent="0.35">
      <c r="G676">
        <v>674</v>
      </c>
      <c r="H676">
        <v>0</v>
      </c>
      <c r="I676">
        <v>0</v>
      </c>
      <c r="J676">
        <v>2</v>
      </c>
      <c r="K676">
        <v>4</v>
      </c>
      <c r="L676">
        <v>0</v>
      </c>
      <c r="M676" s="1">
        <v>360</v>
      </c>
      <c r="N676">
        <v>674</v>
      </c>
      <c r="O676">
        <v>2</v>
      </c>
      <c r="P676">
        <v>0</v>
      </c>
      <c r="Q676">
        <v>0</v>
      </c>
      <c r="R676">
        <v>0</v>
      </c>
      <c r="S676">
        <v>0</v>
      </c>
      <c r="T676" s="1">
        <v>160</v>
      </c>
      <c r="U676">
        <v>674</v>
      </c>
      <c r="V676">
        <v>0</v>
      </c>
      <c r="W676">
        <v>0</v>
      </c>
      <c r="X676">
        <v>0</v>
      </c>
      <c r="Y676">
        <v>0</v>
      </c>
      <c r="Z676">
        <v>0</v>
      </c>
      <c r="AA676" s="1">
        <v>0</v>
      </c>
      <c r="AB676">
        <v>674</v>
      </c>
      <c r="AC676">
        <v>0</v>
      </c>
      <c r="AD676">
        <v>0</v>
      </c>
      <c r="AE676">
        <v>0</v>
      </c>
      <c r="AF676">
        <v>1</v>
      </c>
      <c r="AG676">
        <v>0</v>
      </c>
      <c r="AH676" s="1">
        <v>120</v>
      </c>
      <c r="AI676">
        <v>674</v>
      </c>
      <c r="AJ676">
        <v>0</v>
      </c>
      <c r="AK676">
        <v>0</v>
      </c>
      <c r="AL676">
        <v>0</v>
      </c>
      <c r="AM676">
        <v>0</v>
      </c>
      <c r="AN676">
        <v>0</v>
      </c>
      <c r="AO676" s="1">
        <v>0</v>
      </c>
    </row>
    <row r="677" spans="7:41" x14ac:dyDescent="0.35">
      <c r="G677">
        <v>675</v>
      </c>
      <c r="H677">
        <v>0</v>
      </c>
      <c r="I677">
        <v>0</v>
      </c>
      <c r="J677">
        <v>1</v>
      </c>
      <c r="K677">
        <v>0</v>
      </c>
      <c r="L677">
        <v>1</v>
      </c>
      <c r="M677" s="1">
        <v>120</v>
      </c>
      <c r="N677">
        <v>675</v>
      </c>
      <c r="O677">
        <v>0</v>
      </c>
      <c r="P677">
        <v>0</v>
      </c>
      <c r="Q677">
        <v>3</v>
      </c>
      <c r="R677">
        <v>0</v>
      </c>
      <c r="S677">
        <v>0</v>
      </c>
      <c r="T677" s="1">
        <v>240</v>
      </c>
      <c r="U677">
        <v>675</v>
      </c>
      <c r="V677">
        <v>1</v>
      </c>
      <c r="W677">
        <v>0</v>
      </c>
      <c r="X677">
        <v>0</v>
      </c>
      <c r="Y677">
        <v>0</v>
      </c>
      <c r="Z677">
        <v>0</v>
      </c>
      <c r="AA677" s="1">
        <v>100</v>
      </c>
      <c r="AB677">
        <v>675</v>
      </c>
      <c r="AC677">
        <v>0</v>
      </c>
      <c r="AD677">
        <v>0</v>
      </c>
      <c r="AE677">
        <v>1</v>
      </c>
      <c r="AF677">
        <v>0</v>
      </c>
      <c r="AG677">
        <v>0</v>
      </c>
      <c r="AH677" s="1">
        <v>120</v>
      </c>
      <c r="AI677">
        <v>675</v>
      </c>
      <c r="AJ677">
        <v>0</v>
      </c>
      <c r="AK677">
        <v>0</v>
      </c>
      <c r="AL677">
        <v>0</v>
      </c>
      <c r="AM677">
        <v>0</v>
      </c>
      <c r="AN677">
        <v>0</v>
      </c>
      <c r="AO677" s="1">
        <v>0</v>
      </c>
    </row>
    <row r="678" spans="7:41" x14ac:dyDescent="0.35">
      <c r="G678">
        <v>676</v>
      </c>
      <c r="H678">
        <v>1</v>
      </c>
      <c r="I678">
        <v>1</v>
      </c>
      <c r="J678">
        <v>0</v>
      </c>
      <c r="K678">
        <v>0</v>
      </c>
      <c r="L678">
        <v>0</v>
      </c>
      <c r="M678" s="1">
        <v>120</v>
      </c>
      <c r="N678">
        <v>676</v>
      </c>
      <c r="O678">
        <v>0</v>
      </c>
      <c r="P678">
        <v>1</v>
      </c>
      <c r="Q678">
        <v>2</v>
      </c>
      <c r="R678">
        <v>0</v>
      </c>
      <c r="S678">
        <v>0</v>
      </c>
      <c r="T678" s="1">
        <v>240</v>
      </c>
      <c r="U678">
        <v>676</v>
      </c>
      <c r="V678">
        <v>0</v>
      </c>
      <c r="W678">
        <v>0</v>
      </c>
      <c r="X678">
        <v>1</v>
      </c>
      <c r="Y678">
        <v>0</v>
      </c>
      <c r="Z678">
        <v>0</v>
      </c>
      <c r="AA678" s="1">
        <v>100</v>
      </c>
      <c r="AB678">
        <v>676</v>
      </c>
      <c r="AC678">
        <v>0</v>
      </c>
      <c r="AD678">
        <v>0</v>
      </c>
      <c r="AE678">
        <v>0</v>
      </c>
      <c r="AF678">
        <v>0</v>
      </c>
      <c r="AG678">
        <v>0</v>
      </c>
      <c r="AH678" s="1">
        <v>0</v>
      </c>
      <c r="AI678">
        <v>676</v>
      </c>
      <c r="AJ678">
        <v>0</v>
      </c>
      <c r="AK678">
        <v>0</v>
      </c>
      <c r="AL678">
        <v>0</v>
      </c>
      <c r="AM678">
        <v>0</v>
      </c>
      <c r="AN678">
        <v>0</v>
      </c>
      <c r="AO678" s="1">
        <v>0</v>
      </c>
    </row>
    <row r="679" spans="7:41" x14ac:dyDescent="0.35">
      <c r="G679">
        <v>677</v>
      </c>
      <c r="H679">
        <v>2</v>
      </c>
      <c r="I679">
        <v>0</v>
      </c>
      <c r="J679">
        <v>1</v>
      </c>
      <c r="K679">
        <v>1</v>
      </c>
      <c r="L679">
        <v>1</v>
      </c>
      <c r="M679" s="1">
        <v>300</v>
      </c>
      <c r="N679">
        <v>677</v>
      </c>
      <c r="O679">
        <v>0</v>
      </c>
      <c r="P679">
        <v>0</v>
      </c>
      <c r="Q679">
        <v>0</v>
      </c>
      <c r="R679">
        <v>1</v>
      </c>
      <c r="S679">
        <v>0</v>
      </c>
      <c r="T679" s="1">
        <v>80</v>
      </c>
      <c r="U679">
        <v>677</v>
      </c>
      <c r="V679">
        <v>0</v>
      </c>
      <c r="W679">
        <v>2</v>
      </c>
      <c r="X679">
        <v>0</v>
      </c>
      <c r="Y679">
        <v>0</v>
      </c>
      <c r="Z679">
        <v>0</v>
      </c>
      <c r="AA679" s="1">
        <v>200</v>
      </c>
      <c r="AB679">
        <v>677</v>
      </c>
      <c r="AC679">
        <v>0</v>
      </c>
      <c r="AD679">
        <v>0</v>
      </c>
      <c r="AE679">
        <v>0</v>
      </c>
      <c r="AF679">
        <v>0</v>
      </c>
      <c r="AG679">
        <v>0</v>
      </c>
      <c r="AH679" s="1">
        <v>0</v>
      </c>
      <c r="AI679">
        <v>677</v>
      </c>
      <c r="AJ679">
        <v>0</v>
      </c>
      <c r="AK679">
        <v>0</v>
      </c>
      <c r="AL679">
        <v>1</v>
      </c>
      <c r="AM679">
        <v>0</v>
      </c>
      <c r="AN679">
        <v>0</v>
      </c>
      <c r="AO679" s="1">
        <v>150</v>
      </c>
    </row>
    <row r="680" spans="7:41" x14ac:dyDescent="0.35">
      <c r="G680">
        <v>678</v>
      </c>
      <c r="H680">
        <v>2</v>
      </c>
      <c r="I680">
        <v>1</v>
      </c>
      <c r="J680">
        <v>0</v>
      </c>
      <c r="K680">
        <v>1</v>
      </c>
      <c r="L680">
        <v>0</v>
      </c>
      <c r="M680" s="1">
        <v>240</v>
      </c>
      <c r="N680">
        <v>678</v>
      </c>
      <c r="O680">
        <v>2</v>
      </c>
      <c r="P680">
        <v>1</v>
      </c>
      <c r="Q680">
        <v>0</v>
      </c>
      <c r="R680">
        <v>0</v>
      </c>
      <c r="S680">
        <v>0</v>
      </c>
      <c r="T680" s="1">
        <v>240</v>
      </c>
      <c r="U680">
        <v>678</v>
      </c>
      <c r="V680">
        <v>0</v>
      </c>
      <c r="W680">
        <v>0</v>
      </c>
      <c r="X680">
        <v>0</v>
      </c>
      <c r="Y680">
        <v>0</v>
      </c>
      <c r="Z680">
        <v>0</v>
      </c>
      <c r="AA680" s="1">
        <v>0</v>
      </c>
      <c r="AB680">
        <v>678</v>
      </c>
      <c r="AC680">
        <v>0</v>
      </c>
      <c r="AD680">
        <v>0</v>
      </c>
      <c r="AE680">
        <v>0</v>
      </c>
      <c r="AF680">
        <v>0</v>
      </c>
      <c r="AG680">
        <v>0</v>
      </c>
      <c r="AH680" s="1">
        <v>0</v>
      </c>
      <c r="AI680">
        <v>678</v>
      </c>
      <c r="AJ680">
        <v>0</v>
      </c>
      <c r="AK680">
        <v>0</v>
      </c>
      <c r="AL680">
        <v>0</v>
      </c>
      <c r="AM680">
        <v>0</v>
      </c>
      <c r="AN680">
        <v>0</v>
      </c>
      <c r="AO680" s="1">
        <v>0</v>
      </c>
    </row>
    <row r="681" spans="7:41" x14ac:dyDescent="0.35">
      <c r="G681">
        <v>679</v>
      </c>
      <c r="H681">
        <v>0</v>
      </c>
      <c r="I681">
        <v>0</v>
      </c>
      <c r="J681">
        <v>0</v>
      </c>
      <c r="K681">
        <v>0</v>
      </c>
      <c r="L681">
        <v>0</v>
      </c>
      <c r="M681" s="1">
        <v>0</v>
      </c>
      <c r="N681">
        <v>679</v>
      </c>
      <c r="O681">
        <v>0</v>
      </c>
      <c r="P681">
        <v>1</v>
      </c>
      <c r="Q681">
        <v>2</v>
      </c>
      <c r="R681">
        <v>1</v>
      </c>
      <c r="S681">
        <v>0</v>
      </c>
      <c r="T681" s="1">
        <v>320</v>
      </c>
      <c r="U681">
        <v>679</v>
      </c>
      <c r="V681">
        <v>0</v>
      </c>
      <c r="W681">
        <v>2</v>
      </c>
      <c r="X681">
        <v>0</v>
      </c>
      <c r="Y681">
        <v>0</v>
      </c>
      <c r="Z681">
        <v>0</v>
      </c>
      <c r="AA681" s="1">
        <v>200</v>
      </c>
      <c r="AB681">
        <v>679</v>
      </c>
      <c r="AC681">
        <v>0</v>
      </c>
      <c r="AD681">
        <v>1</v>
      </c>
      <c r="AE681">
        <v>0</v>
      </c>
      <c r="AF681">
        <v>0</v>
      </c>
      <c r="AG681">
        <v>0</v>
      </c>
      <c r="AH681" s="1">
        <v>120</v>
      </c>
      <c r="AI681">
        <v>679</v>
      </c>
      <c r="AJ681">
        <v>0</v>
      </c>
      <c r="AK681">
        <v>0</v>
      </c>
      <c r="AL681">
        <v>2</v>
      </c>
      <c r="AM681">
        <v>0</v>
      </c>
      <c r="AN681">
        <v>0</v>
      </c>
      <c r="AO681" s="1">
        <v>300</v>
      </c>
    </row>
    <row r="682" spans="7:41" x14ac:dyDescent="0.35">
      <c r="G682">
        <v>680</v>
      </c>
      <c r="H682">
        <v>0</v>
      </c>
      <c r="I682">
        <v>0</v>
      </c>
      <c r="J682">
        <v>1</v>
      </c>
      <c r="K682">
        <v>3</v>
      </c>
      <c r="L682">
        <v>0</v>
      </c>
      <c r="M682" s="1">
        <v>240</v>
      </c>
      <c r="N682">
        <v>680</v>
      </c>
      <c r="O682">
        <v>2</v>
      </c>
      <c r="P682">
        <v>1</v>
      </c>
      <c r="Q682">
        <v>0</v>
      </c>
      <c r="R682">
        <v>0</v>
      </c>
      <c r="S682">
        <v>1</v>
      </c>
      <c r="T682" s="1">
        <v>320</v>
      </c>
      <c r="U682">
        <v>680</v>
      </c>
      <c r="V682">
        <v>0</v>
      </c>
      <c r="W682">
        <v>1</v>
      </c>
      <c r="X682">
        <v>0</v>
      </c>
      <c r="Y682">
        <v>0</v>
      </c>
      <c r="Z682">
        <v>0</v>
      </c>
      <c r="AA682" s="1">
        <v>100</v>
      </c>
      <c r="AB682">
        <v>680</v>
      </c>
      <c r="AC682">
        <v>0</v>
      </c>
      <c r="AD682">
        <v>0</v>
      </c>
      <c r="AE682">
        <v>0</v>
      </c>
      <c r="AF682">
        <v>1</v>
      </c>
      <c r="AG682">
        <v>0</v>
      </c>
      <c r="AH682" s="1">
        <v>120</v>
      </c>
      <c r="AI682">
        <v>680</v>
      </c>
      <c r="AJ682">
        <v>0</v>
      </c>
      <c r="AK682">
        <v>0</v>
      </c>
      <c r="AL682">
        <v>0</v>
      </c>
      <c r="AM682">
        <v>0</v>
      </c>
      <c r="AN682">
        <v>0</v>
      </c>
      <c r="AO682" s="1">
        <v>0</v>
      </c>
    </row>
    <row r="683" spans="7:41" x14ac:dyDescent="0.35">
      <c r="G683">
        <v>681</v>
      </c>
      <c r="H683">
        <v>0</v>
      </c>
      <c r="I683">
        <v>0</v>
      </c>
      <c r="J683">
        <v>0</v>
      </c>
      <c r="K683">
        <v>3</v>
      </c>
      <c r="L683">
        <v>0</v>
      </c>
      <c r="M683" s="1">
        <v>180</v>
      </c>
      <c r="N683">
        <v>681</v>
      </c>
      <c r="O683">
        <v>1</v>
      </c>
      <c r="P683">
        <v>0</v>
      </c>
      <c r="Q683">
        <v>1</v>
      </c>
      <c r="R683">
        <v>1</v>
      </c>
      <c r="S683">
        <v>0</v>
      </c>
      <c r="T683" s="1">
        <v>240</v>
      </c>
      <c r="U683">
        <v>681</v>
      </c>
      <c r="V683">
        <v>0</v>
      </c>
      <c r="W683">
        <v>0</v>
      </c>
      <c r="X683">
        <v>0</v>
      </c>
      <c r="Y683">
        <v>0</v>
      </c>
      <c r="Z683">
        <v>0</v>
      </c>
      <c r="AA683" s="1">
        <v>0</v>
      </c>
      <c r="AB683">
        <v>681</v>
      </c>
      <c r="AC683">
        <v>0</v>
      </c>
      <c r="AD683">
        <v>0</v>
      </c>
      <c r="AE683">
        <v>0</v>
      </c>
      <c r="AF683">
        <v>0</v>
      </c>
      <c r="AG683">
        <v>0</v>
      </c>
      <c r="AH683" s="1">
        <v>0</v>
      </c>
      <c r="AI683">
        <v>681</v>
      </c>
      <c r="AJ683">
        <v>0</v>
      </c>
      <c r="AK683">
        <v>0</v>
      </c>
      <c r="AL683">
        <v>1</v>
      </c>
      <c r="AM683">
        <v>0</v>
      </c>
      <c r="AN683">
        <v>0</v>
      </c>
      <c r="AO683" s="1">
        <v>150</v>
      </c>
    </row>
    <row r="684" spans="7:41" x14ac:dyDescent="0.35">
      <c r="G684">
        <v>682</v>
      </c>
      <c r="H684">
        <v>0</v>
      </c>
      <c r="I684">
        <v>1</v>
      </c>
      <c r="J684">
        <v>0</v>
      </c>
      <c r="K684">
        <v>4</v>
      </c>
      <c r="L684">
        <v>2</v>
      </c>
      <c r="M684" s="1">
        <v>420</v>
      </c>
      <c r="N684">
        <v>682</v>
      </c>
      <c r="O684">
        <v>0</v>
      </c>
      <c r="P684">
        <v>0</v>
      </c>
      <c r="Q684">
        <v>2</v>
      </c>
      <c r="R684">
        <v>0</v>
      </c>
      <c r="S684">
        <v>1</v>
      </c>
      <c r="T684" s="1">
        <v>240</v>
      </c>
      <c r="U684">
        <v>682</v>
      </c>
      <c r="V684">
        <v>0</v>
      </c>
      <c r="W684">
        <v>1</v>
      </c>
      <c r="X684">
        <v>0</v>
      </c>
      <c r="Y684">
        <v>0</v>
      </c>
      <c r="Z684">
        <v>0</v>
      </c>
      <c r="AA684" s="1">
        <v>100</v>
      </c>
      <c r="AB684">
        <v>682</v>
      </c>
      <c r="AC684">
        <v>0</v>
      </c>
      <c r="AD684">
        <v>0</v>
      </c>
      <c r="AE684">
        <v>0</v>
      </c>
      <c r="AF684">
        <v>0</v>
      </c>
      <c r="AG684">
        <v>1</v>
      </c>
      <c r="AH684" s="1">
        <v>120</v>
      </c>
      <c r="AI684">
        <v>682</v>
      </c>
      <c r="AJ684">
        <v>0</v>
      </c>
      <c r="AK684">
        <v>0</v>
      </c>
      <c r="AL684">
        <v>2</v>
      </c>
      <c r="AM684">
        <v>0</v>
      </c>
      <c r="AN684">
        <v>0</v>
      </c>
      <c r="AO684" s="1">
        <v>300</v>
      </c>
    </row>
    <row r="685" spans="7:41" x14ac:dyDescent="0.35">
      <c r="G685">
        <v>683</v>
      </c>
      <c r="H685">
        <v>0</v>
      </c>
      <c r="I685">
        <v>0</v>
      </c>
      <c r="J685">
        <v>0</v>
      </c>
      <c r="K685">
        <v>0</v>
      </c>
      <c r="L685">
        <v>1</v>
      </c>
      <c r="M685" s="1">
        <v>60</v>
      </c>
      <c r="N685">
        <v>683</v>
      </c>
      <c r="O685">
        <v>0</v>
      </c>
      <c r="P685">
        <v>0</v>
      </c>
      <c r="Q685">
        <v>0</v>
      </c>
      <c r="R685">
        <v>0</v>
      </c>
      <c r="S685">
        <v>0</v>
      </c>
      <c r="T685" s="1">
        <v>0</v>
      </c>
      <c r="U685">
        <v>683</v>
      </c>
      <c r="V685">
        <v>0</v>
      </c>
      <c r="W685">
        <v>1</v>
      </c>
      <c r="X685">
        <v>0</v>
      </c>
      <c r="Y685">
        <v>0</v>
      </c>
      <c r="Z685">
        <v>0</v>
      </c>
      <c r="AA685" s="1">
        <v>100</v>
      </c>
      <c r="AB685">
        <v>683</v>
      </c>
      <c r="AC685">
        <v>0</v>
      </c>
      <c r="AD685">
        <v>0</v>
      </c>
      <c r="AE685">
        <v>0</v>
      </c>
      <c r="AF685">
        <v>0</v>
      </c>
      <c r="AG685">
        <v>0</v>
      </c>
      <c r="AH685" s="1">
        <v>0</v>
      </c>
      <c r="AI685">
        <v>683</v>
      </c>
      <c r="AJ685">
        <v>0</v>
      </c>
      <c r="AK685">
        <v>0</v>
      </c>
      <c r="AL685">
        <v>0</v>
      </c>
      <c r="AM685">
        <v>0</v>
      </c>
      <c r="AN685">
        <v>0</v>
      </c>
      <c r="AO685" s="1">
        <v>0</v>
      </c>
    </row>
    <row r="686" spans="7:41" x14ac:dyDescent="0.35">
      <c r="G686">
        <v>684</v>
      </c>
      <c r="H686">
        <v>0</v>
      </c>
      <c r="I686">
        <v>0</v>
      </c>
      <c r="J686">
        <v>2</v>
      </c>
      <c r="K686">
        <v>0</v>
      </c>
      <c r="L686">
        <v>1</v>
      </c>
      <c r="M686" s="1">
        <v>180</v>
      </c>
      <c r="N686">
        <v>684</v>
      </c>
      <c r="O686">
        <v>0</v>
      </c>
      <c r="P686">
        <v>2</v>
      </c>
      <c r="Q686">
        <v>3</v>
      </c>
      <c r="R686">
        <v>1</v>
      </c>
      <c r="S686">
        <v>0</v>
      </c>
      <c r="T686" s="1">
        <v>480</v>
      </c>
      <c r="U686">
        <v>684</v>
      </c>
      <c r="V686">
        <v>0</v>
      </c>
      <c r="W686">
        <v>0</v>
      </c>
      <c r="X686">
        <v>0</v>
      </c>
      <c r="Y686">
        <v>0</v>
      </c>
      <c r="Z686">
        <v>0</v>
      </c>
      <c r="AA686" s="1">
        <v>0</v>
      </c>
      <c r="AB686">
        <v>684</v>
      </c>
      <c r="AC686">
        <v>0</v>
      </c>
      <c r="AD686">
        <v>1</v>
      </c>
      <c r="AE686">
        <v>0</v>
      </c>
      <c r="AF686">
        <v>0</v>
      </c>
      <c r="AG686">
        <v>0</v>
      </c>
      <c r="AH686" s="1">
        <v>120</v>
      </c>
      <c r="AI686">
        <v>684</v>
      </c>
      <c r="AJ686">
        <v>0</v>
      </c>
      <c r="AK686">
        <v>0</v>
      </c>
      <c r="AL686">
        <v>1</v>
      </c>
      <c r="AM686">
        <v>0</v>
      </c>
      <c r="AN686">
        <v>0</v>
      </c>
      <c r="AO686" s="1">
        <v>150</v>
      </c>
    </row>
    <row r="687" spans="7:41" x14ac:dyDescent="0.35">
      <c r="G687">
        <v>685</v>
      </c>
      <c r="H687">
        <v>0</v>
      </c>
      <c r="I687">
        <v>2</v>
      </c>
      <c r="J687">
        <v>1</v>
      </c>
      <c r="K687">
        <v>2</v>
      </c>
      <c r="L687">
        <v>0</v>
      </c>
      <c r="M687" s="1">
        <v>300</v>
      </c>
      <c r="N687">
        <v>685</v>
      </c>
      <c r="O687">
        <v>1</v>
      </c>
      <c r="P687">
        <v>1</v>
      </c>
      <c r="Q687">
        <v>0</v>
      </c>
      <c r="R687">
        <v>0</v>
      </c>
      <c r="S687">
        <v>0</v>
      </c>
      <c r="T687" s="1">
        <v>160</v>
      </c>
      <c r="U687">
        <v>685</v>
      </c>
      <c r="V687">
        <v>0</v>
      </c>
      <c r="W687">
        <v>0</v>
      </c>
      <c r="X687">
        <v>1</v>
      </c>
      <c r="Y687">
        <v>0</v>
      </c>
      <c r="Z687">
        <v>0</v>
      </c>
      <c r="AA687" s="1">
        <v>100</v>
      </c>
      <c r="AB687">
        <v>685</v>
      </c>
      <c r="AC687">
        <v>0</v>
      </c>
      <c r="AD687">
        <v>0</v>
      </c>
      <c r="AE687">
        <v>0</v>
      </c>
      <c r="AF687">
        <v>1</v>
      </c>
      <c r="AG687">
        <v>0</v>
      </c>
      <c r="AH687" s="1">
        <v>120</v>
      </c>
      <c r="AI687">
        <v>685</v>
      </c>
      <c r="AJ687">
        <v>0</v>
      </c>
      <c r="AK687">
        <v>0</v>
      </c>
      <c r="AL687">
        <v>1</v>
      </c>
      <c r="AM687">
        <v>0</v>
      </c>
      <c r="AN687">
        <v>0</v>
      </c>
      <c r="AO687" s="1">
        <v>150</v>
      </c>
    </row>
    <row r="688" spans="7:41" x14ac:dyDescent="0.35">
      <c r="G688">
        <v>686</v>
      </c>
      <c r="H688">
        <v>0</v>
      </c>
      <c r="I688">
        <v>0</v>
      </c>
      <c r="J688">
        <v>0</v>
      </c>
      <c r="K688">
        <v>4</v>
      </c>
      <c r="L688">
        <v>2</v>
      </c>
      <c r="M688" s="1">
        <v>360</v>
      </c>
      <c r="N688">
        <v>686</v>
      </c>
      <c r="O688">
        <v>0</v>
      </c>
      <c r="P688">
        <v>1</v>
      </c>
      <c r="Q688">
        <v>1</v>
      </c>
      <c r="R688">
        <v>0</v>
      </c>
      <c r="S688">
        <v>0</v>
      </c>
      <c r="T688" s="1">
        <v>160</v>
      </c>
      <c r="U688">
        <v>686</v>
      </c>
      <c r="V688">
        <v>0</v>
      </c>
      <c r="W688">
        <v>1</v>
      </c>
      <c r="X688">
        <v>0</v>
      </c>
      <c r="Y688">
        <v>0</v>
      </c>
      <c r="Z688">
        <v>0</v>
      </c>
      <c r="AA688" s="1">
        <v>100</v>
      </c>
      <c r="AB688">
        <v>686</v>
      </c>
      <c r="AC688">
        <v>0</v>
      </c>
      <c r="AD688">
        <v>0</v>
      </c>
      <c r="AE688">
        <v>0</v>
      </c>
      <c r="AF688">
        <v>0</v>
      </c>
      <c r="AG688">
        <v>0</v>
      </c>
      <c r="AH688" s="1">
        <v>0</v>
      </c>
      <c r="AI688">
        <v>686</v>
      </c>
      <c r="AJ688">
        <v>0</v>
      </c>
      <c r="AK688">
        <v>0</v>
      </c>
      <c r="AL688">
        <v>0</v>
      </c>
      <c r="AM688">
        <v>0</v>
      </c>
      <c r="AN688">
        <v>0</v>
      </c>
      <c r="AO688" s="1">
        <v>0</v>
      </c>
    </row>
    <row r="689" spans="7:41" x14ac:dyDescent="0.35">
      <c r="G689">
        <v>687</v>
      </c>
      <c r="H689">
        <v>0</v>
      </c>
      <c r="I689">
        <v>1</v>
      </c>
      <c r="J689">
        <v>0</v>
      </c>
      <c r="K689">
        <v>0</v>
      </c>
      <c r="L689">
        <v>0</v>
      </c>
      <c r="M689" s="1">
        <v>60</v>
      </c>
      <c r="N689">
        <v>687</v>
      </c>
      <c r="O689">
        <v>0</v>
      </c>
      <c r="P689">
        <v>1</v>
      </c>
      <c r="Q689">
        <v>2</v>
      </c>
      <c r="R689">
        <v>0</v>
      </c>
      <c r="S689">
        <v>0</v>
      </c>
      <c r="T689" s="1">
        <v>240</v>
      </c>
      <c r="U689">
        <v>687</v>
      </c>
      <c r="V689">
        <v>0</v>
      </c>
      <c r="W689">
        <v>0</v>
      </c>
      <c r="X689">
        <v>0</v>
      </c>
      <c r="Y689">
        <v>0</v>
      </c>
      <c r="Z689">
        <v>0</v>
      </c>
      <c r="AA689" s="1">
        <v>0</v>
      </c>
      <c r="AB689">
        <v>687</v>
      </c>
      <c r="AC689">
        <v>0</v>
      </c>
      <c r="AD689">
        <v>0</v>
      </c>
      <c r="AE689">
        <v>0</v>
      </c>
      <c r="AF689">
        <v>0</v>
      </c>
      <c r="AG689">
        <v>0</v>
      </c>
      <c r="AH689" s="1">
        <v>0</v>
      </c>
      <c r="AI689">
        <v>687</v>
      </c>
      <c r="AJ689">
        <v>0</v>
      </c>
      <c r="AK689">
        <v>0</v>
      </c>
      <c r="AL689">
        <v>1</v>
      </c>
      <c r="AM689">
        <v>0</v>
      </c>
      <c r="AN689">
        <v>0</v>
      </c>
      <c r="AO689" s="1">
        <v>150</v>
      </c>
    </row>
    <row r="690" spans="7:41" x14ac:dyDescent="0.35">
      <c r="G690">
        <v>688</v>
      </c>
      <c r="H690">
        <v>0</v>
      </c>
      <c r="I690">
        <v>0</v>
      </c>
      <c r="J690">
        <v>0</v>
      </c>
      <c r="K690">
        <v>0</v>
      </c>
      <c r="L690">
        <v>0</v>
      </c>
      <c r="M690" s="1">
        <v>0</v>
      </c>
      <c r="N690">
        <v>688</v>
      </c>
      <c r="O690">
        <v>2</v>
      </c>
      <c r="P690">
        <v>0</v>
      </c>
      <c r="Q690">
        <v>2</v>
      </c>
      <c r="R690">
        <v>0</v>
      </c>
      <c r="S690">
        <v>0</v>
      </c>
      <c r="T690" s="1">
        <v>320</v>
      </c>
      <c r="U690">
        <v>688</v>
      </c>
      <c r="V690">
        <v>0</v>
      </c>
      <c r="W690">
        <v>0</v>
      </c>
      <c r="X690">
        <v>0</v>
      </c>
      <c r="Y690">
        <v>0</v>
      </c>
      <c r="Z690">
        <v>1</v>
      </c>
      <c r="AA690" s="1">
        <v>100</v>
      </c>
      <c r="AB690">
        <v>688</v>
      </c>
      <c r="AC690">
        <v>0</v>
      </c>
      <c r="AD690">
        <v>0</v>
      </c>
      <c r="AE690">
        <v>0</v>
      </c>
      <c r="AF690">
        <v>0</v>
      </c>
      <c r="AG690">
        <v>0</v>
      </c>
      <c r="AH690" s="1">
        <v>0</v>
      </c>
      <c r="AI690">
        <v>688</v>
      </c>
      <c r="AJ690">
        <v>0</v>
      </c>
      <c r="AK690">
        <v>0</v>
      </c>
      <c r="AL690">
        <v>0</v>
      </c>
      <c r="AM690">
        <v>0</v>
      </c>
      <c r="AN690">
        <v>0</v>
      </c>
      <c r="AO690" s="1">
        <v>0</v>
      </c>
    </row>
    <row r="691" spans="7:41" x14ac:dyDescent="0.35">
      <c r="G691">
        <v>689</v>
      </c>
      <c r="H691">
        <v>0</v>
      </c>
      <c r="I691">
        <v>3</v>
      </c>
      <c r="J691">
        <v>1</v>
      </c>
      <c r="K691">
        <v>1</v>
      </c>
      <c r="L691">
        <v>0</v>
      </c>
      <c r="M691" s="1">
        <v>300</v>
      </c>
      <c r="N691">
        <v>689</v>
      </c>
      <c r="O691">
        <v>0</v>
      </c>
      <c r="P691">
        <v>2</v>
      </c>
      <c r="Q691">
        <v>0</v>
      </c>
      <c r="R691">
        <v>0</v>
      </c>
      <c r="S691">
        <v>0</v>
      </c>
      <c r="T691" s="1">
        <v>160</v>
      </c>
      <c r="U691">
        <v>689</v>
      </c>
      <c r="V691">
        <v>0</v>
      </c>
      <c r="W691">
        <v>0</v>
      </c>
      <c r="X691">
        <v>0</v>
      </c>
      <c r="Y691">
        <v>0</v>
      </c>
      <c r="Z691">
        <v>0</v>
      </c>
      <c r="AA691" s="1">
        <v>0</v>
      </c>
      <c r="AB691">
        <v>689</v>
      </c>
      <c r="AC691">
        <v>0</v>
      </c>
      <c r="AD691">
        <v>1</v>
      </c>
      <c r="AE691">
        <v>0</v>
      </c>
      <c r="AF691">
        <v>0</v>
      </c>
      <c r="AG691">
        <v>0</v>
      </c>
      <c r="AH691" s="1">
        <v>120</v>
      </c>
      <c r="AI691">
        <v>689</v>
      </c>
      <c r="AJ691">
        <v>0</v>
      </c>
      <c r="AK691">
        <v>0</v>
      </c>
      <c r="AL691">
        <v>1</v>
      </c>
      <c r="AM691">
        <v>0</v>
      </c>
      <c r="AN691">
        <v>0</v>
      </c>
      <c r="AO691" s="1">
        <v>150</v>
      </c>
    </row>
    <row r="692" spans="7:41" x14ac:dyDescent="0.35">
      <c r="G692">
        <v>690</v>
      </c>
      <c r="H692">
        <v>0</v>
      </c>
      <c r="I692">
        <v>0</v>
      </c>
      <c r="J692">
        <v>0</v>
      </c>
      <c r="K692">
        <v>0</v>
      </c>
      <c r="L692">
        <v>0</v>
      </c>
      <c r="M692" s="1">
        <v>0</v>
      </c>
      <c r="N692">
        <v>690</v>
      </c>
      <c r="O692">
        <v>1</v>
      </c>
      <c r="P692">
        <v>0</v>
      </c>
      <c r="Q692">
        <v>2</v>
      </c>
      <c r="R692">
        <v>2</v>
      </c>
      <c r="S692">
        <v>0</v>
      </c>
      <c r="T692" s="1">
        <v>400</v>
      </c>
      <c r="U692">
        <v>690</v>
      </c>
      <c r="V692">
        <v>0</v>
      </c>
      <c r="W692">
        <v>0</v>
      </c>
      <c r="X692">
        <v>0</v>
      </c>
      <c r="Y692">
        <v>0</v>
      </c>
      <c r="Z692">
        <v>0</v>
      </c>
      <c r="AA692" s="1">
        <v>0</v>
      </c>
      <c r="AB692">
        <v>690</v>
      </c>
      <c r="AC692">
        <v>0</v>
      </c>
      <c r="AD692">
        <v>0</v>
      </c>
      <c r="AE692">
        <v>0</v>
      </c>
      <c r="AF692">
        <v>0</v>
      </c>
      <c r="AG692">
        <v>0</v>
      </c>
      <c r="AH692" s="1">
        <v>0</v>
      </c>
      <c r="AI692">
        <v>690</v>
      </c>
      <c r="AJ692">
        <v>0</v>
      </c>
      <c r="AK692">
        <v>0</v>
      </c>
      <c r="AL692">
        <v>1</v>
      </c>
      <c r="AM692">
        <v>0</v>
      </c>
      <c r="AN692">
        <v>0</v>
      </c>
      <c r="AO692" s="1">
        <v>150</v>
      </c>
    </row>
    <row r="693" spans="7:41" x14ac:dyDescent="0.35">
      <c r="G693">
        <v>691</v>
      </c>
      <c r="H693">
        <v>1</v>
      </c>
      <c r="I693">
        <v>0</v>
      </c>
      <c r="J693">
        <v>0</v>
      </c>
      <c r="K693">
        <v>0</v>
      </c>
      <c r="L693">
        <v>0</v>
      </c>
      <c r="M693" s="1">
        <v>60</v>
      </c>
      <c r="N693">
        <v>691</v>
      </c>
      <c r="O693">
        <v>3</v>
      </c>
      <c r="P693">
        <v>0</v>
      </c>
      <c r="Q693">
        <v>0</v>
      </c>
      <c r="R693">
        <v>1</v>
      </c>
      <c r="S693">
        <v>0</v>
      </c>
      <c r="T693" s="1">
        <v>320</v>
      </c>
      <c r="U693">
        <v>691</v>
      </c>
      <c r="V693">
        <v>0</v>
      </c>
      <c r="W693">
        <v>0</v>
      </c>
      <c r="X693">
        <v>0</v>
      </c>
      <c r="Y693">
        <v>0</v>
      </c>
      <c r="Z693">
        <v>0</v>
      </c>
      <c r="AA693" s="1">
        <v>0</v>
      </c>
      <c r="AB693">
        <v>691</v>
      </c>
      <c r="AC693">
        <v>0</v>
      </c>
      <c r="AD693">
        <v>0</v>
      </c>
      <c r="AE693">
        <v>0</v>
      </c>
      <c r="AF693">
        <v>0</v>
      </c>
      <c r="AG693">
        <v>0</v>
      </c>
      <c r="AH693" s="1">
        <v>0</v>
      </c>
      <c r="AI693">
        <v>691</v>
      </c>
      <c r="AJ693">
        <v>0</v>
      </c>
      <c r="AK693">
        <v>0</v>
      </c>
      <c r="AL693">
        <v>1</v>
      </c>
      <c r="AM693">
        <v>0</v>
      </c>
      <c r="AN693">
        <v>0</v>
      </c>
      <c r="AO693" s="1">
        <v>150</v>
      </c>
    </row>
    <row r="694" spans="7:41" x14ac:dyDescent="0.35">
      <c r="G694">
        <v>692</v>
      </c>
      <c r="H694">
        <v>1</v>
      </c>
      <c r="I694">
        <v>1</v>
      </c>
      <c r="J694">
        <v>3</v>
      </c>
      <c r="K694">
        <v>1</v>
      </c>
      <c r="L694">
        <v>0</v>
      </c>
      <c r="M694" s="1">
        <v>360</v>
      </c>
      <c r="N694">
        <v>692</v>
      </c>
      <c r="O694">
        <v>3</v>
      </c>
      <c r="P694">
        <v>0</v>
      </c>
      <c r="Q694">
        <v>1</v>
      </c>
      <c r="R694">
        <v>0</v>
      </c>
      <c r="S694">
        <v>0</v>
      </c>
      <c r="T694" s="1">
        <v>320</v>
      </c>
      <c r="U694">
        <v>692</v>
      </c>
      <c r="V694">
        <v>0</v>
      </c>
      <c r="W694">
        <v>1</v>
      </c>
      <c r="X694">
        <v>1</v>
      </c>
      <c r="Y694">
        <v>0</v>
      </c>
      <c r="Z694">
        <v>0</v>
      </c>
      <c r="AA694" s="1">
        <v>200</v>
      </c>
      <c r="AB694">
        <v>692</v>
      </c>
      <c r="AC694">
        <v>0</v>
      </c>
      <c r="AD694">
        <v>0</v>
      </c>
      <c r="AE694">
        <v>0</v>
      </c>
      <c r="AF694">
        <v>0</v>
      </c>
      <c r="AG694">
        <v>0</v>
      </c>
      <c r="AH694" s="1">
        <v>0</v>
      </c>
      <c r="AI694">
        <v>692</v>
      </c>
      <c r="AJ694">
        <v>0</v>
      </c>
      <c r="AK694">
        <v>0</v>
      </c>
      <c r="AL694">
        <v>0</v>
      </c>
      <c r="AM694">
        <v>0</v>
      </c>
      <c r="AN694">
        <v>0</v>
      </c>
      <c r="AO694" s="1">
        <v>0</v>
      </c>
    </row>
    <row r="695" spans="7:41" x14ac:dyDescent="0.35">
      <c r="G695">
        <v>693</v>
      </c>
      <c r="H695">
        <v>1</v>
      </c>
      <c r="I695">
        <v>0</v>
      </c>
      <c r="J695">
        <v>3</v>
      </c>
      <c r="K695">
        <v>1</v>
      </c>
      <c r="L695">
        <v>0</v>
      </c>
      <c r="M695" s="1">
        <v>300</v>
      </c>
      <c r="N695">
        <v>693</v>
      </c>
      <c r="O695">
        <v>0</v>
      </c>
      <c r="P695">
        <v>0</v>
      </c>
      <c r="Q695">
        <v>0</v>
      </c>
      <c r="R695">
        <v>0</v>
      </c>
      <c r="S695">
        <v>0</v>
      </c>
      <c r="T695" s="1">
        <v>0</v>
      </c>
      <c r="U695">
        <v>693</v>
      </c>
      <c r="V695">
        <v>0</v>
      </c>
      <c r="W695">
        <v>0</v>
      </c>
      <c r="X695">
        <v>0</v>
      </c>
      <c r="Y695">
        <v>0</v>
      </c>
      <c r="Z695">
        <v>0</v>
      </c>
      <c r="AA695" s="1">
        <v>0</v>
      </c>
      <c r="AB695">
        <v>693</v>
      </c>
      <c r="AC695">
        <v>0</v>
      </c>
      <c r="AD695">
        <v>0</v>
      </c>
      <c r="AE695">
        <v>0</v>
      </c>
      <c r="AF695">
        <v>0</v>
      </c>
      <c r="AG695">
        <v>1</v>
      </c>
      <c r="AH695" s="1">
        <v>120</v>
      </c>
      <c r="AI695">
        <v>693</v>
      </c>
      <c r="AJ695">
        <v>0</v>
      </c>
      <c r="AK695">
        <v>0</v>
      </c>
      <c r="AL695">
        <v>0</v>
      </c>
      <c r="AM695">
        <v>0</v>
      </c>
      <c r="AN695">
        <v>0</v>
      </c>
      <c r="AO695" s="1">
        <v>0</v>
      </c>
    </row>
    <row r="696" spans="7:41" x14ac:dyDescent="0.35">
      <c r="G696">
        <v>694</v>
      </c>
      <c r="H696">
        <v>0</v>
      </c>
      <c r="I696">
        <v>2</v>
      </c>
      <c r="J696">
        <v>0</v>
      </c>
      <c r="K696">
        <v>0</v>
      </c>
      <c r="L696">
        <v>1</v>
      </c>
      <c r="M696" s="1">
        <v>180</v>
      </c>
      <c r="N696">
        <v>694</v>
      </c>
      <c r="O696">
        <v>0</v>
      </c>
      <c r="P696">
        <v>1</v>
      </c>
      <c r="Q696">
        <v>0</v>
      </c>
      <c r="R696">
        <v>1</v>
      </c>
      <c r="S696">
        <v>0</v>
      </c>
      <c r="T696" s="1">
        <v>160</v>
      </c>
      <c r="U696">
        <v>694</v>
      </c>
      <c r="V696">
        <v>0</v>
      </c>
      <c r="W696">
        <v>0</v>
      </c>
      <c r="X696">
        <v>0</v>
      </c>
      <c r="Y696">
        <v>0</v>
      </c>
      <c r="Z696">
        <v>0</v>
      </c>
      <c r="AA696" s="1">
        <v>0</v>
      </c>
      <c r="AB696">
        <v>694</v>
      </c>
      <c r="AC696">
        <v>0</v>
      </c>
      <c r="AD696">
        <v>0</v>
      </c>
      <c r="AE696">
        <v>0</v>
      </c>
      <c r="AF696">
        <v>0</v>
      </c>
      <c r="AG696">
        <v>0</v>
      </c>
      <c r="AH696" s="1">
        <v>0</v>
      </c>
      <c r="AI696">
        <v>694</v>
      </c>
      <c r="AJ696">
        <v>0</v>
      </c>
      <c r="AK696">
        <v>0</v>
      </c>
      <c r="AL696">
        <v>0</v>
      </c>
      <c r="AM696">
        <v>0</v>
      </c>
      <c r="AN696">
        <v>0</v>
      </c>
      <c r="AO696" s="1">
        <v>0</v>
      </c>
    </row>
    <row r="697" spans="7:41" x14ac:dyDescent="0.35">
      <c r="G697">
        <v>695</v>
      </c>
      <c r="H697">
        <v>0</v>
      </c>
      <c r="I697">
        <v>0</v>
      </c>
      <c r="J697">
        <v>0</v>
      </c>
      <c r="K697">
        <v>0</v>
      </c>
      <c r="L697">
        <v>0</v>
      </c>
      <c r="M697" s="1">
        <v>0</v>
      </c>
      <c r="N697">
        <v>695</v>
      </c>
      <c r="O697">
        <v>0</v>
      </c>
      <c r="P697">
        <v>0</v>
      </c>
      <c r="Q697">
        <v>2</v>
      </c>
      <c r="R697">
        <v>0</v>
      </c>
      <c r="S697">
        <v>1</v>
      </c>
      <c r="T697" s="1">
        <v>240</v>
      </c>
      <c r="U697">
        <v>695</v>
      </c>
      <c r="V697">
        <v>0</v>
      </c>
      <c r="W697">
        <v>0</v>
      </c>
      <c r="X697">
        <v>0</v>
      </c>
      <c r="Y697">
        <v>0</v>
      </c>
      <c r="Z697">
        <v>0</v>
      </c>
      <c r="AA697" s="1">
        <v>0</v>
      </c>
      <c r="AB697">
        <v>695</v>
      </c>
      <c r="AC697">
        <v>0</v>
      </c>
      <c r="AD697">
        <v>1</v>
      </c>
      <c r="AE697">
        <v>0</v>
      </c>
      <c r="AF697">
        <v>0</v>
      </c>
      <c r="AG697">
        <v>0</v>
      </c>
      <c r="AH697" s="1">
        <v>120</v>
      </c>
      <c r="AI697">
        <v>695</v>
      </c>
      <c r="AJ697">
        <v>0</v>
      </c>
      <c r="AK697">
        <v>0</v>
      </c>
      <c r="AL697">
        <v>0</v>
      </c>
      <c r="AM697">
        <v>0</v>
      </c>
      <c r="AN697">
        <v>0</v>
      </c>
      <c r="AO697" s="1">
        <v>0</v>
      </c>
    </row>
    <row r="698" spans="7:41" x14ac:dyDescent="0.35">
      <c r="G698">
        <v>696</v>
      </c>
      <c r="H698">
        <v>0</v>
      </c>
      <c r="I698">
        <v>2</v>
      </c>
      <c r="J698">
        <v>0</v>
      </c>
      <c r="K698">
        <v>0</v>
      </c>
      <c r="L698">
        <v>2</v>
      </c>
      <c r="M698" s="1">
        <v>240</v>
      </c>
      <c r="N698">
        <v>696</v>
      </c>
      <c r="O698">
        <v>0</v>
      </c>
      <c r="P698">
        <v>0</v>
      </c>
      <c r="Q698">
        <v>2</v>
      </c>
      <c r="R698">
        <v>0</v>
      </c>
      <c r="S698">
        <v>0</v>
      </c>
      <c r="T698" s="1">
        <v>160</v>
      </c>
      <c r="U698">
        <v>696</v>
      </c>
      <c r="V698">
        <v>0</v>
      </c>
      <c r="W698">
        <v>0</v>
      </c>
      <c r="X698">
        <v>1</v>
      </c>
      <c r="Y698">
        <v>0</v>
      </c>
      <c r="Z698">
        <v>0</v>
      </c>
      <c r="AA698" s="1">
        <v>100</v>
      </c>
      <c r="AB698">
        <v>696</v>
      </c>
      <c r="AC698">
        <v>0</v>
      </c>
      <c r="AD698">
        <v>0</v>
      </c>
      <c r="AE698">
        <v>0</v>
      </c>
      <c r="AF698">
        <v>0</v>
      </c>
      <c r="AG698">
        <v>0</v>
      </c>
      <c r="AH698" s="1">
        <v>0</v>
      </c>
      <c r="AI698">
        <v>696</v>
      </c>
      <c r="AJ698">
        <v>0</v>
      </c>
      <c r="AK698">
        <v>0</v>
      </c>
      <c r="AL698">
        <v>0</v>
      </c>
      <c r="AM698">
        <v>0</v>
      </c>
      <c r="AN698">
        <v>0</v>
      </c>
      <c r="AO698" s="1">
        <v>0</v>
      </c>
    </row>
    <row r="699" spans="7:41" x14ac:dyDescent="0.35">
      <c r="G699">
        <v>697</v>
      </c>
      <c r="H699">
        <v>0</v>
      </c>
      <c r="I699">
        <v>0</v>
      </c>
      <c r="J699">
        <v>0</v>
      </c>
      <c r="K699">
        <v>0</v>
      </c>
      <c r="L699">
        <v>1</v>
      </c>
      <c r="M699" s="1">
        <v>60</v>
      </c>
      <c r="N699">
        <v>697</v>
      </c>
      <c r="O699">
        <v>0</v>
      </c>
      <c r="P699">
        <v>0</v>
      </c>
      <c r="Q699">
        <v>1</v>
      </c>
      <c r="R699">
        <v>0</v>
      </c>
      <c r="S699">
        <v>0</v>
      </c>
      <c r="T699" s="1">
        <v>80</v>
      </c>
      <c r="U699">
        <v>697</v>
      </c>
      <c r="V699">
        <v>0</v>
      </c>
      <c r="W699">
        <v>1</v>
      </c>
      <c r="X699">
        <v>0</v>
      </c>
      <c r="Y699">
        <v>0</v>
      </c>
      <c r="Z699">
        <v>0</v>
      </c>
      <c r="AA699" s="1">
        <v>100</v>
      </c>
      <c r="AB699">
        <v>697</v>
      </c>
      <c r="AC699">
        <v>0</v>
      </c>
      <c r="AD699">
        <v>0</v>
      </c>
      <c r="AE699">
        <v>0</v>
      </c>
      <c r="AF699">
        <v>0</v>
      </c>
      <c r="AG699">
        <v>0</v>
      </c>
      <c r="AH699" s="1">
        <v>0</v>
      </c>
      <c r="AI699">
        <v>697</v>
      </c>
      <c r="AJ699">
        <v>0</v>
      </c>
      <c r="AK699">
        <v>0</v>
      </c>
      <c r="AL699">
        <v>0</v>
      </c>
      <c r="AM699">
        <v>0</v>
      </c>
      <c r="AN699">
        <v>0</v>
      </c>
      <c r="AO699" s="1">
        <v>0</v>
      </c>
    </row>
    <row r="700" spans="7:41" x14ac:dyDescent="0.35">
      <c r="G700">
        <v>698</v>
      </c>
      <c r="H700">
        <v>1</v>
      </c>
      <c r="I700">
        <v>1</v>
      </c>
      <c r="J700">
        <v>0</v>
      </c>
      <c r="K700">
        <v>0</v>
      </c>
      <c r="L700">
        <v>0</v>
      </c>
      <c r="M700" s="1">
        <v>120</v>
      </c>
      <c r="N700">
        <v>698</v>
      </c>
      <c r="O700">
        <v>0</v>
      </c>
      <c r="P700">
        <v>0</v>
      </c>
      <c r="Q700">
        <v>1</v>
      </c>
      <c r="R700">
        <v>0</v>
      </c>
      <c r="S700">
        <v>0</v>
      </c>
      <c r="T700" s="1">
        <v>80</v>
      </c>
      <c r="U700">
        <v>698</v>
      </c>
      <c r="V700">
        <v>0</v>
      </c>
      <c r="W700">
        <v>2</v>
      </c>
      <c r="X700">
        <v>0</v>
      </c>
      <c r="Y700">
        <v>0</v>
      </c>
      <c r="Z700">
        <v>0</v>
      </c>
      <c r="AA700" s="1">
        <v>200</v>
      </c>
      <c r="AB700">
        <v>698</v>
      </c>
      <c r="AC700">
        <v>0</v>
      </c>
      <c r="AD700">
        <v>0</v>
      </c>
      <c r="AE700">
        <v>0</v>
      </c>
      <c r="AF700">
        <v>0</v>
      </c>
      <c r="AG700">
        <v>0</v>
      </c>
      <c r="AH700" s="1">
        <v>0</v>
      </c>
      <c r="AI700">
        <v>698</v>
      </c>
      <c r="AJ700">
        <v>0</v>
      </c>
      <c r="AK700">
        <v>0</v>
      </c>
      <c r="AL700">
        <v>1</v>
      </c>
      <c r="AM700">
        <v>0</v>
      </c>
      <c r="AN700">
        <v>0</v>
      </c>
      <c r="AO700" s="1">
        <v>150</v>
      </c>
    </row>
    <row r="701" spans="7:41" x14ac:dyDescent="0.35">
      <c r="G701">
        <v>699</v>
      </c>
      <c r="H701">
        <v>1</v>
      </c>
      <c r="I701">
        <v>3</v>
      </c>
      <c r="J701">
        <v>2</v>
      </c>
      <c r="K701">
        <v>0</v>
      </c>
      <c r="L701">
        <v>1</v>
      </c>
      <c r="M701" s="1">
        <v>420</v>
      </c>
      <c r="N701">
        <v>699</v>
      </c>
      <c r="O701">
        <v>0</v>
      </c>
      <c r="P701">
        <v>0</v>
      </c>
      <c r="Q701">
        <v>0</v>
      </c>
      <c r="R701">
        <v>0</v>
      </c>
      <c r="S701">
        <v>0</v>
      </c>
      <c r="T701" s="1">
        <v>0</v>
      </c>
      <c r="U701">
        <v>699</v>
      </c>
      <c r="V701">
        <v>0</v>
      </c>
      <c r="W701">
        <v>0</v>
      </c>
      <c r="X701">
        <v>0</v>
      </c>
      <c r="Y701">
        <v>0</v>
      </c>
      <c r="Z701">
        <v>0</v>
      </c>
      <c r="AA701" s="1">
        <v>0</v>
      </c>
      <c r="AB701">
        <v>699</v>
      </c>
      <c r="AC701">
        <v>0</v>
      </c>
      <c r="AD701">
        <v>0</v>
      </c>
      <c r="AE701">
        <v>0</v>
      </c>
      <c r="AF701">
        <v>0</v>
      </c>
      <c r="AG701">
        <v>0</v>
      </c>
      <c r="AH701" s="1">
        <v>0</v>
      </c>
      <c r="AI701">
        <v>699</v>
      </c>
      <c r="AJ701">
        <v>0</v>
      </c>
      <c r="AK701">
        <v>0</v>
      </c>
      <c r="AL701">
        <v>0</v>
      </c>
      <c r="AM701">
        <v>0</v>
      </c>
      <c r="AN701">
        <v>0</v>
      </c>
      <c r="AO701" s="1">
        <v>0</v>
      </c>
    </row>
    <row r="702" spans="7:41" x14ac:dyDescent="0.35">
      <c r="G702">
        <v>700</v>
      </c>
      <c r="H702">
        <v>1</v>
      </c>
      <c r="I702">
        <v>0</v>
      </c>
      <c r="J702">
        <v>2</v>
      </c>
      <c r="K702">
        <v>4</v>
      </c>
      <c r="L702">
        <v>0</v>
      </c>
      <c r="M702" s="1">
        <v>420</v>
      </c>
      <c r="N702">
        <v>700</v>
      </c>
      <c r="O702">
        <v>1</v>
      </c>
      <c r="P702">
        <v>0</v>
      </c>
      <c r="Q702">
        <v>0</v>
      </c>
      <c r="R702">
        <v>0</v>
      </c>
      <c r="S702">
        <v>1</v>
      </c>
      <c r="T702" s="1">
        <v>160</v>
      </c>
      <c r="U702">
        <v>700</v>
      </c>
      <c r="V702">
        <v>0</v>
      </c>
      <c r="W702">
        <v>0</v>
      </c>
      <c r="X702">
        <v>0</v>
      </c>
      <c r="Y702">
        <v>0</v>
      </c>
      <c r="Z702">
        <v>0</v>
      </c>
      <c r="AA702" s="1">
        <v>0</v>
      </c>
      <c r="AB702">
        <v>700</v>
      </c>
      <c r="AC702">
        <v>0</v>
      </c>
      <c r="AD702">
        <v>0</v>
      </c>
      <c r="AE702">
        <v>0</v>
      </c>
      <c r="AF702">
        <v>0</v>
      </c>
      <c r="AG702">
        <v>0</v>
      </c>
      <c r="AH702" s="1">
        <v>0</v>
      </c>
      <c r="AI702">
        <v>700</v>
      </c>
      <c r="AJ702">
        <v>0</v>
      </c>
      <c r="AK702">
        <v>0</v>
      </c>
      <c r="AL702">
        <v>0</v>
      </c>
      <c r="AM702">
        <v>0</v>
      </c>
      <c r="AN702">
        <v>0</v>
      </c>
      <c r="AO702" s="1">
        <v>0</v>
      </c>
    </row>
    <row r="703" spans="7:41" x14ac:dyDescent="0.35">
      <c r="G703">
        <v>701</v>
      </c>
      <c r="H703">
        <v>0</v>
      </c>
      <c r="I703">
        <v>4</v>
      </c>
      <c r="J703">
        <v>0</v>
      </c>
      <c r="K703">
        <v>1</v>
      </c>
      <c r="L703">
        <v>0</v>
      </c>
      <c r="M703" s="1">
        <v>300</v>
      </c>
      <c r="N703">
        <v>701</v>
      </c>
      <c r="O703">
        <v>0</v>
      </c>
      <c r="P703">
        <v>0</v>
      </c>
      <c r="Q703">
        <v>0</v>
      </c>
      <c r="R703">
        <v>1</v>
      </c>
      <c r="S703">
        <v>1</v>
      </c>
      <c r="T703" s="1">
        <v>160</v>
      </c>
      <c r="U703">
        <v>701</v>
      </c>
      <c r="V703">
        <v>0</v>
      </c>
      <c r="W703">
        <v>1</v>
      </c>
      <c r="X703">
        <v>0</v>
      </c>
      <c r="Y703">
        <v>2</v>
      </c>
      <c r="Z703">
        <v>0</v>
      </c>
      <c r="AA703" s="1">
        <v>300</v>
      </c>
      <c r="AB703">
        <v>701</v>
      </c>
      <c r="AC703">
        <v>0</v>
      </c>
      <c r="AD703">
        <v>0</v>
      </c>
      <c r="AE703">
        <v>0</v>
      </c>
      <c r="AF703">
        <v>0</v>
      </c>
      <c r="AG703">
        <v>0</v>
      </c>
      <c r="AH703" s="1">
        <v>0</v>
      </c>
      <c r="AI703">
        <v>701</v>
      </c>
      <c r="AJ703">
        <v>0</v>
      </c>
      <c r="AK703">
        <v>0</v>
      </c>
      <c r="AL703">
        <v>0</v>
      </c>
      <c r="AM703">
        <v>0</v>
      </c>
      <c r="AN703">
        <v>0</v>
      </c>
      <c r="AO703" s="1">
        <v>0</v>
      </c>
    </row>
    <row r="704" spans="7:41" x14ac:dyDescent="0.35">
      <c r="G704">
        <v>702</v>
      </c>
      <c r="H704">
        <v>2</v>
      </c>
      <c r="I704">
        <v>4</v>
      </c>
      <c r="J704">
        <v>2</v>
      </c>
      <c r="K704">
        <v>0</v>
      </c>
      <c r="L704">
        <v>0</v>
      </c>
      <c r="M704" s="1">
        <v>480</v>
      </c>
      <c r="N704">
        <v>702</v>
      </c>
      <c r="O704">
        <v>0</v>
      </c>
      <c r="P704">
        <v>0</v>
      </c>
      <c r="Q704">
        <v>2</v>
      </c>
      <c r="R704">
        <v>0</v>
      </c>
      <c r="S704">
        <v>0</v>
      </c>
      <c r="T704" s="1">
        <v>160</v>
      </c>
      <c r="U704">
        <v>702</v>
      </c>
      <c r="V704">
        <v>0</v>
      </c>
      <c r="W704">
        <v>0</v>
      </c>
      <c r="X704">
        <v>0</v>
      </c>
      <c r="Y704">
        <v>0</v>
      </c>
      <c r="Z704">
        <v>0</v>
      </c>
      <c r="AA704" s="1">
        <v>0</v>
      </c>
      <c r="AB704">
        <v>702</v>
      </c>
      <c r="AC704">
        <v>0</v>
      </c>
      <c r="AD704">
        <v>0</v>
      </c>
      <c r="AE704">
        <v>0</v>
      </c>
      <c r="AF704">
        <v>0</v>
      </c>
      <c r="AG704">
        <v>0</v>
      </c>
      <c r="AH704" s="1">
        <v>0</v>
      </c>
      <c r="AI704">
        <v>702</v>
      </c>
      <c r="AJ704">
        <v>0</v>
      </c>
      <c r="AK704">
        <v>0</v>
      </c>
      <c r="AL704">
        <v>1</v>
      </c>
      <c r="AM704">
        <v>0</v>
      </c>
      <c r="AN704">
        <v>0</v>
      </c>
      <c r="AO704" s="1">
        <v>150</v>
      </c>
    </row>
    <row r="705" spans="7:41" x14ac:dyDescent="0.35">
      <c r="G705">
        <v>703</v>
      </c>
      <c r="H705">
        <v>1</v>
      </c>
      <c r="I705">
        <v>2</v>
      </c>
      <c r="J705">
        <v>0</v>
      </c>
      <c r="K705">
        <v>4</v>
      </c>
      <c r="L705">
        <v>1</v>
      </c>
      <c r="M705" s="1">
        <v>480</v>
      </c>
      <c r="N705">
        <v>703</v>
      </c>
      <c r="O705">
        <v>0</v>
      </c>
      <c r="P705">
        <v>1</v>
      </c>
      <c r="Q705">
        <v>0</v>
      </c>
      <c r="R705">
        <v>1</v>
      </c>
      <c r="S705">
        <v>0</v>
      </c>
      <c r="T705" s="1">
        <v>160</v>
      </c>
      <c r="U705">
        <v>703</v>
      </c>
      <c r="V705">
        <v>0</v>
      </c>
      <c r="W705">
        <v>1</v>
      </c>
      <c r="X705">
        <v>0</v>
      </c>
      <c r="Y705">
        <v>0</v>
      </c>
      <c r="Z705">
        <v>0</v>
      </c>
      <c r="AA705" s="1">
        <v>100</v>
      </c>
      <c r="AB705">
        <v>703</v>
      </c>
      <c r="AC705">
        <v>0</v>
      </c>
      <c r="AD705">
        <v>0</v>
      </c>
      <c r="AE705">
        <v>0</v>
      </c>
      <c r="AF705">
        <v>0</v>
      </c>
      <c r="AG705">
        <v>0</v>
      </c>
      <c r="AH705" s="1">
        <v>0</v>
      </c>
      <c r="AI705">
        <v>703</v>
      </c>
      <c r="AJ705">
        <v>0</v>
      </c>
      <c r="AK705">
        <v>0</v>
      </c>
      <c r="AL705">
        <v>0</v>
      </c>
      <c r="AM705">
        <v>0</v>
      </c>
      <c r="AN705">
        <v>0</v>
      </c>
      <c r="AO705" s="1">
        <v>0</v>
      </c>
    </row>
    <row r="706" spans="7:41" x14ac:dyDescent="0.35">
      <c r="G706">
        <v>704</v>
      </c>
      <c r="H706">
        <v>1</v>
      </c>
      <c r="I706">
        <v>1</v>
      </c>
      <c r="J706">
        <v>2</v>
      </c>
      <c r="K706">
        <v>0</v>
      </c>
      <c r="L706">
        <v>4</v>
      </c>
      <c r="M706" s="1">
        <v>480</v>
      </c>
      <c r="N706">
        <v>704</v>
      </c>
      <c r="O706">
        <v>0</v>
      </c>
      <c r="P706">
        <v>0</v>
      </c>
      <c r="Q706">
        <v>1</v>
      </c>
      <c r="R706">
        <v>0</v>
      </c>
      <c r="S706">
        <v>0</v>
      </c>
      <c r="T706" s="1">
        <v>80</v>
      </c>
      <c r="U706">
        <v>704</v>
      </c>
      <c r="V706">
        <v>0</v>
      </c>
      <c r="W706">
        <v>0</v>
      </c>
      <c r="X706">
        <v>0</v>
      </c>
      <c r="Y706">
        <v>0</v>
      </c>
      <c r="Z706">
        <v>0</v>
      </c>
      <c r="AA706" s="1">
        <v>0</v>
      </c>
      <c r="AB706">
        <v>704</v>
      </c>
      <c r="AC706">
        <v>0</v>
      </c>
      <c r="AD706">
        <v>0</v>
      </c>
      <c r="AE706">
        <v>0</v>
      </c>
      <c r="AF706">
        <v>0</v>
      </c>
      <c r="AG706">
        <v>0</v>
      </c>
      <c r="AH706" s="1">
        <v>0</v>
      </c>
      <c r="AI706">
        <v>704</v>
      </c>
      <c r="AJ706">
        <v>0</v>
      </c>
      <c r="AK706">
        <v>0</v>
      </c>
      <c r="AL706">
        <v>3</v>
      </c>
      <c r="AM706">
        <v>0</v>
      </c>
      <c r="AN706">
        <v>0</v>
      </c>
      <c r="AO706" s="1">
        <v>450</v>
      </c>
    </row>
    <row r="707" spans="7:41" x14ac:dyDescent="0.35">
      <c r="G707">
        <v>705</v>
      </c>
      <c r="H707">
        <v>3</v>
      </c>
      <c r="I707">
        <v>0</v>
      </c>
      <c r="J707">
        <v>0</v>
      </c>
      <c r="K707">
        <v>4</v>
      </c>
      <c r="L707">
        <v>2</v>
      </c>
      <c r="M707" s="1">
        <v>540</v>
      </c>
      <c r="N707">
        <v>705</v>
      </c>
      <c r="O707">
        <v>0</v>
      </c>
      <c r="P707">
        <v>0</v>
      </c>
      <c r="Q707">
        <v>3</v>
      </c>
      <c r="R707">
        <v>1</v>
      </c>
      <c r="S707">
        <v>0</v>
      </c>
      <c r="T707" s="1">
        <v>320</v>
      </c>
      <c r="U707">
        <v>705</v>
      </c>
      <c r="V707">
        <v>0</v>
      </c>
      <c r="W707">
        <v>1</v>
      </c>
      <c r="X707">
        <v>0</v>
      </c>
      <c r="Y707">
        <v>0</v>
      </c>
      <c r="Z707">
        <v>0</v>
      </c>
      <c r="AA707" s="1">
        <v>100</v>
      </c>
      <c r="AB707">
        <v>705</v>
      </c>
      <c r="AC707">
        <v>0</v>
      </c>
      <c r="AD707">
        <v>0</v>
      </c>
      <c r="AE707">
        <v>0</v>
      </c>
      <c r="AF707">
        <v>0</v>
      </c>
      <c r="AG707">
        <v>0</v>
      </c>
      <c r="AH707" s="1">
        <v>0</v>
      </c>
      <c r="AI707">
        <v>705</v>
      </c>
      <c r="AJ707">
        <v>0</v>
      </c>
      <c r="AK707">
        <v>0</v>
      </c>
      <c r="AL707">
        <v>2</v>
      </c>
      <c r="AM707">
        <v>0</v>
      </c>
      <c r="AN707">
        <v>0</v>
      </c>
      <c r="AO707" s="1">
        <v>300</v>
      </c>
    </row>
    <row r="708" spans="7:41" x14ac:dyDescent="0.35">
      <c r="G708">
        <v>706</v>
      </c>
      <c r="H708">
        <v>0</v>
      </c>
      <c r="I708">
        <v>0</v>
      </c>
      <c r="J708">
        <v>2</v>
      </c>
      <c r="K708">
        <v>4</v>
      </c>
      <c r="L708">
        <v>2</v>
      </c>
      <c r="M708" s="1">
        <v>480</v>
      </c>
      <c r="N708">
        <v>706</v>
      </c>
      <c r="O708">
        <v>1</v>
      </c>
      <c r="P708">
        <v>2</v>
      </c>
      <c r="Q708">
        <v>1</v>
      </c>
      <c r="R708">
        <v>0</v>
      </c>
      <c r="S708">
        <v>1</v>
      </c>
      <c r="T708" s="1">
        <v>400</v>
      </c>
      <c r="U708">
        <v>706</v>
      </c>
      <c r="V708">
        <v>0</v>
      </c>
      <c r="W708">
        <v>1</v>
      </c>
      <c r="X708">
        <v>0</v>
      </c>
      <c r="Y708">
        <v>0</v>
      </c>
      <c r="Z708">
        <v>0</v>
      </c>
      <c r="AA708" s="1">
        <v>100</v>
      </c>
      <c r="AB708">
        <v>706</v>
      </c>
      <c r="AC708">
        <v>0</v>
      </c>
      <c r="AD708">
        <v>0</v>
      </c>
      <c r="AE708">
        <v>0</v>
      </c>
      <c r="AF708">
        <v>1</v>
      </c>
      <c r="AG708">
        <v>0</v>
      </c>
      <c r="AH708" s="1">
        <v>120</v>
      </c>
      <c r="AI708">
        <v>706</v>
      </c>
      <c r="AJ708">
        <v>0</v>
      </c>
      <c r="AK708">
        <v>0</v>
      </c>
      <c r="AL708">
        <v>0</v>
      </c>
      <c r="AM708">
        <v>0</v>
      </c>
      <c r="AN708">
        <v>0</v>
      </c>
      <c r="AO708" s="1">
        <v>0</v>
      </c>
    </row>
    <row r="709" spans="7:41" x14ac:dyDescent="0.35">
      <c r="G709">
        <v>707</v>
      </c>
      <c r="H709">
        <v>0</v>
      </c>
      <c r="I709">
        <v>1</v>
      </c>
      <c r="J709">
        <v>0</v>
      </c>
      <c r="K709">
        <v>0</v>
      </c>
      <c r="L709">
        <v>1</v>
      </c>
      <c r="M709" s="1">
        <v>120</v>
      </c>
      <c r="N709">
        <v>707</v>
      </c>
      <c r="O709">
        <v>0</v>
      </c>
      <c r="P709">
        <v>1</v>
      </c>
      <c r="Q709">
        <v>1</v>
      </c>
      <c r="R709">
        <v>0</v>
      </c>
      <c r="S709">
        <v>1</v>
      </c>
      <c r="T709" s="1">
        <v>240</v>
      </c>
      <c r="U709">
        <v>707</v>
      </c>
      <c r="V709">
        <v>0</v>
      </c>
      <c r="W709">
        <v>0</v>
      </c>
      <c r="X709">
        <v>0</v>
      </c>
      <c r="Y709">
        <v>0</v>
      </c>
      <c r="Z709">
        <v>0</v>
      </c>
      <c r="AA709" s="1">
        <v>0</v>
      </c>
      <c r="AB709">
        <v>707</v>
      </c>
      <c r="AC709">
        <v>0</v>
      </c>
      <c r="AD709">
        <v>0</v>
      </c>
      <c r="AE709">
        <v>0</v>
      </c>
      <c r="AF709">
        <v>0</v>
      </c>
      <c r="AG709">
        <v>0</v>
      </c>
      <c r="AH709" s="1">
        <v>0</v>
      </c>
      <c r="AI709">
        <v>707</v>
      </c>
      <c r="AJ709">
        <v>0</v>
      </c>
      <c r="AK709">
        <v>0</v>
      </c>
      <c r="AL709">
        <v>0</v>
      </c>
      <c r="AM709">
        <v>0</v>
      </c>
      <c r="AN709">
        <v>0</v>
      </c>
      <c r="AO709" s="1">
        <v>0</v>
      </c>
    </row>
    <row r="710" spans="7:41" x14ac:dyDescent="0.35">
      <c r="G710">
        <v>708</v>
      </c>
      <c r="H710">
        <v>0</v>
      </c>
      <c r="I710">
        <v>3</v>
      </c>
      <c r="J710">
        <v>2</v>
      </c>
      <c r="K710">
        <v>4</v>
      </c>
      <c r="L710">
        <v>0</v>
      </c>
      <c r="M710" s="1">
        <v>540</v>
      </c>
      <c r="N710">
        <v>708</v>
      </c>
      <c r="O710">
        <v>0</v>
      </c>
      <c r="P710">
        <v>0</v>
      </c>
      <c r="Q710">
        <v>0</v>
      </c>
      <c r="R710">
        <v>1</v>
      </c>
      <c r="S710">
        <v>0</v>
      </c>
      <c r="T710" s="1">
        <v>80</v>
      </c>
      <c r="U710">
        <v>708</v>
      </c>
      <c r="V710">
        <v>0</v>
      </c>
      <c r="W710">
        <v>0</v>
      </c>
      <c r="X710">
        <v>0</v>
      </c>
      <c r="Y710">
        <v>1</v>
      </c>
      <c r="Z710">
        <v>0</v>
      </c>
      <c r="AA710" s="1">
        <v>100</v>
      </c>
      <c r="AB710">
        <v>708</v>
      </c>
      <c r="AC710">
        <v>0</v>
      </c>
      <c r="AD710">
        <v>0</v>
      </c>
      <c r="AE710">
        <v>0</v>
      </c>
      <c r="AF710">
        <v>0</v>
      </c>
      <c r="AG710">
        <v>0</v>
      </c>
      <c r="AH710" s="1">
        <v>0</v>
      </c>
      <c r="AI710">
        <v>708</v>
      </c>
      <c r="AJ710">
        <v>0</v>
      </c>
      <c r="AK710">
        <v>0</v>
      </c>
      <c r="AL710">
        <v>1</v>
      </c>
      <c r="AM710">
        <v>0</v>
      </c>
      <c r="AN710">
        <v>0</v>
      </c>
      <c r="AO710" s="1">
        <v>150</v>
      </c>
    </row>
    <row r="711" spans="7:41" x14ac:dyDescent="0.35">
      <c r="G711">
        <v>709</v>
      </c>
      <c r="H711">
        <v>0</v>
      </c>
      <c r="I711">
        <v>0</v>
      </c>
      <c r="J711">
        <v>1</v>
      </c>
      <c r="K711">
        <v>3</v>
      </c>
      <c r="L711">
        <v>1</v>
      </c>
      <c r="M711" s="1">
        <v>300</v>
      </c>
      <c r="N711">
        <v>709</v>
      </c>
      <c r="O711">
        <v>0</v>
      </c>
      <c r="P711">
        <v>1</v>
      </c>
      <c r="Q711">
        <v>0</v>
      </c>
      <c r="R711">
        <v>0</v>
      </c>
      <c r="S711">
        <v>1</v>
      </c>
      <c r="T711" s="1">
        <v>160</v>
      </c>
      <c r="U711">
        <v>709</v>
      </c>
      <c r="V711">
        <v>0</v>
      </c>
      <c r="W711">
        <v>2</v>
      </c>
      <c r="X711">
        <v>0</v>
      </c>
      <c r="Y711">
        <v>0</v>
      </c>
      <c r="Z711">
        <v>0</v>
      </c>
      <c r="AA711" s="1">
        <v>200</v>
      </c>
      <c r="AB711">
        <v>709</v>
      </c>
      <c r="AC711">
        <v>0</v>
      </c>
      <c r="AD711">
        <v>0</v>
      </c>
      <c r="AE711">
        <v>0</v>
      </c>
      <c r="AF711">
        <v>0</v>
      </c>
      <c r="AG711">
        <v>0</v>
      </c>
      <c r="AH711" s="1">
        <v>0</v>
      </c>
      <c r="AI711">
        <v>709</v>
      </c>
      <c r="AJ711">
        <v>0</v>
      </c>
      <c r="AK711">
        <v>0</v>
      </c>
      <c r="AL711">
        <v>1</v>
      </c>
      <c r="AM711">
        <v>0</v>
      </c>
      <c r="AN711">
        <v>0</v>
      </c>
      <c r="AO711" s="1">
        <v>150</v>
      </c>
    </row>
    <row r="712" spans="7:41" x14ac:dyDescent="0.35">
      <c r="G712">
        <v>710</v>
      </c>
      <c r="H712">
        <v>2</v>
      </c>
      <c r="I712">
        <v>0</v>
      </c>
      <c r="J712">
        <v>0</v>
      </c>
      <c r="K712">
        <v>0</v>
      </c>
      <c r="L712">
        <v>0</v>
      </c>
      <c r="M712" s="1">
        <v>120</v>
      </c>
      <c r="N712">
        <v>710</v>
      </c>
      <c r="O712">
        <v>0</v>
      </c>
      <c r="P712">
        <v>2</v>
      </c>
      <c r="Q712">
        <v>0</v>
      </c>
      <c r="R712">
        <v>0</v>
      </c>
      <c r="S712">
        <v>1</v>
      </c>
      <c r="T712" s="1">
        <v>240</v>
      </c>
      <c r="U712">
        <v>710</v>
      </c>
      <c r="V712">
        <v>0</v>
      </c>
      <c r="W712">
        <v>0</v>
      </c>
      <c r="X712">
        <v>0</v>
      </c>
      <c r="Y712">
        <v>0</v>
      </c>
      <c r="Z712">
        <v>1</v>
      </c>
      <c r="AA712" s="1">
        <v>100</v>
      </c>
      <c r="AB712">
        <v>710</v>
      </c>
      <c r="AC712">
        <v>0</v>
      </c>
      <c r="AD712">
        <v>0</v>
      </c>
      <c r="AE712">
        <v>0</v>
      </c>
      <c r="AF712">
        <v>1</v>
      </c>
      <c r="AG712">
        <v>0</v>
      </c>
      <c r="AH712" s="1">
        <v>120</v>
      </c>
      <c r="AI712">
        <v>710</v>
      </c>
      <c r="AJ712">
        <v>0</v>
      </c>
      <c r="AK712">
        <v>0</v>
      </c>
      <c r="AL712">
        <v>1</v>
      </c>
      <c r="AM712">
        <v>0</v>
      </c>
      <c r="AN712">
        <v>0</v>
      </c>
      <c r="AO712" s="1">
        <v>150</v>
      </c>
    </row>
    <row r="713" spans="7:41" x14ac:dyDescent="0.35">
      <c r="G713">
        <v>711</v>
      </c>
      <c r="H713">
        <v>0</v>
      </c>
      <c r="I713">
        <v>1</v>
      </c>
      <c r="J713">
        <v>1</v>
      </c>
      <c r="K713">
        <v>0</v>
      </c>
      <c r="L713">
        <v>2</v>
      </c>
      <c r="M713" s="1">
        <v>240</v>
      </c>
      <c r="N713">
        <v>711</v>
      </c>
      <c r="O713">
        <v>0</v>
      </c>
      <c r="P713">
        <v>0</v>
      </c>
      <c r="Q713">
        <v>1</v>
      </c>
      <c r="R713">
        <v>0</v>
      </c>
      <c r="S713">
        <v>0</v>
      </c>
      <c r="T713" s="1">
        <v>80</v>
      </c>
      <c r="U713">
        <v>711</v>
      </c>
      <c r="V713">
        <v>0</v>
      </c>
      <c r="W713">
        <v>1</v>
      </c>
      <c r="X713">
        <v>0</v>
      </c>
      <c r="Y713">
        <v>0</v>
      </c>
      <c r="Z713">
        <v>0</v>
      </c>
      <c r="AA713" s="1">
        <v>100</v>
      </c>
      <c r="AB713">
        <v>711</v>
      </c>
      <c r="AC713">
        <v>0</v>
      </c>
      <c r="AD713">
        <v>0</v>
      </c>
      <c r="AE713">
        <v>0</v>
      </c>
      <c r="AF713">
        <v>0</v>
      </c>
      <c r="AG713">
        <v>0</v>
      </c>
      <c r="AH713" s="1">
        <v>0</v>
      </c>
      <c r="AI713">
        <v>711</v>
      </c>
      <c r="AJ713">
        <v>0</v>
      </c>
      <c r="AK713">
        <v>0</v>
      </c>
      <c r="AL713">
        <v>2</v>
      </c>
      <c r="AM713">
        <v>0</v>
      </c>
      <c r="AN713">
        <v>0</v>
      </c>
      <c r="AO713" s="1">
        <v>300</v>
      </c>
    </row>
    <row r="714" spans="7:41" x14ac:dyDescent="0.35">
      <c r="G714">
        <v>712</v>
      </c>
      <c r="H714">
        <v>0</v>
      </c>
      <c r="I714">
        <v>0</v>
      </c>
      <c r="J714">
        <v>2</v>
      </c>
      <c r="K714">
        <v>0</v>
      </c>
      <c r="L714">
        <v>2</v>
      </c>
      <c r="M714" s="1">
        <v>240</v>
      </c>
      <c r="N714">
        <v>712</v>
      </c>
      <c r="O714">
        <v>0</v>
      </c>
      <c r="P714">
        <v>0</v>
      </c>
      <c r="Q714">
        <v>0</v>
      </c>
      <c r="R714">
        <v>0</v>
      </c>
      <c r="S714">
        <v>1</v>
      </c>
      <c r="T714" s="1">
        <v>80</v>
      </c>
      <c r="U714">
        <v>712</v>
      </c>
      <c r="V714">
        <v>0</v>
      </c>
      <c r="W714">
        <v>0</v>
      </c>
      <c r="X714">
        <v>0</v>
      </c>
      <c r="Y714">
        <v>0</v>
      </c>
      <c r="Z714">
        <v>1</v>
      </c>
      <c r="AA714" s="1">
        <v>100</v>
      </c>
      <c r="AB714">
        <v>712</v>
      </c>
      <c r="AC714">
        <v>0</v>
      </c>
      <c r="AD714">
        <v>0</v>
      </c>
      <c r="AE714">
        <v>1</v>
      </c>
      <c r="AF714">
        <v>0</v>
      </c>
      <c r="AG714">
        <v>0</v>
      </c>
      <c r="AH714" s="1">
        <v>120</v>
      </c>
      <c r="AI714">
        <v>712</v>
      </c>
      <c r="AJ714">
        <v>0</v>
      </c>
      <c r="AK714">
        <v>0</v>
      </c>
      <c r="AL714">
        <v>2</v>
      </c>
      <c r="AM714">
        <v>0</v>
      </c>
      <c r="AN714">
        <v>0</v>
      </c>
      <c r="AO714" s="1">
        <v>300</v>
      </c>
    </row>
    <row r="715" spans="7:41" x14ac:dyDescent="0.35">
      <c r="G715">
        <v>713</v>
      </c>
      <c r="H715">
        <v>0</v>
      </c>
      <c r="I715">
        <v>0</v>
      </c>
      <c r="J715">
        <v>3</v>
      </c>
      <c r="K715">
        <v>2</v>
      </c>
      <c r="L715">
        <v>1</v>
      </c>
      <c r="M715" s="1">
        <v>360</v>
      </c>
      <c r="N715">
        <v>713</v>
      </c>
      <c r="O715">
        <v>0</v>
      </c>
      <c r="P715">
        <v>0</v>
      </c>
      <c r="Q715">
        <v>0</v>
      </c>
      <c r="R715">
        <v>1</v>
      </c>
      <c r="S715">
        <v>1</v>
      </c>
      <c r="T715" s="1">
        <v>160</v>
      </c>
      <c r="U715">
        <v>713</v>
      </c>
      <c r="V715">
        <v>0</v>
      </c>
      <c r="W715">
        <v>0</v>
      </c>
      <c r="X715">
        <v>1</v>
      </c>
      <c r="Y715">
        <v>0</v>
      </c>
      <c r="Z715">
        <v>0</v>
      </c>
      <c r="AA715" s="1">
        <v>100</v>
      </c>
      <c r="AB715">
        <v>713</v>
      </c>
      <c r="AC715">
        <v>0</v>
      </c>
      <c r="AD715">
        <v>0</v>
      </c>
      <c r="AE715">
        <v>0</v>
      </c>
      <c r="AF715">
        <v>0</v>
      </c>
      <c r="AG715">
        <v>1</v>
      </c>
      <c r="AH715" s="1">
        <v>120</v>
      </c>
      <c r="AI715">
        <v>713</v>
      </c>
      <c r="AJ715">
        <v>0</v>
      </c>
      <c r="AK715">
        <v>0</v>
      </c>
      <c r="AL715">
        <v>3</v>
      </c>
      <c r="AM715">
        <v>0</v>
      </c>
      <c r="AN715">
        <v>0</v>
      </c>
      <c r="AO715" s="1">
        <v>450</v>
      </c>
    </row>
    <row r="716" spans="7:41" x14ac:dyDescent="0.35">
      <c r="G716">
        <v>714</v>
      </c>
      <c r="H716">
        <v>0</v>
      </c>
      <c r="I716">
        <v>2</v>
      </c>
      <c r="J716">
        <v>1</v>
      </c>
      <c r="K716">
        <v>2</v>
      </c>
      <c r="L716">
        <v>0</v>
      </c>
      <c r="M716" s="1">
        <v>300</v>
      </c>
      <c r="N716">
        <v>714</v>
      </c>
      <c r="O716">
        <v>0</v>
      </c>
      <c r="P716">
        <v>0</v>
      </c>
      <c r="Q716">
        <v>2</v>
      </c>
      <c r="R716">
        <v>0</v>
      </c>
      <c r="S716">
        <v>0</v>
      </c>
      <c r="T716" s="1">
        <v>160</v>
      </c>
      <c r="U716">
        <v>714</v>
      </c>
      <c r="V716">
        <v>0</v>
      </c>
      <c r="W716">
        <v>2</v>
      </c>
      <c r="X716">
        <v>0</v>
      </c>
      <c r="Y716">
        <v>0</v>
      </c>
      <c r="Z716">
        <v>0</v>
      </c>
      <c r="AA716" s="1">
        <v>200</v>
      </c>
      <c r="AB716">
        <v>714</v>
      </c>
      <c r="AC716">
        <v>0</v>
      </c>
      <c r="AD716">
        <v>0</v>
      </c>
      <c r="AE716">
        <v>0</v>
      </c>
      <c r="AF716">
        <v>0</v>
      </c>
      <c r="AG716">
        <v>1</v>
      </c>
      <c r="AH716" s="1">
        <v>120</v>
      </c>
      <c r="AI716">
        <v>714</v>
      </c>
      <c r="AJ716">
        <v>0</v>
      </c>
      <c r="AK716">
        <v>0</v>
      </c>
      <c r="AL716">
        <v>3</v>
      </c>
      <c r="AM716">
        <v>0</v>
      </c>
      <c r="AN716">
        <v>0</v>
      </c>
      <c r="AO716" s="1">
        <v>450</v>
      </c>
    </row>
    <row r="717" spans="7:41" x14ac:dyDescent="0.35">
      <c r="G717">
        <v>715</v>
      </c>
      <c r="H717">
        <v>0</v>
      </c>
      <c r="I717">
        <v>0</v>
      </c>
      <c r="J717">
        <v>0</v>
      </c>
      <c r="K717">
        <v>0</v>
      </c>
      <c r="L717">
        <v>1</v>
      </c>
      <c r="M717" s="1">
        <v>60</v>
      </c>
      <c r="N717">
        <v>715</v>
      </c>
      <c r="O717">
        <v>0</v>
      </c>
      <c r="P717">
        <v>0</v>
      </c>
      <c r="Q717">
        <v>1</v>
      </c>
      <c r="R717">
        <v>0</v>
      </c>
      <c r="S717">
        <v>0</v>
      </c>
      <c r="T717" s="1">
        <v>80</v>
      </c>
      <c r="U717">
        <v>715</v>
      </c>
      <c r="V717">
        <v>0</v>
      </c>
      <c r="W717">
        <v>1</v>
      </c>
      <c r="X717">
        <v>0</v>
      </c>
      <c r="Y717">
        <v>1</v>
      </c>
      <c r="Z717">
        <v>0</v>
      </c>
      <c r="AA717" s="1">
        <v>200</v>
      </c>
      <c r="AB717">
        <v>715</v>
      </c>
      <c r="AC717">
        <v>0</v>
      </c>
      <c r="AD717">
        <v>0</v>
      </c>
      <c r="AE717">
        <v>0</v>
      </c>
      <c r="AF717">
        <v>0</v>
      </c>
      <c r="AG717">
        <v>0</v>
      </c>
      <c r="AH717" s="1">
        <v>0</v>
      </c>
      <c r="AI717">
        <v>715</v>
      </c>
      <c r="AJ717">
        <v>0</v>
      </c>
      <c r="AK717">
        <v>0</v>
      </c>
      <c r="AL717">
        <v>0</v>
      </c>
      <c r="AM717">
        <v>0</v>
      </c>
      <c r="AN717">
        <v>0</v>
      </c>
      <c r="AO717" s="1">
        <v>0</v>
      </c>
    </row>
    <row r="718" spans="7:41" x14ac:dyDescent="0.35">
      <c r="G718">
        <v>716</v>
      </c>
      <c r="H718">
        <v>0</v>
      </c>
      <c r="I718">
        <v>2</v>
      </c>
      <c r="J718">
        <v>1</v>
      </c>
      <c r="K718">
        <v>3</v>
      </c>
      <c r="L718">
        <v>2</v>
      </c>
      <c r="M718" s="1">
        <v>480</v>
      </c>
      <c r="N718">
        <v>716</v>
      </c>
      <c r="O718">
        <v>0</v>
      </c>
      <c r="P718">
        <v>0</v>
      </c>
      <c r="Q718">
        <v>0</v>
      </c>
      <c r="R718">
        <v>0</v>
      </c>
      <c r="S718">
        <v>0</v>
      </c>
      <c r="T718" s="1">
        <v>0</v>
      </c>
      <c r="U718">
        <v>716</v>
      </c>
      <c r="V718">
        <v>0</v>
      </c>
      <c r="W718">
        <v>3</v>
      </c>
      <c r="X718">
        <v>0</v>
      </c>
      <c r="Y718">
        <v>0</v>
      </c>
      <c r="Z718">
        <v>0</v>
      </c>
      <c r="AA718" s="1">
        <v>300</v>
      </c>
      <c r="AB718">
        <v>716</v>
      </c>
      <c r="AC718">
        <v>0</v>
      </c>
      <c r="AD718">
        <v>0</v>
      </c>
      <c r="AE718">
        <v>0</v>
      </c>
      <c r="AF718">
        <v>0</v>
      </c>
      <c r="AG718">
        <v>0</v>
      </c>
      <c r="AH718" s="1">
        <v>0</v>
      </c>
      <c r="AI718">
        <v>716</v>
      </c>
      <c r="AJ718">
        <v>0</v>
      </c>
      <c r="AK718">
        <v>0</v>
      </c>
      <c r="AL718">
        <v>0</v>
      </c>
      <c r="AM718">
        <v>0</v>
      </c>
      <c r="AN718">
        <v>0</v>
      </c>
      <c r="AO718" s="1">
        <v>0</v>
      </c>
    </row>
    <row r="719" spans="7:41" x14ac:dyDescent="0.35">
      <c r="G719">
        <v>717</v>
      </c>
      <c r="H719">
        <v>0</v>
      </c>
      <c r="I719">
        <v>2</v>
      </c>
      <c r="J719">
        <v>0</v>
      </c>
      <c r="K719">
        <v>2</v>
      </c>
      <c r="L719">
        <v>0</v>
      </c>
      <c r="M719" s="1">
        <v>240</v>
      </c>
      <c r="N719">
        <v>717</v>
      </c>
      <c r="O719">
        <v>0</v>
      </c>
      <c r="P719">
        <v>1</v>
      </c>
      <c r="Q719">
        <v>0</v>
      </c>
      <c r="R719">
        <v>3</v>
      </c>
      <c r="S719">
        <v>1</v>
      </c>
      <c r="T719" s="1">
        <v>400</v>
      </c>
      <c r="U719">
        <v>717</v>
      </c>
      <c r="V719">
        <v>0</v>
      </c>
      <c r="W719">
        <v>0</v>
      </c>
      <c r="X719">
        <v>0</v>
      </c>
      <c r="Y719">
        <v>1</v>
      </c>
      <c r="Z719">
        <v>1</v>
      </c>
      <c r="AA719" s="1">
        <v>200</v>
      </c>
      <c r="AB719">
        <v>717</v>
      </c>
      <c r="AC719">
        <v>0</v>
      </c>
      <c r="AD719">
        <v>1</v>
      </c>
      <c r="AE719">
        <v>0</v>
      </c>
      <c r="AF719">
        <v>0</v>
      </c>
      <c r="AG719">
        <v>0</v>
      </c>
      <c r="AH719" s="1">
        <v>120</v>
      </c>
      <c r="AI719">
        <v>717</v>
      </c>
      <c r="AJ719">
        <v>0</v>
      </c>
      <c r="AK719">
        <v>0</v>
      </c>
      <c r="AL719">
        <v>0</v>
      </c>
      <c r="AM719">
        <v>0</v>
      </c>
      <c r="AN719">
        <v>0</v>
      </c>
      <c r="AO719" s="1">
        <v>0</v>
      </c>
    </row>
    <row r="720" spans="7:41" x14ac:dyDescent="0.35">
      <c r="G720">
        <v>718</v>
      </c>
      <c r="H720">
        <v>0</v>
      </c>
      <c r="I720">
        <v>2</v>
      </c>
      <c r="J720">
        <v>0</v>
      </c>
      <c r="K720">
        <v>0</v>
      </c>
      <c r="L720">
        <v>0</v>
      </c>
      <c r="M720" s="1">
        <v>120</v>
      </c>
      <c r="N720">
        <v>718</v>
      </c>
      <c r="O720">
        <v>0</v>
      </c>
      <c r="P720">
        <v>0</v>
      </c>
      <c r="Q720">
        <v>0</v>
      </c>
      <c r="R720">
        <v>0</v>
      </c>
      <c r="S720">
        <v>0</v>
      </c>
      <c r="T720" s="1">
        <v>0</v>
      </c>
      <c r="U720">
        <v>718</v>
      </c>
      <c r="V720">
        <v>0</v>
      </c>
      <c r="W720">
        <v>0</v>
      </c>
      <c r="X720">
        <v>1</v>
      </c>
      <c r="Y720">
        <v>0</v>
      </c>
      <c r="Z720">
        <v>0</v>
      </c>
      <c r="AA720" s="1">
        <v>100</v>
      </c>
      <c r="AB720">
        <v>718</v>
      </c>
      <c r="AC720">
        <v>0</v>
      </c>
      <c r="AD720">
        <v>0</v>
      </c>
      <c r="AE720">
        <v>0</v>
      </c>
      <c r="AF720">
        <v>0</v>
      </c>
      <c r="AG720">
        <v>0</v>
      </c>
      <c r="AH720" s="1">
        <v>0</v>
      </c>
      <c r="AI720">
        <v>718</v>
      </c>
      <c r="AJ720">
        <v>0</v>
      </c>
      <c r="AK720">
        <v>0</v>
      </c>
      <c r="AL720">
        <v>1</v>
      </c>
      <c r="AM720">
        <v>0</v>
      </c>
      <c r="AN720">
        <v>0</v>
      </c>
      <c r="AO720" s="1">
        <v>150</v>
      </c>
    </row>
    <row r="721" spans="7:41" x14ac:dyDescent="0.35">
      <c r="G721">
        <v>719</v>
      </c>
      <c r="H721">
        <v>1</v>
      </c>
      <c r="I721">
        <v>2</v>
      </c>
      <c r="J721">
        <v>0</v>
      </c>
      <c r="K721">
        <v>2</v>
      </c>
      <c r="L721">
        <v>1</v>
      </c>
      <c r="M721" s="1">
        <v>360</v>
      </c>
      <c r="N721">
        <v>719</v>
      </c>
      <c r="O721">
        <v>0</v>
      </c>
      <c r="P721">
        <v>0</v>
      </c>
      <c r="Q721">
        <v>0</v>
      </c>
      <c r="R721">
        <v>2</v>
      </c>
      <c r="S721">
        <v>0</v>
      </c>
      <c r="T721" s="1">
        <v>160</v>
      </c>
      <c r="U721">
        <v>719</v>
      </c>
      <c r="V721">
        <v>0</v>
      </c>
      <c r="W721">
        <v>1</v>
      </c>
      <c r="X721">
        <v>0</v>
      </c>
      <c r="Y721">
        <v>0</v>
      </c>
      <c r="Z721">
        <v>0</v>
      </c>
      <c r="AA721" s="1">
        <v>100</v>
      </c>
      <c r="AB721">
        <v>719</v>
      </c>
      <c r="AC721">
        <v>0</v>
      </c>
      <c r="AD721">
        <v>0</v>
      </c>
      <c r="AE721">
        <v>0</v>
      </c>
      <c r="AF721">
        <v>0</v>
      </c>
      <c r="AG721">
        <v>0</v>
      </c>
      <c r="AH721" s="1">
        <v>0</v>
      </c>
      <c r="AI721">
        <v>719</v>
      </c>
      <c r="AJ721">
        <v>0</v>
      </c>
      <c r="AK721">
        <v>0</v>
      </c>
      <c r="AL721">
        <v>0</v>
      </c>
      <c r="AM721">
        <v>0</v>
      </c>
      <c r="AN721">
        <v>0</v>
      </c>
      <c r="AO721" s="1">
        <v>0</v>
      </c>
    </row>
    <row r="722" spans="7:41" x14ac:dyDescent="0.35">
      <c r="G722">
        <v>720</v>
      </c>
      <c r="H722">
        <v>0</v>
      </c>
      <c r="I722">
        <v>0</v>
      </c>
      <c r="J722">
        <v>1</v>
      </c>
      <c r="K722">
        <v>3</v>
      </c>
      <c r="L722">
        <v>1</v>
      </c>
      <c r="M722" s="1">
        <v>300</v>
      </c>
      <c r="N722">
        <v>720</v>
      </c>
      <c r="O722">
        <v>0</v>
      </c>
      <c r="P722">
        <v>0</v>
      </c>
      <c r="Q722">
        <v>0</v>
      </c>
      <c r="R722">
        <v>0</v>
      </c>
      <c r="S722">
        <v>0</v>
      </c>
      <c r="T722" s="1">
        <v>0</v>
      </c>
      <c r="U722">
        <v>720</v>
      </c>
      <c r="V722">
        <v>0</v>
      </c>
      <c r="W722">
        <v>0</v>
      </c>
      <c r="X722">
        <v>0</v>
      </c>
      <c r="Y722">
        <v>0</v>
      </c>
      <c r="Z722">
        <v>0</v>
      </c>
      <c r="AA722" s="1">
        <v>0</v>
      </c>
      <c r="AB722">
        <v>720</v>
      </c>
      <c r="AC722">
        <v>0</v>
      </c>
      <c r="AD722">
        <v>0</v>
      </c>
      <c r="AE722">
        <v>0</v>
      </c>
      <c r="AF722">
        <v>0</v>
      </c>
      <c r="AG722">
        <v>0</v>
      </c>
      <c r="AH722" s="1">
        <v>0</v>
      </c>
      <c r="AI722">
        <v>720</v>
      </c>
      <c r="AJ722">
        <v>0</v>
      </c>
      <c r="AK722">
        <v>0</v>
      </c>
      <c r="AL722">
        <v>2</v>
      </c>
      <c r="AM722">
        <v>0</v>
      </c>
      <c r="AN722">
        <v>0</v>
      </c>
      <c r="AO722" s="1">
        <v>300</v>
      </c>
    </row>
    <row r="723" spans="7:41" x14ac:dyDescent="0.35">
      <c r="G723">
        <v>721</v>
      </c>
      <c r="H723">
        <v>0</v>
      </c>
      <c r="I723">
        <v>1</v>
      </c>
      <c r="J723">
        <v>0</v>
      </c>
      <c r="K723">
        <v>0</v>
      </c>
      <c r="L723">
        <v>1</v>
      </c>
      <c r="M723" s="1">
        <v>120</v>
      </c>
      <c r="N723">
        <v>721</v>
      </c>
      <c r="O723">
        <v>0</v>
      </c>
      <c r="P723">
        <v>0</v>
      </c>
      <c r="Q723">
        <v>2</v>
      </c>
      <c r="R723">
        <v>0</v>
      </c>
      <c r="S723">
        <v>0</v>
      </c>
      <c r="T723" s="1">
        <v>160</v>
      </c>
      <c r="U723">
        <v>721</v>
      </c>
      <c r="V723">
        <v>0</v>
      </c>
      <c r="W723">
        <v>0</v>
      </c>
      <c r="X723">
        <v>0</v>
      </c>
      <c r="Y723">
        <v>0</v>
      </c>
      <c r="Z723">
        <v>0</v>
      </c>
      <c r="AA723" s="1">
        <v>0</v>
      </c>
      <c r="AB723">
        <v>721</v>
      </c>
      <c r="AC723">
        <v>0</v>
      </c>
      <c r="AD723">
        <v>0</v>
      </c>
      <c r="AE723">
        <v>0</v>
      </c>
      <c r="AF723">
        <v>0</v>
      </c>
      <c r="AG723">
        <v>0</v>
      </c>
      <c r="AH723" s="1">
        <v>0</v>
      </c>
      <c r="AI723">
        <v>721</v>
      </c>
      <c r="AJ723">
        <v>0</v>
      </c>
      <c r="AK723">
        <v>0</v>
      </c>
      <c r="AL723">
        <v>0</v>
      </c>
      <c r="AM723">
        <v>0</v>
      </c>
      <c r="AN723">
        <v>0</v>
      </c>
      <c r="AO723" s="1">
        <v>0</v>
      </c>
    </row>
    <row r="724" spans="7:41" x14ac:dyDescent="0.35">
      <c r="G724">
        <v>722</v>
      </c>
      <c r="H724">
        <v>0</v>
      </c>
      <c r="I724">
        <v>0</v>
      </c>
      <c r="J724">
        <v>0</v>
      </c>
      <c r="K724">
        <v>4</v>
      </c>
      <c r="L724">
        <v>2</v>
      </c>
      <c r="M724" s="1">
        <v>360</v>
      </c>
      <c r="N724">
        <v>722</v>
      </c>
      <c r="O724">
        <v>0</v>
      </c>
      <c r="P724">
        <v>0</v>
      </c>
      <c r="Q724">
        <v>1</v>
      </c>
      <c r="R724">
        <v>0</v>
      </c>
      <c r="S724">
        <v>1</v>
      </c>
      <c r="T724" s="1">
        <v>160</v>
      </c>
      <c r="U724">
        <v>722</v>
      </c>
      <c r="V724">
        <v>0</v>
      </c>
      <c r="W724">
        <v>0</v>
      </c>
      <c r="X724">
        <v>0</v>
      </c>
      <c r="Y724">
        <v>0</v>
      </c>
      <c r="Z724">
        <v>0</v>
      </c>
      <c r="AA724" s="1">
        <v>0</v>
      </c>
      <c r="AB724">
        <v>722</v>
      </c>
      <c r="AC724">
        <v>0</v>
      </c>
      <c r="AD724">
        <v>1</v>
      </c>
      <c r="AE724">
        <v>0</v>
      </c>
      <c r="AF724">
        <v>0</v>
      </c>
      <c r="AG724">
        <v>0</v>
      </c>
      <c r="AH724" s="1">
        <v>120</v>
      </c>
      <c r="AI724">
        <v>722</v>
      </c>
      <c r="AJ724">
        <v>0</v>
      </c>
      <c r="AK724">
        <v>0</v>
      </c>
      <c r="AL724">
        <v>0</v>
      </c>
      <c r="AM724">
        <v>0</v>
      </c>
      <c r="AN724">
        <v>0</v>
      </c>
      <c r="AO724" s="1">
        <v>0</v>
      </c>
    </row>
    <row r="725" spans="7:41" x14ac:dyDescent="0.35">
      <c r="G725">
        <v>723</v>
      </c>
      <c r="H725">
        <v>1</v>
      </c>
      <c r="I725">
        <v>0</v>
      </c>
      <c r="J725">
        <v>0</v>
      </c>
      <c r="K725">
        <v>2</v>
      </c>
      <c r="L725">
        <v>1</v>
      </c>
      <c r="M725" s="1">
        <v>240</v>
      </c>
      <c r="N725">
        <v>723</v>
      </c>
      <c r="O725">
        <v>0</v>
      </c>
      <c r="P725">
        <v>0</v>
      </c>
      <c r="Q725">
        <v>0</v>
      </c>
      <c r="R725">
        <v>0</v>
      </c>
      <c r="S725">
        <v>2</v>
      </c>
      <c r="T725" s="1">
        <v>160</v>
      </c>
      <c r="U725">
        <v>723</v>
      </c>
      <c r="V725">
        <v>0</v>
      </c>
      <c r="W725">
        <v>0</v>
      </c>
      <c r="X725">
        <v>0</v>
      </c>
      <c r="Y725">
        <v>0</v>
      </c>
      <c r="Z725">
        <v>1</v>
      </c>
      <c r="AA725" s="1">
        <v>100</v>
      </c>
      <c r="AB725">
        <v>723</v>
      </c>
      <c r="AC725">
        <v>0</v>
      </c>
      <c r="AD725">
        <v>0</v>
      </c>
      <c r="AE725">
        <v>1</v>
      </c>
      <c r="AF725">
        <v>0</v>
      </c>
      <c r="AG725">
        <v>0</v>
      </c>
      <c r="AH725" s="1">
        <v>120</v>
      </c>
      <c r="AI725">
        <v>723</v>
      </c>
      <c r="AJ725">
        <v>0</v>
      </c>
      <c r="AK725">
        <v>0</v>
      </c>
      <c r="AL725">
        <v>0</v>
      </c>
      <c r="AM725">
        <v>0</v>
      </c>
      <c r="AN725">
        <v>0</v>
      </c>
      <c r="AO725" s="1">
        <v>0</v>
      </c>
    </row>
    <row r="726" spans="7:41" x14ac:dyDescent="0.35">
      <c r="G726">
        <v>724</v>
      </c>
      <c r="H726">
        <v>1</v>
      </c>
      <c r="I726">
        <v>0</v>
      </c>
      <c r="J726">
        <v>0</v>
      </c>
      <c r="K726">
        <v>0</v>
      </c>
      <c r="L726">
        <v>3</v>
      </c>
      <c r="M726" s="1">
        <v>240</v>
      </c>
      <c r="N726">
        <v>724</v>
      </c>
      <c r="O726">
        <v>0</v>
      </c>
      <c r="P726">
        <v>0</v>
      </c>
      <c r="Q726">
        <v>0</v>
      </c>
      <c r="R726">
        <v>0</v>
      </c>
      <c r="S726">
        <v>0</v>
      </c>
      <c r="T726" s="1">
        <v>0</v>
      </c>
      <c r="U726">
        <v>724</v>
      </c>
      <c r="V726">
        <v>0</v>
      </c>
      <c r="W726">
        <v>0</v>
      </c>
      <c r="X726">
        <v>0</v>
      </c>
      <c r="Y726">
        <v>0</v>
      </c>
      <c r="Z726">
        <v>0</v>
      </c>
      <c r="AA726" s="1">
        <v>0</v>
      </c>
      <c r="AB726">
        <v>724</v>
      </c>
      <c r="AC726">
        <v>0</v>
      </c>
      <c r="AD726">
        <v>0</v>
      </c>
      <c r="AE726">
        <v>0</v>
      </c>
      <c r="AF726">
        <v>0</v>
      </c>
      <c r="AG726">
        <v>0</v>
      </c>
      <c r="AH726" s="1">
        <v>0</v>
      </c>
      <c r="AI726">
        <v>724</v>
      </c>
      <c r="AJ726">
        <v>0</v>
      </c>
      <c r="AK726">
        <v>0</v>
      </c>
      <c r="AL726">
        <v>2</v>
      </c>
      <c r="AM726">
        <v>0</v>
      </c>
      <c r="AN726">
        <v>0</v>
      </c>
      <c r="AO726" s="1">
        <v>300</v>
      </c>
    </row>
    <row r="727" spans="7:41" x14ac:dyDescent="0.35">
      <c r="G727">
        <v>725</v>
      </c>
      <c r="H727">
        <v>2</v>
      </c>
      <c r="I727">
        <v>3</v>
      </c>
      <c r="J727">
        <v>2</v>
      </c>
      <c r="K727">
        <v>2</v>
      </c>
      <c r="L727">
        <v>2</v>
      </c>
      <c r="M727" s="1">
        <v>660</v>
      </c>
      <c r="N727">
        <v>725</v>
      </c>
      <c r="O727">
        <v>0</v>
      </c>
      <c r="P727">
        <v>0</v>
      </c>
      <c r="Q727">
        <v>3</v>
      </c>
      <c r="R727">
        <v>0</v>
      </c>
      <c r="S727">
        <v>1</v>
      </c>
      <c r="T727" s="1">
        <v>320</v>
      </c>
      <c r="U727">
        <v>725</v>
      </c>
      <c r="V727">
        <v>0</v>
      </c>
      <c r="W727">
        <v>1</v>
      </c>
      <c r="X727">
        <v>1</v>
      </c>
      <c r="Y727">
        <v>0</v>
      </c>
      <c r="Z727">
        <v>0</v>
      </c>
      <c r="AA727" s="1">
        <v>200</v>
      </c>
      <c r="AB727">
        <v>725</v>
      </c>
      <c r="AC727">
        <v>0</v>
      </c>
      <c r="AD727">
        <v>0</v>
      </c>
      <c r="AE727">
        <v>0</v>
      </c>
      <c r="AF727">
        <v>0</v>
      </c>
      <c r="AG727">
        <v>0</v>
      </c>
      <c r="AH727" s="1">
        <v>0</v>
      </c>
      <c r="AI727">
        <v>725</v>
      </c>
      <c r="AJ727">
        <v>0</v>
      </c>
      <c r="AK727">
        <v>0</v>
      </c>
      <c r="AL727">
        <v>0</v>
      </c>
      <c r="AM727">
        <v>0</v>
      </c>
      <c r="AN727">
        <v>0</v>
      </c>
      <c r="AO727" s="1">
        <v>0</v>
      </c>
    </row>
    <row r="728" spans="7:41" x14ac:dyDescent="0.35">
      <c r="G728">
        <v>726</v>
      </c>
      <c r="H728">
        <v>1</v>
      </c>
      <c r="I728">
        <v>0</v>
      </c>
      <c r="J728">
        <v>1</v>
      </c>
      <c r="K728">
        <v>0</v>
      </c>
      <c r="L728">
        <v>0</v>
      </c>
      <c r="M728" s="1">
        <v>120</v>
      </c>
      <c r="N728">
        <v>726</v>
      </c>
      <c r="O728">
        <v>2</v>
      </c>
      <c r="P728">
        <v>1</v>
      </c>
      <c r="Q728">
        <v>0</v>
      </c>
      <c r="R728">
        <v>0</v>
      </c>
      <c r="S728">
        <v>0</v>
      </c>
      <c r="T728" s="1">
        <v>240</v>
      </c>
      <c r="U728">
        <v>726</v>
      </c>
      <c r="V728">
        <v>0</v>
      </c>
      <c r="W728">
        <v>0</v>
      </c>
      <c r="X728">
        <v>0</v>
      </c>
      <c r="Y728">
        <v>0</v>
      </c>
      <c r="Z728">
        <v>0</v>
      </c>
      <c r="AA728" s="1">
        <v>0</v>
      </c>
      <c r="AB728">
        <v>726</v>
      </c>
      <c r="AC728">
        <v>0</v>
      </c>
      <c r="AD728">
        <v>0</v>
      </c>
      <c r="AE728">
        <v>0</v>
      </c>
      <c r="AF728">
        <v>0</v>
      </c>
      <c r="AG728">
        <v>0</v>
      </c>
      <c r="AH728" s="1">
        <v>0</v>
      </c>
      <c r="AI728">
        <v>726</v>
      </c>
      <c r="AJ728">
        <v>0</v>
      </c>
      <c r="AK728">
        <v>0</v>
      </c>
      <c r="AL728">
        <v>0</v>
      </c>
      <c r="AM728">
        <v>0</v>
      </c>
      <c r="AN728">
        <v>0</v>
      </c>
      <c r="AO728" s="1">
        <v>0</v>
      </c>
    </row>
    <row r="729" spans="7:41" x14ac:dyDescent="0.35">
      <c r="G729">
        <v>727</v>
      </c>
      <c r="H729">
        <v>2</v>
      </c>
      <c r="I729">
        <v>0</v>
      </c>
      <c r="J729">
        <v>0</v>
      </c>
      <c r="K729">
        <v>1</v>
      </c>
      <c r="L729">
        <v>0</v>
      </c>
      <c r="M729" s="1">
        <v>180</v>
      </c>
      <c r="N729">
        <v>727</v>
      </c>
      <c r="O729">
        <v>0</v>
      </c>
      <c r="P729">
        <v>1</v>
      </c>
      <c r="Q729">
        <v>0</v>
      </c>
      <c r="R729">
        <v>2</v>
      </c>
      <c r="S729">
        <v>0</v>
      </c>
      <c r="T729" s="1">
        <v>240</v>
      </c>
      <c r="U729">
        <v>727</v>
      </c>
      <c r="V729">
        <v>0</v>
      </c>
      <c r="W729">
        <v>1</v>
      </c>
      <c r="X729">
        <v>0</v>
      </c>
      <c r="Y729">
        <v>0</v>
      </c>
      <c r="Z729">
        <v>0</v>
      </c>
      <c r="AA729" s="1">
        <v>100</v>
      </c>
      <c r="AB729">
        <v>727</v>
      </c>
      <c r="AC729">
        <v>0</v>
      </c>
      <c r="AD729">
        <v>0</v>
      </c>
      <c r="AE729">
        <v>0</v>
      </c>
      <c r="AF729">
        <v>0</v>
      </c>
      <c r="AG729">
        <v>0</v>
      </c>
      <c r="AH729" s="1">
        <v>0</v>
      </c>
      <c r="AI729">
        <v>727</v>
      </c>
      <c r="AJ729">
        <v>0</v>
      </c>
      <c r="AK729">
        <v>0</v>
      </c>
      <c r="AL729">
        <v>0</v>
      </c>
      <c r="AM729">
        <v>0</v>
      </c>
      <c r="AN729">
        <v>0</v>
      </c>
      <c r="AO729" s="1">
        <v>0</v>
      </c>
    </row>
    <row r="730" spans="7:41" x14ac:dyDescent="0.35">
      <c r="G730">
        <v>728</v>
      </c>
      <c r="H730">
        <v>1</v>
      </c>
      <c r="I730">
        <v>0</v>
      </c>
      <c r="J730">
        <v>1</v>
      </c>
      <c r="K730">
        <v>0</v>
      </c>
      <c r="L730">
        <v>0</v>
      </c>
      <c r="M730" s="1">
        <v>120</v>
      </c>
      <c r="N730">
        <v>728</v>
      </c>
      <c r="O730">
        <v>0</v>
      </c>
      <c r="P730">
        <v>1</v>
      </c>
      <c r="Q730">
        <v>3</v>
      </c>
      <c r="R730">
        <v>1</v>
      </c>
      <c r="S730">
        <v>0</v>
      </c>
      <c r="T730" s="1">
        <v>400</v>
      </c>
      <c r="U730">
        <v>728</v>
      </c>
      <c r="V730">
        <v>0</v>
      </c>
      <c r="W730">
        <v>2</v>
      </c>
      <c r="X730">
        <v>1</v>
      </c>
      <c r="Y730">
        <v>0</v>
      </c>
      <c r="Z730">
        <v>0</v>
      </c>
      <c r="AA730" s="1">
        <v>300</v>
      </c>
      <c r="AB730">
        <v>728</v>
      </c>
      <c r="AC730">
        <v>0</v>
      </c>
      <c r="AD730">
        <v>0</v>
      </c>
      <c r="AE730">
        <v>0</v>
      </c>
      <c r="AF730">
        <v>0</v>
      </c>
      <c r="AG730">
        <v>0</v>
      </c>
      <c r="AH730" s="1">
        <v>0</v>
      </c>
      <c r="AI730">
        <v>728</v>
      </c>
      <c r="AJ730">
        <v>0</v>
      </c>
      <c r="AK730">
        <v>0</v>
      </c>
      <c r="AL730">
        <v>2</v>
      </c>
      <c r="AM730">
        <v>0</v>
      </c>
      <c r="AN730">
        <v>0</v>
      </c>
      <c r="AO730" s="1">
        <v>300</v>
      </c>
    </row>
    <row r="731" spans="7:41" x14ac:dyDescent="0.35">
      <c r="G731">
        <v>729</v>
      </c>
      <c r="H731">
        <v>0</v>
      </c>
      <c r="I731">
        <v>2</v>
      </c>
      <c r="J731">
        <v>0</v>
      </c>
      <c r="K731">
        <v>0</v>
      </c>
      <c r="L731">
        <v>0</v>
      </c>
      <c r="M731" s="1">
        <v>120</v>
      </c>
      <c r="N731">
        <v>729</v>
      </c>
      <c r="O731">
        <v>0</v>
      </c>
      <c r="P731">
        <v>0</v>
      </c>
      <c r="Q731">
        <v>0</v>
      </c>
      <c r="R731">
        <v>1</v>
      </c>
      <c r="S731">
        <v>0</v>
      </c>
      <c r="T731" s="1">
        <v>80</v>
      </c>
      <c r="U731">
        <v>729</v>
      </c>
      <c r="V731">
        <v>1</v>
      </c>
      <c r="W731">
        <v>0</v>
      </c>
      <c r="X731">
        <v>1</v>
      </c>
      <c r="Y731">
        <v>0</v>
      </c>
      <c r="Z731">
        <v>0</v>
      </c>
      <c r="AA731" s="1">
        <v>200</v>
      </c>
      <c r="AB731">
        <v>729</v>
      </c>
      <c r="AC731">
        <v>0</v>
      </c>
      <c r="AD731">
        <v>0</v>
      </c>
      <c r="AE731">
        <v>0</v>
      </c>
      <c r="AF731">
        <v>0</v>
      </c>
      <c r="AG731">
        <v>0</v>
      </c>
      <c r="AH731" s="1">
        <v>0</v>
      </c>
      <c r="AI731">
        <v>729</v>
      </c>
      <c r="AJ731">
        <v>0</v>
      </c>
      <c r="AK731">
        <v>0</v>
      </c>
      <c r="AL731">
        <v>0</v>
      </c>
      <c r="AM731">
        <v>0</v>
      </c>
      <c r="AN731">
        <v>0</v>
      </c>
      <c r="AO731" s="1">
        <v>0</v>
      </c>
    </row>
    <row r="732" spans="7:41" x14ac:dyDescent="0.35">
      <c r="G732">
        <v>730</v>
      </c>
      <c r="H732">
        <v>3</v>
      </c>
      <c r="I732">
        <v>1</v>
      </c>
      <c r="J732">
        <v>2</v>
      </c>
      <c r="K732">
        <v>2</v>
      </c>
      <c r="L732">
        <v>0</v>
      </c>
      <c r="M732" s="1">
        <v>480</v>
      </c>
      <c r="N732">
        <v>730</v>
      </c>
      <c r="O732">
        <v>1</v>
      </c>
      <c r="P732">
        <v>0</v>
      </c>
      <c r="Q732">
        <v>0</v>
      </c>
      <c r="R732">
        <v>0</v>
      </c>
      <c r="S732">
        <v>0</v>
      </c>
      <c r="T732" s="1">
        <v>80</v>
      </c>
      <c r="U732">
        <v>730</v>
      </c>
      <c r="V732">
        <v>0</v>
      </c>
      <c r="W732">
        <v>0</v>
      </c>
      <c r="X732">
        <v>0</v>
      </c>
      <c r="Y732">
        <v>0</v>
      </c>
      <c r="Z732">
        <v>0</v>
      </c>
      <c r="AA732" s="1">
        <v>0</v>
      </c>
      <c r="AB732">
        <v>730</v>
      </c>
      <c r="AC732">
        <v>0</v>
      </c>
      <c r="AD732">
        <v>0</v>
      </c>
      <c r="AE732">
        <v>0</v>
      </c>
      <c r="AF732">
        <v>0</v>
      </c>
      <c r="AG732">
        <v>0</v>
      </c>
      <c r="AH732" s="1">
        <v>0</v>
      </c>
      <c r="AI732">
        <v>730</v>
      </c>
      <c r="AJ732">
        <v>0</v>
      </c>
      <c r="AK732">
        <v>0</v>
      </c>
      <c r="AL732">
        <v>0</v>
      </c>
      <c r="AM732">
        <v>0</v>
      </c>
      <c r="AN732">
        <v>0</v>
      </c>
      <c r="AO732" s="1">
        <v>0</v>
      </c>
    </row>
    <row r="733" spans="7:41" x14ac:dyDescent="0.35">
      <c r="G733">
        <v>731</v>
      </c>
      <c r="H733">
        <v>0</v>
      </c>
      <c r="I733">
        <v>0</v>
      </c>
      <c r="J733">
        <v>4</v>
      </c>
      <c r="K733">
        <v>0</v>
      </c>
      <c r="L733">
        <v>0</v>
      </c>
      <c r="M733" s="1">
        <v>240</v>
      </c>
      <c r="N733">
        <v>731</v>
      </c>
      <c r="O733">
        <v>0</v>
      </c>
      <c r="P733">
        <v>0</v>
      </c>
      <c r="Q733">
        <v>0</v>
      </c>
      <c r="R733">
        <v>0</v>
      </c>
      <c r="S733">
        <v>0</v>
      </c>
      <c r="T733" s="1">
        <v>0</v>
      </c>
      <c r="U733">
        <v>731</v>
      </c>
      <c r="V733">
        <v>0</v>
      </c>
      <c r="W733">
        <v>2</v>
      </c>
      <c r="X733">
        <v>0</v>
      </c>
      <c r="Y733">
        <v>0</v>
      </c>
      <c r="Z733">
        <v>1</v>
      </c>
      <c r="AA733" s="1">
        <v>300</v>
      </c>
      <c r="AB733">
        <v>731</v>
      </c>
      <c r="AC733">
        <v>0</v>
      </c>
      <c r="AD733">
        <v>0</v>
      </c>
      <c r="AE733">
        <v>0</v>
      </c>
      <c r="AF733">
        <v>0</v>
      </c>
      <c r="AG733">
        <v>0</v>
      </c>
      <c r="AH733" s="1">
        <v>0</v>
      </c>
      <c r="AI733">
        <v>731</v>
      </c>
      <c r="AJ733">
        <v>0</v>
      </c>
      <c r="AK733">
        <v>0</v>
      </c>
      <c r="AL733">
        <v>0</v>
      </c>
      <c r="AM733">
        <v>0</v>
      </c>
      <c r="AN733">
        <v>0</v>
      </c>
      <c r="AO733" s="1">
        <v>0</v>
      </c>
    </row>
    <row r="734" spans="7:41" x14ac:dyDescent="0.35">
      <c r="G734">
        <v>732</v>
      </c>
      <c r="H734">
        <v>1</v>
      </c>
      <c r="I734">
        <v>1</v>
      </c>
      <c r="J734">
        <v>0</v>
      </c>
      <c r="K734">
        <v>1</v>
      </c>
      <c r="L734">
        <v>0</v>
      </c>
      <c r="M734" s="1">
        <v>180</v>
      </c>
      <c r="N734">
        <v>732</v>
      </c>
      <c r="O734">
        <v>2</v>
      </c>
      <c r="P734">
        <v>0</v>
      </c>
      <c r="Q734">
        <v>0</v>
      </c>
      <c r="R734">
        <v>2</v>
      </c>
      <c r="S734">
        <v>0</v>
      </c>
      <c r="T734" s="1">
        <v>320</v>
      </c>
      <c r="U734">
        <v>732</v>
      </c>
      <c r="V734">
        <v>0</v>
      </c>
      <c r="W734">
        <v>0</v>
      </c>
      <c r="X734">
        <v>1</v>
      </c>
      <c r="Y734">
        <v>0</v>
      </c>
      <c r="Z734">
        <v>1</v>
      </c>
      <c r="AA734" s="1">
        <v>200</v>
      </c>
      <c r="AB734">
        <v>732</v>
      </c>
      <c r="AC734">
        <v>0</v>
      </c>
      <c r="AD734">
        <v>0</v>
      </c>
      <c r="AE734">
        <v>0</v>
      </c>
      <c r="AF734">
        <v>0</v>
      </c>
      <c r="AG734">
        <v>1</v>
      </c>
      <c r="AH734" s="1">
        <v>120</v>
      </c>
      <c r="AI734">
        <v>732</v>
      </c>
      <c r="AJ734">
        <v>0</v>
      </c>
      <c r="AK734">
        <v>0</v>
      </c>
      <c r="AL734">
        <v>0</v>
      </c>
      <c r="AM734">
        <v>0</v>
      </c>
      <c r="AN734">
        <v>0</v>
      </c>
      <c r="AO734" s="1">
        <v>0</v>
      </c>
    </row>
    <row r="735" spans="7:41" x14ac:dyDescent="0.35">
      <c r="G735">
        <v>733</v>
      </c>
      <c r="H735">
        <v>0</v>
      </c>
      <c r="I735">
        <v>2</v>
      </c>
      <c r="J735">
        <v>0</v>
      </c>
      <c r="K735">
        <v>0</v>
      </c>
      <c r="L735">
        <v>0</v>
      </c>
      <c r="M735" s="1">
        <v>120</v>
      </c>
      <c r="N735">
        <v>733</v>
      </c>
      <c r="O735">
        <v>2</v>
      </c>
      <c r="P735">
        <v>1</v>
      </c>
      <c r="Q735">
        <v>0</v>
      </c>
      <c r="R735">
        <v>0</v>
      </c>
      <c r="S735">
        <v>0</v>
      </c>
      <c r="T735" s="1">
        <v>240</v>
      </c>
      <c r="U735">
        <v>733</v>
      </c>
      <c r="V735">
        <v>0</v>
      </c>
      <c r="W735">
        <v>3</v>
      </c>
      <c r="X735">
        <v>0</v>
      </c>
      <c r="Y735">
        <v>0</v>
      </c>
      <c r="Z735">
        <v>0</v>
      </c>
      <c r="AA735" s="1">
        <v>300</v>
      </c>
      <c r="AB735">
        <v>733</v>
      </c>
      <c r="AC735">
        <v>0</v>
      </c>
      <c r="AD735">
        <v>0</v>
      </c>
      <c r="AE735">
        <v>0</v>
      </c>
      <c r="AF735">
        <v>0</v>
      </c>
      <c r="AG735">
        <v>0</v>
      </c>
      <c r="AH735" s="1">
        <v>0</v>
      </c>
      <c r="AI735">
        <v>733</v>
      </c>
      <c r="AJ735">
        <v>0</v>
      </c>
      <c r="AK735">
        <v>0</v>
      </c>
      <c r="AL735">
        <v>0</v>
      </c>
      <c r="AM735">
        <v>0</v>
      </c>
      <c r="AN735">
        <v>0</v>
      </c>
      <c r="AO735" s="1">
        <v>0</v>
      </c>
    </row>
    <row r="736" spans="7:41" x14ac:dyDescent="0.35">
      <c r="G736">
        <v>734</v>
      </c>
      <c r="H736">
        <v>0</v>
      </c>
      <c r="I736">
        <v>0</v>
      </c>
      <c r="J736">
        <v>1</v>
      </c>
      <c r="K736">
        <v>0</v>
      </c>
      <c r="L736">
        <v>1</v>
      </c>
      <c r="M736" s="1">
        <v>120</v>
      </c>
      <c r="N736">
        <v>734</v>
      </c>
      <c r="O736">
        <v>0</v>
      </c>
      <c r="P736">
        <v>1</v>
      </c>
      <c r="Q736">
        <v>0</v>
      </c>
      <c r="R736">
        <v>0</v>
      </c>
      <c r="S736">
        <v>0</v>
      </c>
      <c r="T736" s="1">
        <v>80</v>
      </c>
      <c r="U736">
        <v>734</v>
      </c>
      <c r="V736">
        <v>0</v>
      </c>
      <c r="W736">
        <v>0</v>
      </c>
      <c r="X736">
        <v>0</v>
      </c>
      <c r="Y736">
        <v>1</v>
      </c>
      <c r="Z736">
        <v>0</v>
      </c>
      <c r="AA736" s="1">
        <v>100</v>
      </c>
      <c r="AB736">
        <v>734</v>
      </c>
      <c r="AC736">
        <v>0</v>
      </c>
      <c r="AD736">
        <v>0</v>
      </c>
      <c r="AE736">
        <v>0</v>
      </c>
      <c r="AF736">
        <v>0</v>
      </c>
      <c r="AG736">
        <v>0</v>
      </c>
      <c r="AH736" s="1">
        <v>0</v>
      </c>
      <c r="AI736">
        <v>734</v>
      </c>
      <c r="AJ736">
        <v>0</v>
      </c>
      <c r="AK736">
        <v>0</v>
      </c>
      <c r="AL736">
        <v>0</v>
      </c>
      <c r="AM736">
        <v>0</v>
      </c>
      <c r="AN736">
        <v>0</v>
      </c>
      <c r="AO736" s="1">
        <v>0</v>
      </c>
    </row>
    <row r="737" spans="7:41" x14ac:dyDescent="0.35">
      <c r="G737">
        <v>735</v>
      </c>
      <c r="H737">
        <v>1</v>
      </c>
      <c r="I737">
        <v>1</v>
      </c>
      <c r="J737">
        <v>1</v>
      </c>
      <c r="K737">
        <v>4</v>
      </c>
      <c r="L737">
        <v>1</v>
      </c>
      <c r="M737" s="1">
        <v>480</v>
      </c>
      <c r="N737">
        <v>735</v>
      </c>
      <c r="O737">
        <v>0</v>
      </c>
      <c r="P737">
        <v>0</v>
      </c>
      <c r="Q737">
        <v>0</v>
      </c>
      <c r="R737">
        <v>0</v>
      </c>
      <c r="S737">
        <v>1</v>
      </c>
      <c r="T737" s="1">
        <v>80</v>
      </c>
      <c r="U737">
        <v>735</v>
      </c>
      <c r="V737">
        <v>0</v>
      </c>
      <c r="W737">
        <v>1</v>
      </c>
      <c r="X737">
        <v>0</v>
      </c>
      <c r="Y737">
        <v>0</v>
      </c>
      <c r="Z737">
        <v>0</v>
      </c>
      <c r="AA737" s="1">
        <v>100</v>
      </c>
      <c r="AB737">
        <v>735</v>
      </c>
      <c r="AC737">
        <v>0</v>
      </c>
      <c r="AD737">
        <v>0</v>
      </c>
      <c r="AE737">
        <v>0</v>
      </c>
      <c r="AF737">
        <v>0</v>
      </c>
      <c r="AG737">
        <v>0</v>
      </c>
      <c r="AH737" s="1">
        <v>0</v>
      </c>
      <c r="AI737">
        <v>735</v>
      </c>
      <c r="AJ737">
        <v>0</v>
      </c>
      <c r="AK737">
        <v>0</v>
      </c>
      <c r="AL737">
        <v>0</v>
      </c>
      <c r="AM737">
        <v>0</v>
      </c>
      <c r="AN737">
        <v>0</v>
      </c>
      <c r="AO737" s="1">
        <v>0</v>
      </c>
    </row>
    <row r="738" spans="7:41" x14ac:dyDescent="0.35">
      <c r="G738">
        <v>736</v>
      </c>
      <c r="H738">
        <v>0</v>
      </c>
      <c r="I738">
        <v>0</v>
      </c>
      <c r="J738">
        <v>1</v>
      </c>
      <c r="K738">
        <v>0</v>
      </c>
      <c r="L738">
        <v>0</v>
      </c>
      <c r="M738" s="1">
        <v>60</v>
      </c>
      <c r="N738">
        <v>736</v>
      </c>
      <c r="O738">
        <v>0</v>
      </c>
      <c r="P738">
        <v>1</v>
      </c>
      <c r="Q738">
        <v>0</v>
      </c>
      <c r="R738">
        <v>0</v>
      </c>
      <c r="S738">
        <v>0</v>
      </c>
      <c r="T738" s="1">
        <v>80</v>
      </c>
      <c r="U738">
        <v>736</v>
      </c>
      <c r="V738">
        <v>0</v>
      </c>
      <c r="W738">
        <v>0</v>
      </c>
      <c r="X738">
        <v>0</v>
      </c>
      <c r="Y738">
        <v>0</v>
      </c>
      <c r="Z738">
        <v>0</v>
      </c>
      <c r="AA738" s="1">
        <v>0</v>
      </c>
      <c r="AB738">
        <v>736</v>
      </c>
      <c r="AC738">
        <v>0</v>
      </c>
      <c r="AD738">
        <v>0</v>
      </c>
      <c r="AE738">
        <v>0</v>
      </c>
      <c r="AF738">
        <v>0</v>
      </c>
      <c r="AG738">
        <v>0</v>
      </c>
      <c r="AH738" s="1">
        <v>0</v>
      </c>
      <c r="AI738">
        <v>736</v>
      </c>
      <c r="AJ738">
        <v>0</v>
      </c>
      <c r="AK738">
        <v>0</v>
      </c>
      <c r="AL738">
        <v>0</v>
      </c>
      <c r="AM738">
        <v>0</v>
      </c>
      <c r="AN738">
        <v>0</v>
      </c>
      <c r="AO738" s="1">
        <v>0</v>
      </c>
    </row>
    <row r="739" spans="7:41" x14ac:dyDescent="0.35">
      <c r="G739">
        <v>737</v>
      </c>
      <c r="H739">
        <v>0</v>
      </c>
      <c r="I739">
        <v>0</v>
      </c>
      <c r="J739">
        <v>2</v>
      </c>
      <c r="K739">
        <v>3</v>
      </c>
      <c r="L739">
        <v>2</v>
      </c>
      <c r="M739" s="1">
        <v>420</v>
      </c>
      <c r="N739">
        <v>737</v>
      </c>
      <c r="O739">
        <v>0</v>
      </c>
      <c r="P739">
        <v>0</v>
      </c>
      <c r="Q739">
        <v>0</v>
      </c>
      <c r="R739">
        <v>0</v>
      </c>
      <c r="S739">
        <v>0</v>
      </c>
      <c r="T739" s="1">
        <v>0</v>
      </c>
      <c r="U739">
        <v>737</v>
      </c>
      <c r="V739">
        <v>0</v>
      </c>
      <c r="W739">
        <v>0</v>
      </c>
      <c r="X739">
        <v>1</v>
      </c>
      <c r="Y739">
        <v>0</v>
      </c>
      <c r="Z739">
        <v>0</v>
      </c>
      <c r="AA739" s="1">
        <v>100</v>
      </c>
      <c r="AB739">
        <v>737</v>
      </c>
      <c r="AC739">
        <v>0</v>
      </c>
      <c r="AD739">
        <v>0</v>
      </c>
      <c r="AE739">
        <v>0</v>
      </c>
      <c r="AF739">
        <v>0</v>
      </c>
      <c r="AG739">
        <v>1</v>
      </c>
      <c r="AH739" s="1">
        <v>120</v>
      </c>
      <c r="AI739">
        <v>737</v>
      </c>
      <c r="AJ739">
        <v>0</v>
      </c>
      <c r="AK739">
        <v>0</v>
      </c>
      <c r="AL739">
        <v>1</v>
      </c>
      <c r="AM739">
        <v>0</v>
      </c>
      <c r="AN739">
        <v>0</v>
      </c>
      <c r="AO739" s="1">
        <v>150</v>
      </c>
    </row>
    <row r="740" spans="7:41" x14ac:dyDescent="0.35">
      <c r="G740">
        <v>738</v>
      </c>
      <c r="H740">
        <v>0</v>
      </c>
      <c r="I740">
        <v>1</v>
      </c>
      <c r="J740">
        <v>2</v>
      </c>
      <c r="K740">
        <v>0</v>
      </c>
      <c r="L740">
        <v>0</v>
      </c>
      <c r="M740" s="1">
        <v>180</v>
      </c>
      <c r="N740">
        <v>738</v>
      </c>
      <c r="O740">
        <v>1</v>
      </c>
      <c r="P740">
        <v>1</v>
      </c>
      <c r="Q740">
        <v>0</v>
      </c>
      <c r="R740">
        <v>1</v>
      </c>
      <c r="S740">
        <v>0</v>
      </c>
      <c r="T740" s="1">
        <v>240</v>
      </c>
      <c r="U740">
        <v>738</v>
      </c>
      <c r="V740">
        <v>0</v>
      </c>
      <c r="W740">
        <v>0</v>
      </c>
      <c r="X740">
        <v>0</v>
      </c>
      <c r="Y740">
        <v>0</v>
      </c>
      <c r="Z740">
        <v>0</v>
      </c>
      <c r="AA740" s="1">
        <v>0</v>
      </c>
      <c r="AB740">
        <v>738</v>
      </c>
      <c r="AC740">
        <v>0</v>
      </c>
      <c r="AD740">
        <v>0</v>
      </c>
      <c r="AE740">
        <v>0</v>
      </c>
      <c r="AF740">
        <v>0</v>
      </c>
      <c r="AG740">
        <v>0</v>
      </c>
      <c r="AH740" s="1">
        <v>0</v>
      </c>
      <c r="AI740">
        <v>738</v>
      </c>
      <c r="AJ740">
        <v>0</v>
      </c>
      <c r="AK740">
        <v>0</v>
      </c>
      <c r="AL740">
        <v>1</v>
      </c>
      <c r="AM740">
        <v>0</v>
      </c>
      <c r="AN740">
        <v>0</v>
      </c>
      <c r="AO740" s="1">
        <v>150</v>
      </c>
    </row>
    <row r="741" spans="7:41" x14ac:dyDescent="0.35">
      <c r="G741">
        <v>739</v>
      </c>
      <c r="H741">
        <v>0</v>
      </c>
      <c r="I741">
        <v>1</v>
      </c>
      <c r="J741">
        <v>0</v>
      </c>
      <c r="K741">
        <v>0</v>
      </c>
      <c r="L741">
        <v>2</v>
      </c>
      <c r="M741" s="1">
        <v>180</v>
      </c>
      <c r="N741">
        <v>739</v>
      </c>
      <c r="O741">
        <v>0</v>
      </c>
      <c r="P741">
        <v>0</v>
      </c>
      <c r="Q741">
        <v>0</v>
      </c>
      <c r="R741">
        <v>0</v>
      </c>
      <c r="S741">
        <v>1</v>
      </c>
      <c r="T741" s="1">
        <v>80</v>
      </c>
      <c r="U741">
        <v>739</v>
      </c>
      <c r="V741">
        <v>0</v>
      </c>
      <c r="W741">
        <v>0</v>
      </c>
      <c r="X741">
        <v>0</v>
      </c>
      <c r="Y741">
        <v>0</v>
      </c>
      <c r="Z741">
        <v>0</v>
      </c>
      <c r="AA741" s="1">
        <v>0</v>
      </c>
      <c r="AB741">
        <v>739</v>
      </c>
      <c r="AC741">
        <v>0</v>
      </c>
      <c r="AD741">
        <v>0</v>
      </c>
      <c r="AE741">
        <v>0</v>
      </c>
      <c r="AF741">
        <v>0</v>
      </c>
      <c r="AG741">
        <v>0</v>
      </c>
      <c r="AH741" s="1">
        <v>0</v>
      </c>
      <c r="AI741">
        <v>739</v>
      </c>
      <c r="AJ741">
        <v>0</v>
      </c>
      <c r="AK741">
        <v>0</v>
      </c>
      <c r="AL741">
        <v>3</v>
      </c>
      <c r="AM741">
        <v>0</v>
      </c>
      <c r="AN741">
        <v>0</v>
      </c>
      <c r="AO741" s="1">
        <v>450</v>
      </c>
    </row>
    <row r="742" spans="7:41" x14ac:dyDescent="0.35">
      <c r="G742">
        <v>740</v>
      </c>
      <c r="H742">
        <v>0</v>
      </c>
      <c r="I742">
        <v>0</v>
      </c>
      <c r="J742">
        <v>3</v>
      </c>
      <c r="K742">
        <v>2</v>
      </c>
      <c r="L742">
        <v>2</v>
      </c>
      <c r="M742" s="1">
        <v>420</v>
      </c>
      <c r="N742">
        <v>740</v>
      </c>
      <c r="O742">
        <v>2</v>
      </c>
      <c r="P742">
        <v>2</v>
      </c>
      <c r="Q742">
        <v>0</v>
      </c>
      <c r="R742">
        <v>0</v>
      </c>
      <c r="S742">
        <v>1</v>
      </c>
      <c r="T742" s="1">
        <v>400</v>
      </c>
      <c r="U742">
        <v>740</v>
      </c>
      <c r="V742">
        <v>0</v>
      </c>
      <c r="W742">
        <v>3</v>
      </c>
      <c r="X742">
        <v>0</v>
      </c>
      <c r="Y742">
        <v>0</v>
      </c>
      <c r="Z742">
        <v>0</v>
      </c>
      <c r="AA742" s="1">
        <v>300</v>
      </c>
      <c r="AB742">
        <v>740</v>
      </c>
      <c r="AC742">
        <v>0</v>
      </c>
      <c r="AD742">
        <v>0</v>
      </c>
      <c r="AE742">
        <v>0</v>
      </c>
      <c r="AF742">
        <v>0</v>
      </c>
      <c r="AG742">
        <v>3</v>
      </c>
      <c r="AH742" s="1">
        <v>360</v>
      </c>
      <c r="AI742">
        <v>740</v>
      </c>
      <c r="AJ742">
        <v>0</v>
      </c>
      <c r="AK742">
        <v>0</v>
      </c>
      <c r="AL742">
        <v>0</v>
      </c>
      <c r="AM742">
        <v>0</v>
      </c>
      <c r="AN742">
        <v>0</v>
      </c>
      <c r="AO742" s="1">
        <v>0</v>
      </c>
    </row>
    <row r="743" spans="7:41" x14ac:dyDescent="0.35">
      <c r="G743">
        <v>741</v>
      </c>
      <c r="H743">
        <v>0</v>
      </c>
      <c r="I743">
        <v>0</v>
      </c>
      <c r="J743">
        <v>3</v>
      </c>
      <c r="K743">
        <v>2</v>
      </c>
      <c r="L743">
        <v>1</v>
      </c>
      <c r="M743" s="1">
        <v>360</v>
      </c>
      <c r="N743">
        <v>741</v>
      </c>
      <c r="O743">
        <v>2</v>
      </c>
      <c r="P743">
        <v>1</v>
      </c>
      <c r="Q743">
        <v>0</v>
      </c>
      <c r="R743">
        <v>0</v>
      </c>
      <c r="S743">
        <v>0</v>
      </c>
      <c r="T743" s="1">
        <v>240</v>
      </c>
      <c r="U743">
        <v>741</v>
      </c>
      <c r="V743">
        <v>0</v>
      </c>
      <c r="W743">
        <v>0</v>
      </c>
      <c r="X743">
        <v>0</v>
      </c>
      <c r="Y743">
        <v>0</v>
      </c>
      <c r="Z743">
        <v>0</v>
      </c>
      <c r="AA743" s="1">
        <v>0</v>
      </c>
      <c r="AB743">
        <v>741</v>
      </c>
      <c r="AC743">
        <v>0</v>
      </c>
      <c r="AD743">
        <v>0</v>
      </c>
      <c r="AE743">
        <v>0</v>
      </c>
      <c r="AF743">
        <v>0</v>
      </c>
      <c r="AG743">
        <v>0</v>
      </c>
      <c r="AH743" s="1">
        <v>0</v>
      </c>
      <c r="AI743">
        <v>741</v>
      </c>
      <c r="AJ743">
        <v>0</v>
      </c>
      <c r="AK743">
        <v>0</v>
      </c>
      <c r="AL743">
        <v>0</v>
      </c>
      <c r="AM743">
        <v>0</v>
      </c>
      <c r="AN743">
        <v>0</v>
      </c>
      <c r="AO743" s="1">
        <v>0</v>
      </c>
    </row>
    <row r="744" spans="7:41" x14ac:dyDescent="0.35">
      <c r="G744">
        <v>742</v>
      </c>
      <c r="H744">
        <v>1</v>
      </c>
      <c r="I744">
        <v>1</v>
      </c>
      <c r="J744">
        <v>3</v>
      </c>
      <c r="K744">
        <v>0</v>
      </c>
      <c r="L744">
        <v>0</v>
      </c>
      <c r="M744" s="1">
        <v>300</v>
      </c>
      <c r="N744">
        <v>742</v>
      </c>
      <c r="O744">
        <v>0</v>
      </c>
      <c r="P744">
        <v>1</v>
      </c>
      <c r="Q744">
        <v>0</v>
      </c>
      <c r="R744">
        <v>0</v>
      </c>
      <c r="S744">
        <v>0</v>
      </c>
      <c r="T744" s="1">
        <v>80</v>
      </c>
      <c r="U744">
        <v>742</v>
      </c>
      <c r="V744">
        <v>0</v>
      </c>
      <c r="W744">
        <v>1</v>
      </c>
      <c r="X744">
        <v>0</v>
      </c>
      <c r="Y744">
        <v>0</v>
      </c>
      <c r="Z744">
        <v>0</v>
      </c>
      <c r="AA744" s="1">
        <v>100</v>
      </c>
      <c r="AB744">
        <v>742</v>
      </c>
      <c r="AC744">
        <v>0</v>
      </c>
      <c r="AD744">
        <v>1</v>
      </c>
      <c r="AE744">
        <v>0</v>
      </c>
      <c r="AF744">
        <v>0</v>
      </c>
      <c r="AG744">
        <v>0</v>
      </c>
      <c r="AH744" s="1">
        <v>120</v>
      </c>
      <c r="AI744">
        <v>742</v>
      </c>
      <c r="AJ744">
        <v>0</v>
      </c>
      <c r="AK744">
        <v>0</v>
      </c>
      <c r="AL744">
        <v>0</v>
      </c>
      <c r="AM744">
        <v>0</v>
      </c>
      <c r="AN744">
        <v>0</v>
      </c>
      <c r="AO744" s="1">
        <v>0</v>
      </c>
    </row>
    <row r="745" spans="7:41" x14ac:dyDescent="0.35">
      <c r="G745">
        <v>743</v>
      </c>
      <c r="H745">
        <v>0</v>
      </c>
      <c r="I745">
        <v>0</v>
      </c>
      <c r="J745">
        <v>0</v>
      </c>
      <c r="K745">
        <v>4</v>
      </c>
      <c r="L745">
        <v>0</v>
      </c>
      <c r="M745" s="1">
        <v>240</v>
      </c>
      <c r="N745">
        <v>743</v>
      </c>
      <c r="O745">
        <v>0</v>
      </c>
      <c r="P745">
        <v>1</v>
      </c>
      <c r="Q745">
        <v>2</v>
      </c>
      <c r="R745">
        <v>0</v>
      </c>
      <c r="S745">
        <v>0</v>
      </c>
      <c r="T745" s="1">
        <v>240</v>
      </c>
      <c r="U745">
        <v>743</v>
      </c>
      <c r="V745">
        <v>0</v>
      </c>
      <c r="W745">
        <v>0</v>
      </c>
      <c r="X745">
        <v>0</v>
      </c>
      <c r="Y745">
        <v>0</v>
      </c>
      <c r="Z745">
        <v>0</v>
      </c>
      <c r="AA745" s="1">
        <v>0</v>
      </c>
      <c r="AB745">
        <v>743</v>
      </c>
      <c r="AC745">
        <v>0</v>
      </c>
      <c r="AD745">
        <v>0</v>
      </c>
      <c r="AE745">
        <v>0</v>
      </c>
      <c r="AF745">
        <v>0</v>
      </c>
      <c r="AG745">
        <v>0</v>
      </c>
      <c r="AH745" s="1">
        <v>0</v>
      </c>
      <c r="AI745">
        <v>743</v>
      </c>
      <c r="AJ745">
        <v>0</v>
      </c>
      <c r="AK745">
        <v>0</v>
      </c>
      <c r="AL745">
        <v>3</v>
      </c>
      <c r="AM745">
        <v>0</v>
      </c>
      <c r="AN745">
        <v>0</v>
      </c>
      <c r="AO745" s="1">
        <v>450</v>
      </c>
    </row>
    <row r="746" spans="7:41" x14ac:dyDescent="0.35">
      <c r="G746">
        <v>744</v>
      </c>
      <c r="H746">
        <v>1</v>
      </c>
      <c r="I746">
        <v>0</v>
      </c>
      <c r="J746">
        <v>0</v>
      </c>
      <c r="K746">
        <v>0</v>
      </c>
      <c r="L746">
        <v>1</v>
      </c>
      <c r="M746" s="1">
        <v>120</v>
      </c>
      <c r="N746">
        <v>744</v>
      </c>
      <c r="O746">
        <v>1</v>
      </c>
      <c r="P746">
        <v>0</v>
      </c>
      <c r="Q746">
        <v>0</v>
      </c>
      <c r="R746">
        <v>0</v>
      </c>
      <c r="S746">
        <v>0</v>
      </c>
      <c r="T746" s="1">
        <v>80</v>
      </c>
      <c r="U746">
        <v>744</v>
      </c>
      <c r="V746">
        <v>0</v>
      </c>
      <c r="W746">
        <v>0</v>
      </c>
      <c r="X746">
        <v>0</v>
      </c>
      <c r="Y746">
        <v>0</v>
      </c>
      <c r="Z746">
        <v>0</v>
      </c>
      <c r="AA746" s="1">
        <v>0</v>
      </c>
      <c r="AB746">
        <v>744</v>
      </c>
      <c r="AC746">
        <v>1</v>
      </c>
      <c r="AD746">
        <v>0</v>
      </c>
      <c r="AE746">
        <v>0</v>
      </c>
      <c r="AF746">
        <v>0</v>
      </c>
      <c r="AG746">
        <v>0</v>
      </c>
      <c r="AH746" s="1">
        <v>120</v>
      </c>
      <c r="AI746">
        <v>744</v>
      </c>
      <c r="AJ746">
        <v>0</v>
      </c>
      <c r="AK746">
        <v>0</v>
      </c>
      <c r="AL746">
        <v>0</v>
      </c>
      <c r="AM746">
        <v>0</v>
      </c>
      <c r="AN746">
        <v>0</v>
      </c>
      <c r="AO746" s="1">
        <v>0</v>
      </c>
    </row>
    <row r="747" spans="7:41" x14ac:dyDescent="0.35">
      <c r="G747">
        <v>745</v>
      </c>
      <c r="H747">
        <v>1</v>
      </c>
      <c r="I747">
        <v>0</v>
      </c>
      <c r="J747">
        <v>0</v>
      </c>
      <c r="K747">
        <v>0</v>
      </c>
      <c r="L747">
        <v>0</v>
      </c>
      <c r="M747" s="1">
        <v>60</v>
      </c>
      <c r="N747">
        <v>745</v>
      </c>
      <c r="O747">
        <v>0</v>
      </c>
      <c r="P747">
        <v>0</v>
      </c>
      <c r="Q747">
        <v>0</v>
      </c>
      <c r="R747">
        <v>1</v>
      </c>
      <c r="S747">
        <v>1</v>
      </c>
      <c r="T747" s="1">
        <v>160</v>
      </c>
      <c r="U747">
        <v>745</v>
      </c>
      <c r="V747">
        <v>0</v>
      </c>
      <c r="W747">
        <v>0</v>
      </c>
      <c r="X747">
        <v>0</v>
      </c>
      <c r="Y747">
        <v>0</v>
      </c>
      <c r="Z747">
        <v>0</v>
      </c>
      <c r="AA747" s="1">
        <v>0</v>
      </c>
      <c r="AB747">
        <v>745</v>
      </c>
      <c r="AC747">
        <v>0</v>
      </c>
      <c r="AD747">
        <v>0</v>
      </c>
      <c r="AE747">
        <v>0</v>
      </c>
      <c r="AF747">
        <v>0</v>
      </c>
      <c r="AG747">
        <v>0</v>
      </c>
      <c r="AH747" s="1">
        <v>0</v>
      </c>
      <c r="AI747">
        <v>745</v>
      </c>
      <c r="AJ747">
        <v>0</v>
      </c>
      <c r="AK747">
        <v>0</v>
      </c>
      <c r="AL747">
        <v>3</v>
      </c>
      <c r="AM747">
        <v>0</v>
      </c>
      <c r="AN747">
        <v>0</v>
      </c>
      <c r="AO747" s="1">
        <v>450</v>
      </c>
    </row>
    <row r="748" spans="7:41" x14ac:dyDescent="0.35">
      <c r="G748">
        <v>746</v>
      </c>
      <c r="H748">
        <v>0</v>
      </c>
      <c r="I748">
        <v>0</v>
      </c>
      <c r="J748">
        <v>0</v>
      </c>
      <c r="K748">
        <v>4</v>
      </c>
      <c r="L748">
        <v>2</v>
      </c>
      <c r="M748" s="1">
        <v>360</v>
      </c>
      <c r="N748">
        <v>746</v>
      </c>
      <c r="O748">
        <v>0</v>
      </c>
      <c r="P748">
        <v>0</v>
      </c>
      <c r="Q748">
        <v>3</v>
      </c>
      <c r="R748">
        <v>0</v>
      </c>
      <c r="S748">
        <v>0</v>
      </c>
      <c r="T748" s="1">
        <v>240</v>
      </c>
      <c r="U748">
        <v>746</v>
      </c>
      <c r="V748">
        <v>0</v>
      </c>
      <c r="W748">
        <v>0</v>
      </c>
      <c r="X748">
        <v>0</v>
      </c>
      <c r="Y748">
        <v>0</v>
      </c>
      <c r="Z748">
        <v>0</v>
      </c>
      <c r="AA748" s="1">
        <v>0</v>
      </c>
      <c r="AB748">
        <v>746</v>
      </c>
      <c r="AC748">
        <v>0</v>
      </c>
      <c r="AD748">
        <v>0</v>
      </c>
      <c r="AE748">
        <v>1</v>
      </c>
      <c r="AF748">
        <v>0</v>
      </c>
      <c r="AG748">
        <v>0</v>
      </c>
      <c r="AH748" s="1">
        <v>120</v>
      </c>
      <c r="AI748">
        <v>746</v>
      </c>
      <c r="AJ748">
        <v>0</v>
      </c>
      <c r="AK748">
        <v>1</v>
      </c>
      <c r="AL748">
        <v>0</v>
      </c>
      <c r="AM748">
        <v>0</v>
      </c>
      <c r="AN748">
        <v>0</v>
      </c>
      <c r="AO748" s="1">
        <v>150</v>
      </c>
    </row>
    <row r="749" spans="7:41" x14ac:dyDescent="0.35">
      <c r="G749">
        <v>747</v>
      </c>
      <c r="H749">
        <v>0</v>
      </c>
      <c r="I749">
        <v>1</v>
      </c>
      <c r="J749">
        <v>3</v>
      </c>
      <c r="K749">
        <v>1</v>
      </c>
      <c r="L749">
        <v>0</v>
      </c>
      <c r="M749" s="1">
        <v>300</v>
      </c>
      <c r="N749">
        <v>747</v>
      </c>
      <c r="O749">
        <v>0</v>
      </c>
      <c r="P749">
        <v>1</v>
      </c>
      <c r="Q749">
        <v>3</v>
      </c>
      <c r="R749">
        <v>0</v>
      </c>
      <c r="S749">
        <v>1</v>
      </c>
      <c r="T749" s="1">
        <v>400</v>
      </c>
      <c r="U749">
        <v>747</v>
      </c>
      <c r="V749">
        <v>0</v>
      </c>
      <c r="W749">
        <v>0</v>
      </c>
      <c r="X749">
        <v>0</v>
      </c>
      <c r="Y749">
        <v>0</v>
      </c>
      <c r="Z749">
        <v>0</v>
      </c>
      <c r="AA749" s="1">
        <v>0</v>
      </c>
      <c r="AB749">
        <v>747</v>
      </c>
      <c r="AC749">
        <v>1</v>
      </c>
      <c r="AD749">
        <v>0</v>
      </c>
      <c r="AE749">
        <v>0</v>
      </c>
      <c r="AF749">
        <v>0</v>
      </c>
      <c r="AG749">
        <v>0</v>
      </c>
      <c r="AH749" s="1">
        <v>120</v>
      </c>
      <c r="AI749">
        <v>747</v>
      </c>
      <c r="AJ749">
        <v>0</v>
      </c>
      <c r="AK749">
        <v>0</v>
      </c>
      <c r="AL749">
        <v>0</v>
      </c>
      <c r="AM749">
        <v>0</v>
      </c>
      <c r="AN749">
        <v>0</v>
      </c>
      <c r="AO749" s="1">
        <v>0</v>
      </c>
    </row>
    <row r="750" spans="7:41" x14ac:dyDescent="0.35">
      <c r="G750">
        <v>748</v>
      </c>
      <c r="H750">
        <v>0</v>
      </c>
      <c r="I750">
        <v>1</v>
      </c>
      <c r="J750">
        <v>0</v>
      </c>
      <c r="K750">
        <v>1</v>
      </c>
      <c r="L750">
        <v>1</v>
      </c>
      <c r="M750" s="1">
        <v>180</v>
      </c>
      <c r="N750">
        <v>748</v>
      </c>
      <c r="O750">
        <v>0</v>
      </c>
      <c r="P750">
        <v>0</v>
      </c>
      <c r="Q750">
        <v>0</v>
      </c>
      <c r="R750">
        <v>0</v>
      </c>
      <c r="S750">
        <v>1</v>
      </c>
      <c r="T750" s="1">
        <v>80</v>
      </c>
      <c r="U750">
        <v>748</v>
      </c>
      <c r="V750">
        <v>0</v>
      </c>
      <c r="W750">
        <v>0</v>
      </c>
      <c r="X750">
        <v>0</v>
      </c>
      <c r="Y750">
        <v>0</v>
      </c>
      <c r="Z750">
        <v>0</v>
      </c>
      <c r="AA750" s="1">
        <v>0</v>
      </c>
      <c r="AB750">
        <v>748</v>
      </c>
      <c r="AC750">
        <v>0</v>
      </c>
      <c r="AD750">
        <v>0</v>
      </c>
      <c r="AE750">
        <v>0</v>
      </c>
      <c r="AF750">
        <v>0</v>
      </c>
      <c r="AG750">
        <v>0</v>
      </c>
      <c r="AH750" s="1">
        <v>0</v>
      </c>
      <c r="AI750">
        <v>748</v>
      </c>
      <c r="AJ750">
        <v>0</v>
      </c>
      <c r="AK750">
        <v>0</v>
      </c>
      <c r="AL750">
        <v>0</v>
      </c>
      <c r="AM750">
        <v>0</v>
      </c>
      <c r="AN750">
        <v>0</v>
      </c>
      <c r="AO750" s="1">
        <v>0</v>
      </c>
    </row>
    <row r="751" spans="7:41" x14ac:dyDescent="0.35">
      <c r="G751">
        <v>749</v>
      </c>
      <c r="H751">
        <v>0</v>
      </c>
      <c r="I751">
        <v>1</v>
      </c>
      <c r="J751">
        <v>2</v>
      </c>
      <c r="K751">
        <v>3</v>
      </c>
      <c r="L751">
        <v>2</v>
      </c>
      <c r="M751" s="1">
        <v>480</v>
      </c>
      <c r="N751">
        <v>749</v>
      </c>
      <c r="O751">
        <v>0</v>
      </c>
      <c r="P751">
        <v>0</v>
      </c>
      <c r="Q751">
        <v>0</v>
      </c>
      <c r="R751">
        <v>0</v>
      </c>
      <c r="S751">
        <v>0</v>
      </c>
      <c r="T751" s="1">
        <v>0</v>
      </c>
      <c r="U751">
        <v>749</v>
      </c>
      <c r="V751">
        <v>0</v>
      </c>
      <c r="W751">
        <v>0</v>
      </c>
      <c r="X751">
        <v>0</v>
      </c>
      <c r="Y751">
        <v>0</v>
      </c>
      <c r="Z751">
        <v>0</v>
      </c>
      <c r="AA751" s="1">
        <v>0</v>
      </c>
      <c r="AB751">
        <v>749</v>
      </c>
      <c r="AC751">
        <v>0</v>
      </c>
      <c r="AD751">
        <v>0</v>
      </c>
      <c r="AE751">
        <v>0</v>
      </c>
      <c r="AF751">
        <v>1</v>
      </c>
      <c r="AG751">
        <v>0</v>
      </c>
      <c r="AH751" s="1">
        <v>120</v>
      </c>
      <c r="AI751">
        <v>749</v>
      </c>
      <c r="AJ751">
        <v>0</v>
      </c>
      <c r="AK751">
        <v>0</v>
      </c>
      <c r="AL751">
        <v>0</v>
      </c>
      <c r="AM751">
        <v>0</v>
      </c>
      <c r="AN751">
        <v>0</v>
      </c>
      <c r="AO751" s="1">
        <v>0</v>
      </c>
    </row>
    <row r="752" spans="7:41" x14ac:dyDescent="0.35">
      <c r="G752">
        <v>750</v>
      </c>
      <c r="H752">
        <v>0</v>
      </c>
      <c r="I752">
        <v>2</v>
      </c>
      <c r="J752">
        <v>0</v>
      </c>
      <c r="K752">
        <v>0</v>
      </c>
      <c r="L752">
        <v>1</v>
      </c>
      <c r="M752" s="1">
        <v>180</v>
      </c>
      <c r="N752">
        <v>750</v>
      </c>
      <c r="O752">
        <v>2</v>
      </c>
      <c r="P752">
        <v>0</v>
      </c>
      <c r="Q752">
        <v>2</v>
      </c>
      <c r="R752">
        <v>1</v>
      </c>
      <c r="S752">
        <v>0</v>
      </c>
      <c r="T752" s="1">
        <v>400</v>
      </c>
      <c r="U752">
        <v>750</v>
      </c>
      <c r="V752">
        <v>0</v>
      </c>
      <c r="W752">
        <v>0</v>
      </c>
      <c r="X752">
        <v>0</v>
      </c>
      <c r="Y752">
        <v>0</v>
      </c>
      <c r="Z752">
        <v>0</v>
      </c>
      <c r="AA752" s="1">
        <v>0</v>
      </c>
      <c r="AB752">
        <v>750</v>
      </c>
      <c r="AC752">
        <v>0</v>
      </c>
      <c r="AD752">
        <v>0</v>
      </c>
      <c r="AE752">
        <v>0</v>
      </c>
      <c r="AF752">
        <v>0</v>
      </c>
      <c r="AG752">
        <v>0</v>
      </c>
      <c r="AH752" s="1">
        <v>0</v>
      </c>
      <c r="AI752">
        <v>750</v>
      </c>
      <c r="AJ752">
        <v>0</v>
      </c>
      <c r="AK752">
        <v>0</v>
      </c>
      <c r="AL752">
        <v>0</v>
      </c>
      <c r="AM752">
        <v>0</v>
      </c>
      <c r="AN752">
        <v>0</v>
      </c>
      <c r="AO752" s="1">
        <v>0</v>
      </c>
    </row>
    <row r="753" spans="7:41" x14ac:dyDescent="0.35">
      <c r="G753">
        <v>751</v>
      </c>
      <c r="H753">
        <v>0</v>
      </c>
      <c r="I753">
        <v>2</v>
      </c>
      <c r="J753">
        <v>1</v>
      </c>
      <c r="K753">
        <v>0</v>
      </c>
      <c r="L753">
        <v>2</v>
      </c>
      <c r="M753" s="1">
        <v>300</v>
      </c>
      <c r="N753">
        <v>751</v>
      </c>
      <c r="O753">
        <v>0</v>
      </c>
      <c r="P753">
        <v>0</v>
      </c>
      <c r="Q753">
        <v>2</v>
      </c>
      <c r="R753">
        <v>0</v>
      </c>
      <c r="S753">
        <v>0</v>
      </c>
      <c r="T753" s="1">
        <v>160</v>
      </c>
      <c r="U753">
        <v>751</v>
      </c>
      <c r="V753">
        <v>0</v>
      </c>
      <c r="W753">
        <v>0</v>
      </c>
      <c r="X753">
        <v>0</v>
      </c>
      <c r="Y753">
        <v>0</v>
      </c>
      <c r="Z753">
        <v>0</v>
      </c>
      <c r="AA753" s="1">
        <v>0</v>
      </c>
      <c r="AB753">
        <v>751</v>
      </c>
      <c r="AC753">
        <v>0</v>
      </c>
      <c r="AD753">
        <v>0</v>
      </c>
      <c r="AE753">
        <v>0</v>
      </c>
      <c r="AF753">
        <v>0</v>
      </c>
      <c r="AG753">
        <v>0</v>
      </c>
      <c r="AH753" s="1">
        <v>0</v>
      </c>
      <c r="AI753">
        <v>751</v>
      </c>
      <c r="AJ753">
        <v>0</v>
      </c>
      <c r="AK753">
        <v>0</v>
      </c>
      <c r="AL753">
        <v>0</v>
      </c>
      <c r="AM753">
        <v>0</v>
      </c>
      <c r="AN753">
        <v>0</v>
      </c>
      <c r="AO753" s="1">
        <v>0</v>
      </c>
    </row>
    <row r="754" spans="7:41" x14ac:dyDescent="0.35">
      <c r="G754">
        <v>752</v>
      </c>
      <c r="H754">
        <v>0</v>
      </c>
      <c r="I754">
        <v>0</v>
      </c>
      <c r="J754">
        <v>2</v>
      </c>
      <c r="K754">
        <v>0</v>
      </c>
      <c r="L754">
        <v>1</v>
      </c>
      <c r="M754" s="1">
        <v>180</v>
      </c>
      <c r="N754">
        <v>752</v>
      </c>
      <c r="O754">
        <v>0</v>
      </c>
      <c r="P754">
        <v>0</v>
      </c>
      <c r="Q754">
        <v>0</v>
      </c>
      <c r="R754">
        <v>0</v>
      </c>
      <c r="S754">
        <v>0</v>
      </c>
      <c r="T754" s="1">
        <v>0</v>
      </c>
      <c r="U754">
        <v>752</v>
      </c>
      <c r="V754">
        <v>0</v>
      </c>
      <c r="W754">
        <v>0</v>
      </c>
      <c r="X754">
        <v>1</v>
      </c>
      <c r="Y754">
        <v>1</v>
      </c>
      <c r="Z754">
        <v>0</v>
      </c>
      <c r="AA754" s="1">
        <v>200</v>
      </c>
      <c r="AB754">
        <v>752</v>
      </c>
      <c r="AC754">
        <v>0</v>
      </c>
      <c r="AD754">
        <v>0</v>
      </c>
      <c r="AE754">
        <v>0</v>
      </c>
      <c r="AF754">
        <v>0</v>
      </c>
      <c r="AG754">
        <v>0</v>
      </c>
      <c r="AH754" s="1">
        <v>0</v>
      </c>
      <c r="AI754">
        <v>752</v>
      </c>
      <c r="AJ754">
        <v>0</v>
      </c>
      <c r="AK754">
        <v>0</v>
      </c>
      <c r="AL754">
        <v>0</v>
      </c>
      <c r="AM754">
        <v>0</v>
      </c>
      <c r="AN754">
        <v>0</v>
      </c>
      <c r="AO754" s="1">
        <v>0</v>
      </c>
    </row>
    <row r="755" spans="7:41" x14ac:dyDescent="0.35">
      <c r="G755">
        <v>753</v>
      </c>
      <c r="H755">
        <v>0</v>
      </c>
      <c r="I755">
        <v>3</v>
      </c>
      <c r="J755">
        <v>1</v>
      </c>
      <c r="K755">
        <v>0</v>
      </c>
      <c r="L755">
        <v>2</v>
      </c>
      <c r="M755" s="1">
        <v>360</v>
      </c>
      <c r="N755">
        <v>753</v>
      </c>
      <c r="O755">
        <v>0</v>
      </c>
      <c r="P755">
        <v>0</v>
      </c>
      <c r="Q755">
        <v>0</v>
      </c>
      <c r="R755">
        <v>0</v>
      </c>
      <c r="S755">
        <v>0</v>
      </c>
      <c r="T755" s="1">
        <v>0</v>
      </c>
      <c r="U755">
        <v>753</v>
      </c>
      <c r="V755">
        <v>0</v>
      </c>
      <c r="W755">
        <v>0</v>
      </c>
      <c r="X755">
        <v>0</v>
      </c>
      <c r="Y755">
        <v>0</v>
      </c>
      <c r="Z755">
        <v>0</v>
      </c>
      <c r="AA755" s="1">
        <v>0</v>
      </c>
      <c r="AB755">
        <v>753</v>
      </c>
      <c r="AC755">
        <v>0</v>
      </c>
      <c r="AD755">
        <v>0</v>
      </c>
      <c r="AE755">
        <v>0</v>
      </c>
      <c r="AF755">
        <v>0</v>
      </c>
      <c r="AG755">
        <v>0</v>
      </c>
      <c r="AH755" s="1">
        <v>0</v>
      </c>
      <c r="AI755">
        <v>753</v>
      </c>
      <c r="AJ755">
        <v>0</v>
      </c>
      <c r="AK755">
        <v>0</v>
      </c>
      <c r="AL755">
        <v>0</v>
      </c>
      <c r="AM755">
        <v>0</v>
      </c>
      <c r="AN755">
        <v>0</v>
      </c>
      <c r="AO755" s="1">
        <v>0</v>
      </c>
    </row>
    <row r="756" spans="7:41" x14ac:dyDescent="0.35">
      <c r="G756">
        <v>754</v>
      </c>
      <c r="H756">
        <v>0</v>
      </c>
      <c r="I756">
        <v>0</v>
      </c>
      <c r="J756">
        <v>1</v>
      </c>
      <c r="K756">
        <v>4</v>
      </c>
      <c r="L756">
        <v>2</v>
      </c>
      <c r="M756" s="1">
        <v>420</v>
      </c>
      <c r="N756">
        <v>754</v>
      </c>
      <c r="O756">
        <v>1</v>
      </c>
      <c r="P756">
        <v>0</v>
      </c>
      <c r="Q756">
        <v>0</v>
      </c>
      <c r="R756">
        <v>0</v>
      </c>
      <c r="S756">
        <v>0</v>
      </c>
      <c r="T756" s="1">
        <v>80</v>
      </c>
      <c r="U756">
        <v>754</v>
      </c>
      <c r="V756">
        <v>0</v>
      </c>
      <c r="W756">
        <v>0</v>
      </c>
      <c r="X756">
        <v>0</v>
      </c>
      <c r="Y756">
        <v>0</v>
      </c>
      <c r="Z756">
        <v>0</v>
      </c>
      <c r="AA756" s="1">
        <v>0</v>
      </c>
      <c r="AB756">
        <v>754</v>
      </c>
      <c r="AC756">
        <v>0</v>
      </c>
      <c r="AD756">
        <v>0</v>
      </c>
      <c r="AE756">
        <v>0</v>
      </c>
      <c r="AF756">
        <v>0</v>
      </c>
      <c r="AG756">
        <v>1</v>
      </c>
      <c r="AH756" s="1">
        <v>120</v>
      </c>
      <c r="AI756">
        <v>754</v>
      </c>
      <c r="AJ756">
        <v>0</v>
      </c>
      <c r="AK756">
        <v>0</v>
      </c>
      <c r="AL756">
        <v>2</v>
      </c>
      <c r="AM756">
        <v>0</v>
      </c>
      <c r="AN756">
        <v>0</v>
      </c>
      <c r="AO756" s="1">
        <v>300</v>
      </c>
    </row>
    <row r="757" spans="7:41" x14ac:dyDescent="0.35">
      <c r="G757">
        <v>755</v>
      </c>
      <c r="H757">
        <v>0</v>
      </c>
      <c r="I757">
        <v>2</v>
      </c>
      <c r="J757">
        <v>2</v>
      </c>
      <c r="K757">
        <v>4</v>
      </c>
      <c r="L757">
        <v>1</v>
      </c>
      <c r="M757" s="1">
        <v>540</v>
      </c>
      <c r="N757">
        <v>755</v>
      </c>
      <c r="O757">
        <v>0</v>
      </c>
      <c r="P757">
        <v>1</v>
      </c>
      <c r="Q757">
        <v>1</v>
      </c>
      <c r="R757">
        <v>0</v>
      </c>
      <c r="S757">
        <v>0</v>
      </c>
      <c r="T757" s="1">
        <v>160</v>
      </c>
      <c r="U757">
        <v>755</v>
      </c>
      <c r="V757">
        <v>0</v>
      </c>
      <c r="W757">
        <v>0</v>
      </c>
      <c r="X757">
        <v>0</v>
      </c>
      <c r="Y757">
        <v>0</v>
      </c>
      <c r="Z757">
        <v>0</v>
      </c>
      <c r="AA757" s="1">
        <v>0</v>
      </c>
      <c r="AB757">
        <v>755</v>
      </c>
      <c r="AC757">
        <v>0</v>
      </c>
      <c r="AD757">
        <v>0</v>
      </c>
      <c r="AE757">
        <v>0</v>
      </c>
      <c r="AF757">
        <v>0</v>
      </c>
      <c r="AG757">
        <v>1</v>
      </c>
      <c r="AH757" s="1">
        <v>120</v>
      </c>
      <c r="AI757">
        <v>755</v>
      </c>
      <c r="AJ757">
        <v>0</v>
      </c>
      <c r="AK757">
        <v>0</v>
      </c>
      <c r="AL757">
        <v>0</v>
      </c>
      <c r="AM757">
        <v>0</v>
      </c>
      <c r="AN757">
        <v>0</v>
      </c>
      <c r="AO757" s="1">
        <v>0</v>
      </c>
    </row>
    <row r="758" spans="7:41" x14ac:dyDescent="0.35">
      <c r="G758">
        <v>756</v>
      </c>
      <c r="H758">
        <v>0</v>
      </c>
      <c r="I758">
        <v>0</v>
      </c>
      <c r="J758">
        <v>0</v>
      </c>
      <c r="K758">
        <v>3</v>
      </c>
      <c r="L758">
        <v>0</v>
      </c>
      <c r="M758" s="1">
        <v>180</v>
      </c>
      <c r="N758">
        <v>756</v>
      </c>
      <c r="O758">
        <v>0</v>
      </c>
      <c r="P758">
        <v>2</v>
      </c>
      <c r="Q758">
        <v>1</v>
      </c>
      <c r="R758">
        <v>0</v>
      </c>
      <c r="S758">
        <v>0</v>
      </c>
      <c r="T758" s="1">
        <v>240</v>
      </c>
      <c r="U758">
        <v>756</v>
      </c>
      <c r="V758">
        <v>0</v>
      </c>
      <c r="W758">
        <v>0</v>
      </c>
      <c r="X758">
        <v>0</v>
      </c>
      <c r="Y758">
        <v>0</v>
      </c>
      <c r="Z758">
        <v>0</v>
      </c>
      <c r="AA758" s="1">
        <v>0</v>
      </c>
      <c r="AB758">
        <v>756</v>
      </c>
      <c r="AC758">
        <v>0</v>
      </c>
      <c r="AD758">
        <v>0</v>
      </c>
      <c r="AE758">
        <v>0</v>
      </c>
      <c r="AF758">
        <v>0</v>
      </c>
      <c r="AG758">
        <v>0</v>
      </c>
      <c r="AH758" s="1">
        <v>0</v>
      </c>
      <c r="AI758">
        <v>756</v>
      </c>
      <c r="AJ758">
        <v>0</v>
      </c>
      <c r="AK758">
        <v>0</v>
      </c>
      <c r="AL758">
        <v>1</v>
      </c>
      <c r="AM758">
        <v>0</v>
      </c>
      <c r="AN758">
        <v>0</v>
      </c>
      <c r="AO758" s="1">
        <v>150</v>
      </c>
    </row>
    <row r="759" spans="7:41" x14ac:dyDescent="0.35">
      <c r="G759">
        <v>757</v>
      </c>
      <c r="H759">
        <v>0</v>
      </c>
      <c r="I759">
        <v>0</v>
      </c>
      <c r="J759">
        <v>0</v>
      </c>
      <c r="K759">
        <v>2</v>
      </c>
      <c r="L759">
        <v>0</v>
      </c>
      <c r="M759" s="1">
        <v>120</v>
      </c>
      <c r="N759">
        <v>757</v>
      </c>
      <c r="O759">
        <v>2</v>
      </c>
      <c r="P759">
        <v>0</v>
      </c>
      <c r="Q759">
        <v>0</v>
      </c>
      <c r="R759">
        <v>0</v>
      </c>
      <c r="S759">
        <v>0</v>
      </c>
      <c r="T759" s="1">
        <v>160</v>
      </c>
      <c r="U759">
        <v>757</v>
      </c>
      <c r="V759">
        <v>0</v>
      </c>
      <c r="W759">
        <v>0</v>
      </c>
      <c r="X759">
        <v>0</v>
      </c>
      <c r="Y759">
        <v>0</v>
      </c>
      <c r="Z759">
        <v>0</v>
      </c>
      <c r="AA759" s="1">
        <v>0</v>
      </c>
      <c r="AB759">
        <v>757</v>
      </c>
      <c r="AC759">
        <v>0</v>
      </c>
      <c r="AD759">
        <v>0</v>
      </c>
      <c r="AE759">
        <v>0</v>
      </c>
      <c r="AF759">
        <v>0</v>
      </c>
      <c r="AG759">
        <v>0</v>
      </c>
      <c r="AH759" s="1">
        <v>0</v>
      </c>
      <c r="AI759">
        <v>757</v>
      </c>
      <c r="AJ759">
        <v>0</v>
      </c>
      <c r="AK759">
        <v>0</v>
      </c>
      <c r="AL759">
        <v>3</v>
      </c>
      <c r="AM759">
        <v>0</v>
      </c>
      <c r="AN759">
        <v>0</v>
      </c>
      <c r="AO759" s="1">
        <v>450</v>
      </c>
    </row>
    <row r="760" spans="7:41" x14ac:dyDescent="0.35">
      <c r="G760">
        <v>758</v>
      </c>
      <c r="H760">
        <v>0</v>
      </c>
      <c r="I760">
        <v>1</v>
      </c>
      <c r="J760">
        <v>1</v>
      </c>
      <c r="K760">
        <v>3</v>
      </c>
      <c r="L760">
        <v>2</v>
      </c>
      <c r="M760" s="1">
        <v>420</v>
      </c>
      <c r="N760">
        <v>758</v>
      </c>
      <c r="O760">
        <v>0</v>
      </c>
      <c r="P760">
        <v>0</v>
      </c>
      <c r="Q760">
        <v>2</v>
      </c>
      <c r="R760">
        <v>0</v>
      </c>
      <c r="S760">
        <v>1</v>
      </c>
      <c r="T760" s="1">
        <v>240</v>
      </c>
      <c r="U760">
        <v>758</v>
      </c>
      <c r="V760">
        <v>0</v>
      </c>
      <c r="W760">
        <v>0</v>
      </c>
      <c r="X760">
        <v>0</v>
      </c>
      <c r="Y760">
        <v>0</v>
      </c>
      <c r="Z760">
        <v>0</v>
      </c>
      <c r="AA760" s="1">
        <v>0</v>
      </c>
      <c r="AB760">
        <v>758</v>
      </c>
      <c r="AC760">
        <v>0</v>
      </c>
      <c r="AD760">
        <v>0</v>
      </c>
      <c r="AE760">
        <v>0</v>
      </c>
      <c r="AF760">
        <v>0</v>
      </c>
      <c r="AG760">
        <v>0</v>
      </c>
      <c r="AH760" s="1">
        <v>0</v>
      </c>
      <c r="AI760">
        <v>758</v>
      </c>
      <c r="AJ760">
        <v>0</v>
      </c>
      <c r="AK760">
        <v>0</v>
      </c>
      <c r="AL760">
        <v>1</v>
      </c>
      <c r="AM760">
        <v>0</v>
      </c>
      <c r="AN760">
        <v>0</v>
      </c>
      <c r="AO760" s="1">
        <v>150</v>
      </c>
    </row>
    <row r="761" spans="7:41" x14ac:dyDescent="0.35">
      <c r="G761">
        <v>759</v>
      </c>
      <c r="H761">
        <v>0</v>
      </c>
      <c r="I761">
        <v>0</v>
      </c>
      <c r="J761">
        <v>1</v>
      </c>
      <c r="K761">
        <v>0</v>
      </c>
      <c r="L761">
        <v>0</v>
      </c>
      <c r="M761" s="1">
        <v>60</v>
      </c>
      <c r="N761">
        <v>759</v>
      </c>
      <c r="O761">
        <v>0</v>
      </c>
      <c r="P761">
        <v>0</v>
      </c>
      <c r="Q761">
        <v>2</v>
      </c>
      <c r="R761">
        <v>0</v>
      </c>
      <c r="S761">
        <v>1</v>
      </c>
      <c r="T761" s="1">
        <v>240</v>
      </c>
      <c r="U761">
        <v>759</v>
      </c>
      <c r="V761">
        <v>0</v>
      </c>
      <c r="W761">
        <v>0</v>
      </c>
      <c r="X761">
        <v>0</v>
      </c>
      <c r="Y761">
        <v>1</v>
      </c>
      <c r="Z761">
        <v>0</v>
      </c>
      <c r="AA761" s="1">
        <v>100</v>
      </c>
      <c r="AB761">
        <v>759</v>
      </c>
      <c r="AC761">
        <v>0</v>
      </c>
      <c r="AD761">
        <v>0</v>
      </c>
      <c r="AE761">
        <v>0</v>
      </c>
      <c r="AF761">
        <v>0</v>
      </c>
      <c r="AG761">
        <v>0</v>
      </c>
      <c r="AH761" s="1">
        <v>0</v>
      </c>
      <c r="AI761">
        <v>759</v>
      </c>
      <c r="AJ761">
        <v>0</v>
      </c>
      <c r="AK761">
        <v>0</v>
      </c>
      <c r="AL761">
        <v>0</v>
      </c>
      <c r="AM761">
        <v>0</v>
      </c>
      <c r="AN761">
        <v>0</v>
      </c>
      <c r="AO761" s="1">
        <v>0</v>
      </c>
    </row>
    <row r="762" spans="7:41" x14ac:dyDescent="0.35">
      <c r="G762">
        <v>760</v>
      </c>
      <c r="H762">
        <v>0</v>
      </c>
      <c r="I762">
        <v>0</v>
      </c>
      <c r="J762">
        <v>1</v>
      </c>
      <c r="K762">
        <v>1</v>
      </c>
      <c r="L762">
        <v>0</v>
      </c>
      <c r="M762" s="1">
        <v>120</v>
      </c>
      <c r="N762">
        <v>760</v>
      </c>
      <c r="O762">
        <v>1</v>
      </c>
      <c r="P762">
        <v>2</v>
      </c>
      <c r="Q762">
        <v>1</v>
      </c>
      <c r="R762">
        <v>1</v>
      </c>
      <c r="S762">
        <v>0</v>
      </c>
      <c r="T762" s="1">
        <v>400</v>
      </c>
      <c r="U762">
        <v>760</v>
      </c>
      <c r="V762">
        <v>0</v>
      </c>
      <c r="W762">
        <v>0</v>
      </c>
      <c r="X762">
        <v>0</v>
      </c>
      <c r="Y762">
        <v>0</v>
      </c>
      <c r="Z762">
        <v>0</v>
      </c>
      <c r="AA762" s="1">
        <v>0</v>
      </c>
      <c r="AB762">
        <v>760</v>
      </c>
      <c r="AC762">
        <v>0</v>
      </c>
      <c r="AD762">
        <v>0</v>
      </c>
      <c r="AE762">
        <v>0</v>
      </c>
      <c r="AF762">
        <v>0</v>
      </c>
      <c r="AG762">
        <v>0</v>
      </c>
      <c r="AH762" s="1">
        <v>0</v>
      </c>
      <c r="AI762">
        <v>760</v>
      </c>
      <c r="AJ762">
        <v>0</v>
      </c>
      <c r="AK762">
        <v>0</v>
      </c>
      <c r="AL762">
        <v>3</v>
      </c>
      <c r="AM762">
        <v>0</v>
      </c>
      <c r="AN762">
        <v>0</v>
      </c>
      <c r="AO762" s="1">
        <v>450</v>
      </c>
    </row>
    <row r="763" spans="7:41" x14ac:dyDescent="0.35">
      <c r="G763">
        <v>761</v>
      </c>
      <c r="H763">
        <v>0</v>
      </c>
      <c r="I763">
        <v>0</v>
      </c>
      <c r="J763">
        <v>3</v>
      </c>
      <c r="K763">
        <v>0</v>
      </c>
      <c r="L763">
        <v>2</v>
      </c>
      <c r="M763" s="1">
        <v>300</v>
      </c>
      <c r="N763">
        <v>761</v>
      </c>
      <c r="O763">
        <v>0</v>
      </c>
      <c r="P763">
        <v>0</v>
      </c>
      <c r="Q763">
        <v>2</v>
      </c>
      <c r="R763">
        <v>0</v>
      </c>
      <c r="S763">
        <v>0</v>
      </c>
      <c r="T763" s="1">
        <v>160</v>
      </c>
      <c r="U763">
        <v>761</v>
      </c>
      <c r="V763">
        <v>0</v>
      </c>
      <c r="W763">
        <v>0</v>
      </c>
      <c r="X763">
        <v>0</v>
      </c>
      <c r="Y763">
        <v>0</v>
      </c>
      <c r="Z763">
        <v>0</v>
      </c>
      <c r="AA763" s="1">
        <v>0</v>
      </c>
      <c r="AB763">
        <v>761</v>
      </c>
      <c r="AC763">
        <v>0</v>
      </c>
      <c r="AD763">
        <v>0</v>
      </c>
      <c r="AE763">
        <v>0</v>
      </c>
      <c r="AF763">
        <v>0</v>
      </c>
      <c r="AG763">
        <v>0</v>
      </c>
      <c r="AH763" s="1">
        <v>0</v>
      </c>
      <c r="AI763">
        <v>761</v>
      </c>
      <c r="AJ763">
        <v>0</v>
      </c>
      <c r="AK763">
        <v>0</v>
      </c>
      <c r="AL763">
        <v>2</v>
      </c>
      <c r="AM763">
        <v>0</v>
      </c>
      <c r="AN763">
        <v>0</v>
      </c>
      <c r="AO763" s="1">
        <v>300</v>
      </c>
    </row>
    <row r="764" spans="7:41" x14ac:dyDescent="0.35">
      <c r="G764">
        <v>762</v>
      </c>
      <c r="H764">
        <v>0</v>
      </c>
      <c r="I764">
        <v>2</v>
      </c>
      <c r="J764">
        <v>1</v>
      </c>
      <c r="K764">
        <v>0</v>
      </c>
      <c r="L764">
        <v>0</v>
      </c>
      <c r="M764" s="1">
        <v>180</v>
      </c>
      <c r="N764">
        <v>762</v>
      </c>
      <c r="O764">
        <v>0</v>
      </c>
      <c r="P764">
        <v>0</v>
      </c>
      <c r="Q764">
        <v>0</v>
      </c>
      <c r="R764">
        <v>0</v>
      </c>
      <c r="S764">
        <v>0</v>
      </c>
      <c r="T764" s="1">
        <v>0</v>
      </c>
      <c r="U764">
        <v>762</v>
      </c>
      <c r="V764">
        <v>1</v>
      </c>
      <c r="W764">
        <v>0</v>
      </c>
      <c r="X764">
        <v>0</v>
      </c>
      <c r="Y764">
        <v>0</v>
      </c>
      <c r="Z764">
        <v>0</v>
      </c>
      <c r="AA764" s="1">
        <v>100</v>
      </c>
      <c r="AB764">
        <v>762</v>
      </c>
      <c r="AC764">
        <v>0</v>
      </c>
      <c r="AD764">
        <v>0</v>
      </c>
      <c r="AE764">
        <v>0</v>
      </c>
      <c r="AF764">
        <v>0</v>
      </c>
      <c r="AG764">
        <v>1</v>
      </c>
      <c r="AH764" s="1">
        <v>120</v>
      </c>
      <c r="AI764">
        <v>762</v>
      </c>
      <c r="AJ764">
        <v>0</v>
      </c>
      <c r="AK764">
        <v>0</v>
      </c>
      <c r="AL764">
        <v>0</v>
      </c>
      <c r="AM764">
        <v>0</v>
      </c>
      <c r="AN764">
        <v>0</v>
      </c>
      <c r="AO764" s="1">
        <v>0</v>
      </c>
    </row>
    <row r="765" spans="7:41" x14ac:dyDescent="0.35">
      <c r="G765">
        <v>763</v>
      </c>
      <c r="H765">
        <v>1</v>
      </c>
      <c r="I765">
        <v>1</v>
      </c>
      <c r="J765">
        <v>3</v>
      </c>
      <c r="K765">
        <v>0</v>
      </c>
      <c r="L765">
        <v>0</v>
      </c>
      <c r="M765" s="1">
        <v>300</v>
      </c>
      <c r="N765">
        <v>763</v>
      </c>
      <c r="O765">
        <v>0</v>
      </c>
      <c r="P765">
        <v>1</v>
      </c>
      <c r="Q765">
        <v>0</v>
      </c>
      <c r="R765">
        <v>0</v>
      </c>
      <c r="S765">
        <v>0</v>
      </c>
      <c r="T765" s="1">
        <v>80</v>
      </c>
      <c r="U765">
        <v>763</v>
      </c>
      <c r="V765">
        <v>0</v>
      </c>
      <c r="W765">
        <v>2</v>
      </c>
      <c r="X765">
        <v>0</v>
      </c>
      <c r="Y765">
        <v>0</v>
      </c>
      <c r="Z765">
        <v>0</v>
      </c>
      <c r="AA765" s="1">
        <v>200</v>
      </c>
      <c r="AB765">
        <v>763</v>
      </c>
      <c r="AC765">
        <v>0</v>
      </c>
      <c r="AD765">
        <v>0</v>
      </c>
      <c r="AE765">
        <v>0</v>
      </c>
      <c r="AF765">
        <v>0</v>
      </c>
      <c r="AG765">
        <v>0</v>
      </c>
      <c r="AH765" s="1">
        <v>0</v>
      </c>
      <c r="AI765">
        <v>763</v>
      </c>
      <c r="AJ765">
        <v>0</v>
      </c>
      <c r="AK765">
        <v>0</v>
      </c>
      <c r="AL765">
        <v>1</v>
      </c>
      <c r="AM765">
        <v>0</v>
      </c>
      <c r="AN765">
        <v>0</v>
      </c>
      <c r="AO765" s="1">
        <v>150</v>
      </c>
    </row>
    <row r="766" spans="7:41" x14ac:dyDescent="0.35">
      <c r="G766">
        <v>764</v>
      </c>
      <c r="H766">
        <v>0</v>
      </c>
      <c r="I766">
        <v>1</v>
      </c>
      <c r="J766">
        <v>0</v>
      </c>
      <c r="K766">
        <v>1</v>
      </c>
      <c r="L766">
        <v>0</v>
      </c>
      <c r="M766" s="1">
        <v>120</v>
      </c>
      <c r="N766">
        <v>764</v>
      </c>
      <c r="O766">
        <v>0</v>
      </c>
      <c r="P766">
        <v>0</v>
      </c>
      <c r="Q766">
        <v>0</v>
      </c>
      <c r="R766">
        <v>0</v>
      </c>
      <c r="S766">
        <v>0</v>
      </c>
      <c r="T766" s="1">
        <v>0</v>
      </c>
      <c r="U766">
        <v>764</v>
      </c>
      <c r="V766">
        <v>0</v>
      </c>
      <c r="W766">
        <v>1</v>
      </c>
      <c r="X766">
        <v>0</v>
      </c>
      <c r="Y766">
        <v>0</v>
      </c>
      <c r="Z766">
        <v>0</v>
      </c>
      <c r="AA766" s="1">
        <v>100</v>
      </c>
      <c r="AB766">
        <v>764</v>
      </c>
      <c r="AC766">
        <v>1</v>
      </c>
      <c r="AD766">
        <v>0</v>
      </c>
      <c r="AE766">
        <v>0</v>
      </c>
      <c r="AF766">
        <v>0</v>
      </c>
      <c r="AG766">
        <v>0</v>
      </c>
      <c r="AH766" s="1">
        <v>120</v>
      </c>
      <c r="AI766">
        <v>764</v>
      </c>
      <c r="AJ766">
        <v>0</v>
      </c>
      <c r="AK766">
        <v>0</v>
      </c>
      <c r="AL766">
        <v>1</v>
      </c>
      <c r="AM766">
        <v>0</v>
      </c>
      <c r="AN766">
        <v>0</v>
      </c>
      <c r="AO766" s="1">
        <v>150</v>
      </c>
    </row>
    <row r="767" spans="7:41" x14ac:dyDescent="0.35">
      <c r="G767">
        <v>765</v>
      </c>
      <c r="H767">
        <v>0</v>
      </c>
      <c r="I767">
        <v>0</v>
      </c>
      <c r="J767">
        <v>1</v>
      </c>
      <c r="K767">
        <v>1</v>
      </c>
      <c r="L767">
        <v>0</v>
      </c>
      <c r="M767" s="1">
        <v>120</v>
      </c>
      <c r="N767">
        <v>765</v>
      </c>
      <c r="O767">
        <v>0</v>
      </c>
      <c r="P767">
        <v>1</v>
      </c>
      <c r="Q767">
        <v>0</v>
      </c>
      <c r="R767">
        <v>1</v>
      </c>
      <c r="S767">
        <v>2</v>
      </c>
      <c r="T767" s="1">
        <v>320</v>
      </c>
      <c r="U767">
        <v>765</v>
      </c>
      <c r="V767">
        <v>0</v>
      </c>
      <c r="W767">
        <v>0</v>
      </c>
      <c r="X767">
        <v>0</v>
      </c>
      <c r="Y767">
        <v>0</v>
      </c>
      <c r="Z767">
        <v>0</v>
      </c>
      <c r="AA767" s="1">
        <v>0</v>
      </c>
      <c r="AB767">
        <v>765</v>
      </c>
      <c r="AC767">
        <v>0</v>
      </c>
      <c r="AD767">
        <v>0</v>
      </c>
      <c r="AE767">
        <v>0</v>
      </c>
      <c r="AF767">
        <v>0</v>
      </c>
      <c r="AG767">
        <v>0</v>
      </c>
      <c r="AH767" s="1">
        <v>0</v>
      </c>
      <c r="AI767">
        <v>765</v>
      </c>
      <c r="AJ767">
        <v>0</v>
      </c>
      <c r="AK767">
        <v>0</v>
      </c>
      <c r="AL767">
        <v>0</v>
      </c>
      <c r="AM767">
        <v>0</v>
      </c>
      <c r="AN767">
        <v>0</v>
      </c>
      <c r="AO767" s="1">
        <v>0</v>
      </c>
    </row>
    <row r="768" spans="7:41" x14ac:dyDescent="0.35">
      <c r="G768">
        <v>766</v>
      </c>
      <c r="H768">
        <v>0</v>
      </c>
      <c r="I768">
        <v>3</v>
      </c>
      <c r="J768">
        <v>0</v>
      </c>
      <c r="K768">
        <v>4</v>
      </c>
      <c r="L768">
        <v>0</v>
      </c>
      <c r="M768" s="1">
        <v>420</v>
      </c>
      <c r="N768">
        <v>766</v>
      </c>
      <c r="O768">
        <v>1</v>
      </c>
      <c r="P768">
        <v>0</v>
      </c>
      <c r="Q768">
        <v>0</v>
      </c>
      <c r="R768">
        <v>0</v>
      </c>
      <c r="S768">
        <v>0</v>
      </c>
      <c r="T768" s="1">
        <v>80</v>
      </c>
      <c r="U768">
        <v>766</v>
      </c>
      <c r="V768">
        <v>0</v>
      </c>
      <c r="W768">
        <v>0</v>
      </c>
      <c r="X768">
        <v>0</v>
      </c>
      <c r="Y768">
        <v>0</v>
      </c>
      <c r="Z768">
        <v>0</v>
      </c>
      <c r="AA768" s="1">
        <v>0</v>
      </c>
      <c r="AB768">
        <v>766</v>
      </c>
      <c r="AC768">
        <v>0</v>
      </c>
      <c r="AD768">
        <v>0</v>
      </c>
      <c r="AE768">
        <v>0</v>
      </c>
      <c r="AF768">
        <v>0</v>
      </c>
      <c r="AG768">
        <v>0</v>
      </c>
      <c r="AH768" s="1">
        <v>0</v>
      </c>
      <c r="AI768">
        <v>766</v>
      </c>
      <c r="AJ768">
        <v>0</v>
      </c>
      <c r="AK768">
        <v>0</v>
      </c>
      <c r="AL768">
        <v>2</v>
      </c>
      <c r="AM768">
        <v>0</v>
      </c>
      <c r="AN768">
        <v>0</v>
      </c>
      <c r="AO768" s="1">
        <v>300</v>
      </c>
    </row>
    <row r="769" spans="7:41" x14ac:dyDescent="0.35">
      <c r="G769">
        <v>767</v>
      </c>
      <c r="H769">
        <v>0</v>
      </c>
      <c r="I769">
        <v>1</v>
      </c>
      <c r="J769">
        <v>0</v>
      </c>
      <c r="K769">
        <v>2</v>
      </c>
      <c r="L769">
        <v>0</v>
      </c>
      <c r="M769" s="1">
        <v>180</v>
      </c>
      <c r="N769">
        <v>767</v>
      </c>
      <c r="O769">
        <v>0</v>
      </c>
      <c r="P769">
        <v>0</v>
      </c>
      <c r="Q769">
        <v>0</v>
      </c>
      <c r="R769">
        <v>0</v>
      </c>
      <c r="S769">
        <v>1</v>
      </c>
      <c r="T769" s="1">
        <v>80</v>
      </c>
      <c r="U769">
        <v>767</v>
      </c>
      <c r="V769">
        <v>1</v>
      </c>
      <c r="W769">
        <v>2</v>
      </c>
      <c r="X769">
        <v>0</v>
      </c>
      <c r="Y769">
        <v>1</v>
      </c>
      <c r="Z769">
        <v>0</v>
      </c>
      <c r="AA769" s="1">
        <v>400</v>
      </c>
      <c r="AB769">
        <v>767</v>
      </c>
      <c r="AC769">
        <v>0</v>
      </c>
      <c r="AD769">
        <v>0</v>
      </c>
      <c r="AE769">
        <v>0</v>
      </c>
      <c r="AF769">
        <v>0</v>
      </c>
      <c r="AG769">
        <v>0</v>
      </c>
      <c r="AH769" s="1">
        <v>0</v>
      </c>
      <c r="AI769">
        <v>767</v>
      </c>
      <c r="AJ769">
        <v>0</v>
      </c>
      <c r="AK769">
        <v>0</v>
      </c>
      <c r="AL769">
        <v>0</v>
      </c>
      <c r="AM769">
        <v>0</v>
      </c>
      <c r="AN769">
        <v>0</v>
      </c>
      <c r="AO769" s="1">
        <v>0</v>
      </c>
    </row>
    <row r="770" spans="7:41" x14ac:dyDescent="0.35">
      <c r="G770">
        <v>768</v>
      </c>
      <c r="H770">
        <v>0</v>
      </c>
      <c r="I770">
        <v>0</v>
      </c>
      <c r="J770">
        <v>1</v>
      </c>
      <c r="K770">
        <v>0</v>
      </c>
      <c r="L770">
        <v>1</v>
      </c>
      <c r="M770" s="1">
        <v>120</v>
      </c>
      <c r="N770">
        <v>768</v>
      </c>
      <c r="O770">
        <v>1</v>
      </c>
      <c r="P770">
        <v>0</v>
      </c>
      <c r="Q770">
        <v>0</v>
      </c>
      <c r="R770">
        <v>0</v>
      </c>
      <c r="S770">
        <v>0</v>
      </c>
      <c r="T770" s="1">
        <v>80</v>
      </c>
      <c r="U770">
        <v>768</v>
      </c>
      <c r="V770">
        <v>0</v>
      </c>
      <c r="W770">
        <v>0</v>
      </c>
      <c r="X770">
        <v>0</v>
      </c>
      <c r="Y770">
        <v>1</v>
      </c>
      <c r="Z770">
        <v>0</v>
      </c>
      <c r="AA770" s="1">
        <v>100</v>
      </c>
      <c r="AB770">
        <v>768</v>
      </c>
      <c r="AC770">
        <v>0</v>
      </c>
      <c r="AD770">
        <v>0</v>
      </c>
      <c r="AE770">
        <v>0</v>
      </c>
      <c r="AF770">
        <v>0</v>
      </c>
      <c r="AG770">
        <v>0</v>
      </c>
      <c r="AH770" s="1">
        <v>0</v>
      </c>
      <c r="AI770">
        <v>768</v>
      </c>
      <c r="AJ770">
        <v>0</v>
      </c>
      <c r="AK770">
        <v>0</v>
      </c>
      <c r="AL770">
        <v>3</v>
      </c>
      <c r="AM770">
        <v>0</v>
      </c>
      <c r="AN770">
        <v>0</v>
      </c>
      <c r="AO770" s="1">
        <v>450</v>
      </c>
    </row>
    <row r="771" spans="7:41" x14ac:dyDescent="0.35">
      <c r="G771">
        <v>769</v>
      </c>
      <c r="H771">
        <v>0</v>
      </c>
      <c r="I771">
        <v>0</v>
      </c>
      <c r="J771">
        <v>0</v>
      </c>
      <c r="K771">
        <v>2</v>
      </c>
      <c r="L771">
        <v>0</v>
      </c>
      <c r="M771" s="1">
        <v>120</v>
      </c>
      <c r="N771">
        <v>769</v>
      </c>
      <c r="O771">
        <v>0</v>
      </c>
      <c r="P771">
        <v>0</v>
      </c>
      <c r="Q771">
        <v>0</v>
      </c>
      <c r="R771">
        <v>0</v>
      </c>
      <c r="S771">
        <v>0</v>
      </c>
      <c r="T771" s="1">
        <v>0</v>
      </c>
      <c r="U771">
        <v>769</v>
      </c>
      <c r="V771">
        <v>0</v>
      </c>
      <c r="W771">
        <v>3</v>
      </c>
      <c r="X771">
        <v>0</v>
      </c>
      <c r="Y771">
        <v>0</v>
      </c>
      <c r="Z771">
        <v>0</v>
      </c>
      <c r="AA771" s="1">
        <v>300</v>
      </c>
      <c r="AB771">
        <v>769</v>
      </c>
      <c r="AC771">
        <v>0</v>
      </c>
      <c r="AD771">
        <v>0</v>
      </c>
      <c r="AE771">
        <v>0</v>
      </c>
      <c r="AF771">
        <v>0</v>
      </c>
      <c r="AG771">
        <v>0</v>
      </c>
      <c r="AH771" s="1">
        <v>0</v>
      </c>
      <c r="AI771">
        <v>769</v>
      </c>
      <c r="AJ771">
        <v>0</v>
      </c>
      <c r="AK771">
        <v>0</v>
      </c>
      <c r="AL771">
        <v>3</v>
      </c>
      <c r="AM771">
        <v>0</v>
      </c>
      <c r="AN771">
        <v>0</v>
      </c>
      <c r="AO771" s="1">
        <v>450</v>
      </c>
    </row>
    <row r="772" spans="7:41" x14ac:dyDescent="0.35">
      <c r="G772">
        <v>770</v>
      </c>
      <c r="H772">
        <v>1</v>
      </c>
      <c r="I772">
        <v>2</v>
      </c>
      <c r="J772">
        <v>0</v>
      </c>
      <c r="K772">
        <v>0</v>
      </c>
      <c r="L772">
        <v>2</v>
      </c>
      <c r="M772" s="1">
        <v>300</v>
      </c>
      <c r="N772">
        <v>770</v>
      </c>
      <c r="O772">
        <v>0</v>
      </c>
      <c r="P772">
        <v>0</v>
      </c>
      <c r="Q772">
        <v>0</v>
      </c>
      <c r="R772">
        <v>0</v>
      </c>
      <c r="S772">
        <v>0</v>
      </c>
      <c r="T772" s="1">
        <v>0</v>
      </c>
      <c r="U772">
        <v>770</v>
      </c>
      <c r="V772">
        <v>0</v>
      </c>
      <c r="W772">
        <v>0</v>
      </c>
      <c r="X772">
        <v>0</v>
      </c>
      <c r="Y772">
        <v>0</v>
      </c>
      <c r="Z772">
        <v>0</v>
      </c>
      <c r="AA772" s="1">
        <v>0</v>
      </c>
      <c r="AB772">
        <v>770</v>
      </c>
      <c r="AC772">
        <v>1</v>
      </c>
      <c r="AD772">
        <v>0</v>
      </c>
      <c r="AE772">
        <v>0</v>
      </c>
      <c r="AF772">
        <v>0</v>
      </c>
      <c r="AG772">
        <v>0</v>
      </c>
      <c r="AH772" s="1">
        <v>120</v>
      </c>
      <c r="AI772">
        <v>770</v>
      </c>
      <c r="AJ772">
        <v>0</v>
      </c>
      <c r="AK772">
        <v>0</v>
      </c>
      <c r="AL772">
        <v>1</v>
      </c>
      <c r="AM772">
        <v>0</v>
      </c>
      <c r="AN772">
        <v>0</v>
      </c>
      <c r="AO772" s="1">
        <v>150</v>
      </c>
    </row>
    <row r="773" spans="7:41" x14ac:dyDescent="0.35">
      <c r="G773">
        <v>771</v>
      </c>
      <c r="H773">
        <v>1</v>
      </c>
      <c r="I773">
        <v>0</v>
      </c>
      <c r="J773">
        <v>2</v>
      </c>
      <c r="K773">
        <v>3</v>
      </c>
      <c r="L773">
        <v>0</v>
      </c>
      <c r="M773" s="1">
        <v>360</v>
      </c>
      <c r="N773">
        <v>771</v>
      </c>
      <c r="O773">
        <v>0</v>
      </c>
      <c r="P773">
        <v>0</v>
      </c>
      <c r="Q773">
        <v>0</v>
      </c>
      <c r="R773">
        <v>0</v>
      </c>
      <c r="S773">
        <v>0</v>
      </c>
      <c r="T773" s="1">
        <v>0</v>
      </c>
      <c r="U773">
        <v>771</v>
      </c>
      <c r="V773">
        <v>0</v>
      </c>
      <c r="W773">
        <v>0</v>
      </c>
      <c r="X773">
        <v>0</v>
      </c>
      <c r="Y773">
        <v>0</v>
      </c>
      <c r="Z773">
        <v>0</v>
      </c>
      <c r="AA773" s="1">
        <v>0</v>
      </c>
      <c r="AB773">
        <v>771</v>
      </c>
      <c r="AC773">
        <v>0</v>
      </c>
      <c r="AD773">
        <v>0</v>
      </c>
      <c r="AE773">
        <v>0</v>
      </c>
      <c r="AF773">
        <v>0</v>
      </c>
      <c r="AG773">
        <v>0</v>
      </c>
      <c r="AH773" s="1">
        <v>0</v>
      </c>
      <c r="AI773">
        <v>771</v>
      </c>
      <c r="AJ773">
        <v>0</v>
      </c>
      <c r="AK773">
        <v>0</v>
      </c>
      <c r="AL773">
        <v>0</v>
      </c>
      <c r="AM773">
        <v>0</v>
      </c>
      <c r="AN773">
        <v>0</v>
      </c>
      <c r="AO773" s="1">
        <v>0</v>
      </c>
    </row>
    <row r="774" spans="7:41" x14ac:dyDescent="0.35">
      <c r="G774">
        <v>772</v>
      </c>
      <c r="H774">
        <v>4</v>
      </c>
      <c r="I774">
        <v>2</v>
      </c>
      <c r="J774">
        <v>1</v>
      </c>
      <c r="K774">
        <v>0</v>
      </c>
      <c r="L774">
        <v>1</v>
      </c>
      <c r="M774" s="1">
        <v>480</v>
      </c>
      <c r="N774">
        <v>772</v>
      </c>
      <c r="O774">
        <v>0</v>
      </c>
      <c r="P774">
        <v>0</v>
      </c>
      <c r="Q774">
        <v>0</v>
      </c>
      <c r="R774">
        <v>0</v>
      </c>
      <c r="S774">
        <v>0</v>
      </c>
      <c r="T774" s="1">
        <v>0</v>
      </c>
      <c r="U774">
        <v>772</v>
      </c>
      <c r="V774">
        <v>0</v>
      </c>
      <c r="W774">
        <v>0</v>
      </c>
      <c r="X774">
        <v>0</v>
      </c>
      <c r="Y774">
        <v>0</v>
      </c>
      <c r="Z774">
        <v>0</v>
      </c>
      <c r="AA774" s="1">
        <v>0</v>
      </c>
      <c r="AB774">
        <v>772</v>
      </c>
      <c r="AC774">
        <v>0</v>
      </c>
      <c r="AD774">
        <v>0</v>
      </c>
      <c r="AE774">
        <v>0</v>
      </c>
      <c r="AF774">
        <v>1</v>
      </c>
      <c r="AG774">
        <v>0</v>
      </c>
      <c r="AH774" s="1">
        <v>120</v>
      </c>
      <c r="AI774">
        <v>772</v>
      </c>
      <c r="AJ774">
        <v>0</v>
      </c>
      <c r="AK774">
        <v>0</v>
      </c>
      <c r="AL774">
        <v>3</v>
      </c>
      <c r="AM774">
        <v>0</v>
      </c>
      <c r="AN774">
        <v>0</v>
      </c>
      <c r="AO774" s="1">
        <v>450</v>
      </c>
    </row>
    <row r="775" spans="7:41" x14ac:dyDescent="0.35">
      <c r="G775">
        <v>773</v>
      </c>
      <c r="H775">
        <v>0</v>
      </c>
      <c r="I775">
        <v>1</v>
      </c>
      <c r="J775">
        <v>0</v>
      </c>
      <c r="K775">
        <v>2</v>
      </c>
      <c r="L775">
        <v>2</v>
      </c>
      <c r="M775" s="1">
        <v>300</v>
      </c>
      <c r="N775">
        <v>773</v>
      </c>
      <c r="O775">
        <v>0</v>
      </c>
      <c r="P775">
        <v>0</v>
      </c>
      <c r="Q775">
        <v>0</v>
      </c>
      <c r="R775">
        <v>0</v>
      </c>
      <c r="S775">
        <v>0</v>
      </c>
      <c r="T775" s="1">
        <v>0</v>
      </c>
      <c r="U775">
        <v>773</v>
      </c>
      <c r="V775">
        <v>0</v>
      </c>
      <c r="W775">
        <v>0</v>
      </c>
      <c r="X775">
        <v>1</v>
      </c>
      <c r="Y775">
        <v>0</v>
      </c>
      <c r="Z775">
        <v>0</v>
      </c>
      <c r="AA775" s="1">
        <v>100</v>
      </c>
      <c r="AB775">
        <v>773</v>
      </c>
      <c r="AC775">
        <v>0</v>
      </c>
      <c r="AD775">
        <v>0</v>
      </c>
      <c r="AE775">
        <v>0</v>
      </c>
      <c r="AF775">
        <v>0</v>
      </c>
      <c r="AG775">
        <v>0</v>
      </c>
      <c r="AH775" s="1">
        <v>0</v>
      </c>
      <c r="AI775">
        <v>773</v>
      </c>
      <c r="AJ775">
        <v>0</v>
      </c>
      <c r="AK775">
        <v>0</v>
      </c>
      <c r="AL775">
        <v>1</v>
      </c>
      <c r="AM775">
        <v>0</v>
      </c>
      <c r="AN775">
        <v>0</v>
      </c>
      <c r="AO775" s="1">
        <v>150</v>
      </c>
    </row>
    <row r="776" spans="7:41" x14ac:dyDescent="0.35">
      <c r="G776">
        <v>774</v>
      </c>
      <c r="H776">
        <v>0</v>
      </c>
      <c r="I776">
        <v>1</v>
      </c>
      <c r="J776">
        <v>0</v>
      </c>
      <c r="K776">
        <v>2</v>
      </c>
      <c r="L776">
        <v>0</v>
      </c>
      <c r="M776" s="1">
        <v>180</v>
      </c>
      <c r="N776">
        <v>774</v>
      </c>
      <c r="O776">
        <v>0</v>
      </c>
      <c r="P776">
        <v>0</v>
      </c>
      <c r="Q776">
        <v>0</v>
      </c>
      <c r="R776">
        <v>3</v>
      </c>
      <c r="S776">
        <v>0</v>
      </c>
      <c r="T776" s="1">
        <v>240</v>
      </c>
      <c r="U776">
        <v>774</v>
      </c>
      <c r="V776">
        <v>0</v>
      </c>
      <c r="W776">
        <v>2</v>
      </c>
      <c r="X776">
        <v>0</v>
      </c>
      <c r="Y776">
        <v>0</v>
      </c>
      <c r="Z776">
        <v>1</v>
      </c>
      <c r="AA776" s="1">
        <v>300</v>
      </c>
      <c r="AB776">
        <v>774</v>
      </c>
      <c r="AC776">
        <v>1</v>
      </c>
      <c r="AD776">
        <v>0</v>
      </c>
      <c r="AE776">
        <v>0</v>
      </c>
      <c r="AF776">
        <v>0</v>
      </c>
      <c r="AG776">
        <v>0</v>
      </c>
      <c r="AH776" s="1">
        <v>120</v>
      </c>
      <c r="AI776">
        <v>774</v>
      </c>
      <c r="AJ776">
        <v>0</v>
      </c>
      <c r="AK776">
        <v>0</v>
      </c>
      <c r="AL776">
        <v>0</v>
      </c>
      <c r="AM776">
        <v>0</v>
      </c>
      <c r="AN776">
        <v>0</v>
      </c>
      <c r="AO776" s="1">
        <v>0</v>
      </c>
    </row>
    <row r="777" spans="7:41" x14ac:dyDescent="0.35">
      <c r="G777">
        <v>775</v>
      </c>
      <c r="H777">
        <v>0</v>
      </c>
      <c r="I777">
        <v>0</v>
      </c>
      <c r="J777">
        <v>0</v>
      </c>
      <c r="K777">
        <v>0</v>
      </c>
      <c r="L777">
        <v>1</v>
      </c>
      <c r="M777" s="1">
        <v>60</v>
      </c>
      <c r="N777">
        <v>775</v>
      </c>
      <c r="O777">
        <v>0</v>
      </c>
      <c r="P777">
        <v>0</v>
      </c>
      <c r="Q777">
        <v>1</v>
      </c>
      <c r="R777">
        <v>1</v>
      </c>
      <c r="S777">
        <v>0</v>
      </c>
      <c r="T777" s="1">
        <v>160</v>
      </c>
      <c r="U777">
        <v>775</v>
      </c>
      <c r="V777">
        <v>0</v>
      </c>
      <c r="W777">
        <v>0</v>
      </c>
      <c r="X777">
        <v>0</v>
      </c>
      <c r="Y777">
        <v>0</v>
      </c>
      <c r="Z777">
        <v>0</v>
      </c>
      <c r="AA777" s="1">
        <v>0</v>
      </c>
      <c r="AB777">
        <v>775</v>
      </c>
      <c r="AC777">
        <v>0</v>
      </c>
      <c r="AD777">
        <v>0</v>
      </c>
      <c r="AE777">
        <v>0</v>
      </c>
      <c r="AF777">
        <v>0</v>
      </c>
      <c r="AG777">
        <v>0</v>
      </c>
      <c r="AH777" s="1">
        <v>0</v>
      </c>
      <c r="AI777">
        <v>775</v>
      </c>
      <c r="AJ777">
        <v>0</v>
      </c>
      <c r="AK777">
        <v>0</v>
      </c>
      <c r="AL777">
        <v>0</v>
      </c>
      <c r="AM777">
        <v>0</v>
      </c>
      <c r="AN777">
        <v>0</v>
      </c>
      <c r="AO777" s="1">
        <v>0</v>
      </c>
    </row>
    <row r="778" spans="7:41" x14ac:dyDescent="0.35">
      <c r="G778">
        <v>776</v>
      </c>
      <c r="H778">
        <v>2</v>
      </c>
      <c r="I778">
        <v>3</v>
      </c>
      <c r="J778">
        <v>1</v>
      </c>
      <c r="K778">
        <v>0</v>
      </c>
      <c r="L778">
        <v>0</v>
      </c>
      <c r="M778" s="1">
        <v>360</v>
      </c>
      <c r="N778">
        <v>776</v>
      </c>
      <c r="O778">
        <v>0</v>
      </c>
      <c r="P778">
        <v>0</v>
      </c>
      <c r="Q778">
        <v>2</v>
      </c>
      <c r="R778">
        <v>0</v>
      </c>
      <c r="S778">
        <v>1</v>
      </c>
      <c r="T778" s="1">
        <v>240</v>
      </c>
      <c r="U778">
        <v>776</v>
      </c>
      <c r="V778">
        <v>0</v>
      </c>
      <c r="W778">
        <v>0</v>
      </c>
      <c r="X778">
        <v>0</v>
      </c>
      <c r="Y778">
        <v>0</v>
      </c>
      <c r="Z778">
        <v>0</v>
      </c>
      <c r="AA778" s="1">
        <v>0</v>
      </c>
      <c r="AB778">
        <v>776</v>
      </c>
      <c r="AC778">
        <v>0</v>
      </c>
      <c r="AD778">
        <v>0</v>
      </c>
      <c r="AE778">
        <v>0</v>
      </c>
      <c r="AF778">
        <v>0</v>
      </c>
      <c r="AG778">
        <v>0</v>
      </c>
      <c r="AH778" s="1">
        <v>0</v>
      </c>
      <c r="AI778">
        <v>776</v>
      </c>
      <c r="AJ778">
        <v>0</v>
      </c>
      <c r="AK778">
        <v>0</v>
      </c>
      <c r="AL778">
        <v>0</v>
      </c>
      <c r="AM778">
        <v>0</v>
      </c>
      <c r="AN778">
        <v>0</v>
      </c>
      <c r="AO778" s="1">
        <v>0</v>
      </c>
    </row>
    <row r="779" spans="7:41" x14ac:dyDescent="0.35">
      <c r="G779">
        <v>777</v>
      </c>
      <c r="H779">
        <v>0</v>
      </c>
      <c r="I779">
        <v>0</v>
      </c>
      <c r="J779">
        <v>0</v>
      </c>
      <c r="K779">
        <v>2</v>
      </c>
      <c r="L779">
        <v>0</v>
      </c>
      <c r="M779" s="1">
        <v>120</v>
      </c>
      <c r="N779">
        <v>777</v>
      </c>
      <c r="O779">
        <v>0</v>
      </c>
      <c r="P779">
        <v>0</v>
      </c>
      <c r="Q779">
        <v>0</v>
      </c>
      <c r="R779">
        <v>0</v>
      </c>
      <c r="S779">
        <v>0</v>
      </c>
      <c r="T779" s="1">
        <v>0</v>
      </c>
      <c r="U779">
        <v>777</v>
      </c>
      <c r="V779">
        <v>0</v>
      </c>
      <c r="W779">
        <v>0</v>
      </c>
      <c r="X779">
        <v>0</v>
      </c>
      <c r="Y779">
        <v>0</v>
      </c>
      <c r="Z779">
        <v>0</v>
      </c>
      <c r="AA779" s="1">
        <v>0</v>
      </c>
      <c r="AB779">
        <v>777</v>
      </c>
      <c r="AC779">
        <v>1</v>
      </c>
      <c r="AD779">
        <v>0</v>
      </c>
      <c r="AE779">
        <v>0</v>
      </c>
      <c r="AF779">
        <v>0</v>
      </c>
      <c r="AG779">
        <v>0</v>
      </c>
      <c r="AH779" s="1">
        <v>120</v>
      </c>
      <c r="AI779">
        <v>777</v>
      </c>
      <c r="AJ779">
        <v>0</v>
      </c>
      <c r="AK779">
        <v>0</v>
      </c>
      <c r="AL779">
        <v>0</v>
      </c>
      <c r="AM779">
        <v>0</v>
      </c>
      <c r="AN779">
        <v>0</v>
      </c>
      <c r="AO779" s="1">
        <v>0</v>
      </c>
    </row>
    <row r="780" spans="7:41" x14ac:dyDescent="0.35">
      <c r="G780">
        <v>778</v>
      </c>
      <c r="H780">
        <v>0</v>
      </c>
      <c r="I780">
        <v>0</v>
      </c>
      <c r="J780">
        <v>1</v>
      </c>
      <c r="K780">
        <v>1</v>
      </c>
      <c r="L780">
        <v>1</v>
      </c>
      <c r="M780" s="1">
        <v>180</v>
      </c>
      <c r="N780">
        <v>778</v>
      </c>
      <c r="O780">
        <v>0</v>
      </c>
      <c r="P780">
        <v>0</v>
      </c>
      <c r="Q780">
        <v>0</v>
      </c>
      <c r="R780">
        <v>1</v>
      </c>
      <c r="S780">
        <v>0</v>
      </c>
      <c r="T780" s="1">
        <v>80</v>
      </c>
      <c r="U780">
        <v>778</v>
      </c>
      <c r="V780">
        <v>0</v>
      </c>
      <c r="W780">
        <v>2</v>
      </c>
      <c r="X780">
        <v>0</v>
      </c>
      <c r="Y780">
        <v>0</v>
      </c>
      <c r="Z780">
        <v>0</v>
      </c>
      <c r="AA780" s="1">
        <v>200</v>
      </c>
      <c r="AB780">
        <v>778</v>
      </c>
      <c r="AC780">
        <v>0</v>
      </c>
      <c r="AD780">
        <v>0</v>
      </c>
      <c r="AE780">
        <v>0</v>
      </c>
      <c r="AF780">
        <v>0</v>
      </c>
      <c r="AG780">
        <v>0</v>
      </c>
      <c r="AH780" s="1">
        <v>0</v>
      </c>
      <c r="AI780">
        <v>778</v>
      </c>
      <c r="AJ780">
        <v>0</v>
      </c>
      <c r="AK780">
        <v>0</v>
      </c>
      <c r="AL780">
        <v>0</v>
      </c>
      <c r="AM780">
        <v>0</v>
      </c>
      <c r="AN780">
        <v>0</v>
      </c>
      <c r="AO780" s="1">
        <v>0</v>
      </c>
    </row>
    <row r="781" spans="7:41" x14ac:dyDescent="0.35">
      <c r="G781">
        <v>779</v>
      </c>
      <c r="H781">
        <v>0</v>
      </c>
      <c r="I781">
        <v>0</v>
      </c>
      <c r="J781">
        <v>2</v>
      </c>
      <c r="K781">
        <v>0</v>
      </c>
      <c r="L781">
        <v>1</v>
      </c>
      <c r="M781" s="1">
        <v>180</v>
      </c>
      <c r="N781">
        <v>779</v>
      </c>
      <c r="O781">
        <v>1</v>
      </c>
      <c r="P781">
        <v>0</v>
      </c>
      <c r="Q781">
        <v>0</v>
      </c>
      <c r="R781">
        <v>0</v>
      </c>
      <c r="S781">
        <v>0</v>
      </c>
      <c r="T781" s="1">
        <v>80</v>
      </c>
      <c r="U781">
        <v>779</v>
      </c>
      <c r="V781">
        <v>0</v>
      </c>
      <c r="W781">
        <v>1</v>
      </c>
      <c r="X781">
        <v>1</v>
      </c>
      <c r="Y781">
        <v>0</v>
      </c>
      <c r="Z781">
        <v>1</v>
      </c>
      <c r="AA781" s="1">
        <v>300</v>
      </c>
      <c r="AB781">
        <v>779</v>
      </c>
      <c r="AC781">
        <v>0</v>
      </c>
      <c r="AD781">
        <v>0</v>
      </c>
      <c r="AE781">
        <v>0</v>
      </c>
      <c r="AF781">
        <v>0</v>
      </c>
      <c r="AG781">
        <v>0</v>
      </c>
      <c r="AH781" s="1">
        <v>0</v>
      </c>
      <c r="AI781">
        <v>779</v>
      </c>
      <c r="AJ781">
        <v>0</v>
      </c>
      <c r="AK781">
        <v>0</v>
      </c>
      <c r="AL781">
        <v>0</v>
      </c>
      <c r="AM781">
        <v>0</v>
      </c>
      <c r="AN781">
        <v>0</v>
      </c>
      <c r="AO781" s="1">
        <v>0</v>
      </c>
    </row>
    <row r="782" spans="7:41" x14ac:dyDescent="0.35">
      <c r="G782">
        <v>780</v>
      </c>
      <c r="H782">
        <v>0</v>
      </c>
      <c r="I782">
        <v>0</v>
      </c>
      <c r="J782">
        <v>1</v>
      </c>
      <c r="K782">
        <v>0</v>
      </c>
      <c r="L782">
        <v>4</v>
      </c>
      <c r="M782" s="1">
        <v>300</v>
      </c>
      <c r="N782">
        <v>780</v>
      </c>
      <c r="O782">
        <v>0</v>
      </c>
      <c r="P782">
        <v>0</v>
      </c>
      <c r="Q782">
        <v>1</v>
      </c>
      <c r="R782">
        <v>0</v>
      </c>
      <c r="S782">
        <v>0</v>
      </c>
      <c r="T782" s="1">
        <v>80</v>
      </c>
      <c r="U782">
        <v>780</v>
      </c>
      <c r="V782">
        <v>0</v>
      </c>
      <c r="W782">
        <v>1</v>
      </c>
      <c r="X782">
        <v>0</v>
      </c>
      <c r="Y782">
        <v>1</v>
      </c>
      <c r="Z782">
        <v>0</v>
      </c>
      <c r="AA782" s="1">
        <v>200</v>
      </c>
      <c r="AB782">
        <v>780</v>
      </c>
      <c r="AC782">
        <v>0</v>
      </c>
      <c r="AD782">
        <v>0</v>
      </c>
      <c r="AE782">
        <v>0</v>
      </c>
      <c r="AF782">
        <v>1</v>
      </c>
      <c r="AG782">
        <v>0</v>
      </c>
      <c r="AH782" s="1">
        <v>120</v>
      </c>
      <c r="AI782">
        <v>780</v>
      </c>
      <c r="AJ782">
        <v>0</v>
      </c>
      <c r="AK782">
        <v>0</v>
      </c>
      <c r="AL782">
        <v>0</v>
      </c>
      <c r="AM782">
        <v>0</v>
      </c>
      <c r="AN782">
        <v>0</v>
      </c>
      <c r="AO782" s="1">
        <v>0</v>
      </c>
    </row>
    <row r="783" spans="7:41" x14ac:dyDescent="0.35">
      <c r="G783">
        <v>781</v>
      </c>
      <c r="H783">
        <v>0</v>
      </c>
      <c r="I783">
        <v>0</v>
      </c>
      <c r="J783">
        <v>3</v>
      </c>
      <c r="K783">
        <v>0</v>
      </c>
      <c r="L783">
        <v>0</v>
      </c>
      <c r="M783" s="1">
        <v>180</v>
      </c>
      <c r="N783">
        <v>781</v>
      </c>
      <c r="O783">
        <v>1</v>
      </c>
      <c r="P783">
        <v>0</v>
      </c>
      <c r="Q783">
        <v>0</v>
      </c>
      <c r="R783">
        <v>0</v>
      </c>
      <c r="S783">
        <v>0</v>
      </c>
      <c r="T783" s="1">
        <v>80</v>
      </c>
      <c r="U783">
        <v>781</v>
      </c>
      <c r="V783">
        <v>0</v>
      </c>
      <c r="W783">
        <v>3</v>
      </c>
      <c r="X783">
        <v>0</v>
      </c>
      <c r="Y783">
        <v>0</v>
      </c>
      <c r="Z783">
        <v>0</v>
      </c>
      <c r="AA783" s="1">
        <v>300</v>
      </c>
      <c r="AB783">
        <v>781</v>
      </c>
      <c r="AC783">
        <v>0</v>
      </c>
      <c r="AD783">
        <v>0</v>
      </c>
      <c r="AE783">
        <v>0</v>
      </c>
      <c r="AF783">
        <v>0</v>
      </c>
      <c r="AG783">
        <v>0</v>
      </c>
      <c r="AH783" s="1">
        <v>0</v>
      </c>
      <c r="AI783">
        <v>781</v>
      </c>
      <c r="AJ783">
        <v>0</v>
      </c>
      <c r="AK783">
        <v>0</v>
      </c>
      <c r="AL783">
        <v>2</v>
      </c>
      <c r="AM783">
        <v>0</v>
      </c>
      <c r="AN783">
        <v>0</v>
      </c>
      <c r="AO783" s="1">
        <v>300</v>
      </c>
    </row>
    <row r="784" spans="7:41" x14ac:dyDescent="0.35">
      <c r="G784">
        <v>782</v>
      </c>
      <c r="H784">
        <v>0</v>
      </c>
      <c r="I784">
        <v>2</v>
      </c>
      <c r="J784">
        <v>0</v>
      </c>
      <c r="K784">
        <v>0</v>
      </c>
      <c r="L784">
        <v>1</v>
      </c>
      <c r="M784" s="1">
        <v>180</v>
      </c>
      <c r="N784">
        <v>782</v>
      </c>
      <c r="O784">
        <v>0</v>
      </c>
      <c r="P784">
        <v>0</v>
      </c>
      <c r="Q784">
        <v>0</v>
      </c>
      <c r="R784">
        <v>0</v>
      </c>
      <c r="S784">
        <v>0</v>
      </c>
      <c r="T784" s="1">
        <v>0</v>
      </c>
      <c r="U784">
        <v>782</v>
      </c>
      <c r="V784">
        <v>0</v>
      </c>
      <c r="W784">
        <v>0</v>
      </c>
      <c r="X784">
        <v>0</v>
      </c>
      <c r="Y784">
        <v>0</v>
      </c>
      <c r="Z784">
        <v>0</v>
      </c>
      <c r="AA784" s="1">
        <v>0</v>
      </c>
      <c r="AB784">
        <v>782</v>
      </c>
      <c r="AC784">
        <v>0</v>
      </c>
      <c r="AD784">
        <v>0</v>
      </c>
      <c r="AE784">
        <v>0</v>
      </c>
      <c r="AF784">
        <v>0</v>
      </c>
      <c r="AG784">
        <v>0</v>
      </c>
      <c r="AH784" s="1">
        <v>0</v>
      </c>
      <c r="AI784">
        <v>782</v>
      </c>
      <c r="AJ784">
        <v>0</v>
      </c>
      <c r="AK784">
        <v>0</v>
      </c>
      <c r="AL784">
        <v>0</v>
      </c>
      <c r="AM784">
        <v>0</v>
      </c>
      <c r="AN784">
        <v>0</v>
      </c>
      <c r="AO784" s="1">
        <v>0</v>
      </c>
    </row>
    <row r="785" spans="7:41" x14ac:dyDescent="0.35">
      <c r="G785">
        <v>783</v>
      </c>
      <c r="H785">
        <v>0</v>
      </c>
      <c r="I785">
        <v>1</v>
      </c>
      <c r="J785">
        <v>0</v>
      </c>
      <c r="K785">
        <v>4</v>
      </c>
      <c r="L785">
        <v>1</v>
      </c>
      <c r="M785" s="1">
        <v>360</v>
      </c>
      <c r="N785">
        <v>783</v>
      </c>
      <c r="O785">
        <v>0</v>
      </c>
      <c r="P785">
        <v>0</v>
      </c>
      <c r="Q785">
        <v>0</v>
      </c>
      <c r="R785">
        <v>0</v>
      </c>
      <c r="S785">
        <v>0</v>
      </c>
      <c r="T785" s="1">
        <v>0</v>
      </c>
      <c r="U785">
        <v>783</v>
      </c>
      <c r="V785">
        <v>0</v>
      </c>
      <c r="W785">
        <v>0</v>
      </c>
      <c r="X785">
        <v>0</v>
      </c>
      <c r="Y785">
        <v>0</v>
      </c>
      <c r="Z785">
        <v>0</v>
      </c>
      <c r="AA785" s="1">
        <v>0</v>
      </c>
      <c r="AB785">
        <v>783</v>
      </c>
      <c r="AC785">
        <v>1</v>
      </c>
      <c r="AD785">
        <v>0</v>
      </c>
      <c r="AE785">
        <v>0</v>
      </c>
      <c r="AF785">
        <v>0</v>
      </c>
      <c r="AG785">
        <v>0</v>
      </c>
      <c r="AH785" s="1">
        <v>120</v>
      </c>
      <c r="AI785">
        <v>783</v>
      </c>
      <c r="AJ785">
        <v>0</v>
      </c>
      <c r="AK785">
        <v>0</v>
      </c>
      <c r="AL785">
        <v>0</v>
      </c>
      <c r="AM785">
        <v>0</v>
      </c>
      <c r="AN785">
        <v>0</v>
      </c>
      <c r="AO785" s="1">
        <v>0</v>
      </c>
    </row>
    <row r="786" spans="7:41" x14ac:dyDescent="0.35">
      <c r="G786">
        <v>784</v>
      </c>
      <c r="H786">
        <v>0</v>
      </c>
      <c r="I786">
        <v>2</v>
      </c>
      <c r="J786">
        <v>0</v>
      </c>
      <c r="K786">
        <v>0</v>
      </c>
      <c r="L786">
        <v>1</v>
      </c>
      <c r="M786" s="1">
        <v>180</v>
      </c>
      <c r="N786">
        <v>784</v>
      </c>
      <c r="O786">
        <v>0</v>
      </c>
      <c r="P786">
        <v>0</v>
      </c>
      <c r="Q786">
        <v>3</v>
      </c>
      <c r="R786">
        <v>0</v>
      </c>
      <c r="S786">
        <v>0</v>
      </c>
      <c r="T786" s="1">
        <v>240</v>
      </c>
      <c r="U786">
        <v>784</v>
      </c>
      <c r="V786">
        <v>0</v>
      </c>
      <c r="W786">
        <v>1</v>
      </c>
      <c r="X786">
        <v>0</v>
      </c>
      <c r="Y786">
        <v>0</v>
      </c>
      <c r="Z786">
        <v>0</v>
      </c>
      <c r="AA786" s="1">
        <v>100</v>
      </c>
      <c r="AB786">
        <v>784</v>
      </c>
      <c r="AC786">
        <v>1</v>
      </c>
      <c r="AD786">
        <v>0</v>
      </c>
      <c r="AE786">
        <v>0</v>
      </c>
      <c r="AF786">
        <v>0</v>
      </c>
      <c r="AG786">
        <v>0</v>
      </c>
      <c r="AH786" s="1">
        <v>120</v>
      </c>
      <c r="AI786">
        <v>784</v>
      </c>
      <c r="AJ786">
        <v>0</v>
      </c>
      <c r="AK786">
        <v>0</v>
      </c>
      <c r="AL786">
        <v>1</v>
      </c>
      <c r="AM786">
        <v>0</v>
      </c>
      <c r="AN786">
        <v>0</v>
      </c>
      <c r="AO786" s="1">
        <v>150</v>
      </c>
    </row>
    <row r="787" spans="7:41" x14ac:dyDescent="0.35">
      <c r="G787">
        <v>785</v>
      </c>
      <c r="H787">
        <v>1</v>
      </c>
      <c r="I787">
        <v>2</v>
      </c>
      <c r="J787">
        <v>2</v>
      </c>
      <c r="K787">
        <v>0</v>
      </c>
      <c r="L787">
        <v>2</v>
      </c>
      <c r="M787" s="1">
        <v>420</v>
      </c>
      <c r="N787">
        <v>785</v>
      </c>
      <c r="O787">
        <v>0</v>
      </c>
      <c r="P787">
        <v>0</v>
      </c>
      <c r="Q787">
        <v>0</v>
      </c>
      <c r="R787">
        <v>1</v>
      </c>
      <c r="S787">
        <v>0</v>
      </c>
      <c r="T787" s="1">
        <v>80</v>
      </c>
      <c r="U787">
        <v>785</v>
      </c>
      <c r="V787">
        <v>0</v>
      </c>
      <c r="W787">
        <v>0</v>
      </c>
      <c r="X787">
        <v>0</v>
      </c>
      <c r="Y787">
        <v>0</v>
      </c>
      <c r="Z787">
        <v>0</v>
      </c>
      <c r="AA787" s="1">
        <v>0</v>
      </c>
      <c r="AB787">
        <v>785</v>
      </c>
      <c r="AC787">
        <v>0</v>
      </c>
      <c r="AD787">
        <v>0</v>
      </c>
      <c r="AE787">
        <v>0</v>
      </c>
      <c r="AF787">
        <v>0</v>
      </c>
      <c r="AG787">
        <v>0</v>
      </c>
      <c r="AH787" s="1">
        <v>0</v>
      </c>
      <c r="AI787">
        <v>785</v>
      </c>
      <c r="AJ787">
        <v>0</v>
      </c>
      <c r="AK787">
        <v>0</v>
      </c>
      <c r="AL787">
        <v>0</v>
      </c>
      <c r="AM787">
        <v>0</v>
      </c>
      <c r="AN787">
        <v>0</v>
      </c>
      <c r="AO787" s="1">
        <v>0</v>
      </c>
    </row>
    <row r="788" spans="7:41" x14ac:dyDescent="0.35">
      <c r="G788">
        <v>786</v>
      </c>
      <c r="H788">
        <v>0</v>
      </c>
      <c r="I788">
        <v>1</v>
      </c>
      <c r="J788">
        <v>5</v>
      </c>
      <c r="K788">
        <v>0</v>
      </c>
      <c r="L788">
        <v>0</v>
      </c>
      <c r="M788" s="1">
        <v>360</v>
      </c>
      <c r="N788">
        <v>786</v>
      </c>
      <c r="O788">
        <v>0</v>
      </c>
      <c r="P788">
        <v>0</v>
      </c>
      <c r="Q788">
        <v>1</v>
      </c>
      <c r="R788">
        <v>0</v>
      </c>
      <c r="S788">
        <v>0</v>
      </c>
      <c r="T788" s="1">
        <v>80</v>
      </c>
      <c r="U788">
        <v>786</v>
      </c>
      <c r="V788">
        <v>0</v>
      </c>
      <c r="W788">
        <v>1</v>
      </c>
      <c r="X788">
        <v>0</v>
      </c>
      <c r="Y788">
        <v>0</v>
      </c>
      <c r="Z788">
        <v>0</v>
      </c>
      <c r="AA788" s="1">
        <v>100</v>
      </c>
      <c r="AB788">
        <v>786</v>
      </c>
      <c r="AC788">
        <v>0</v>
      </c>
      <c r="AD788">
        <v>0</v>
      </c>
      <c r="AE788">
        <v>0</v>
      </c>
      <c r="AF788">
        <v>0</v>
      </c>
      <c r="AG788">
        <v>0</v>
      </c>
      <c r="AH788" s="1">
        <v>0</v>
      </c>
      <c r="AI788">
        <v>786</v>
      </c>
      <c r="AJ788">
        <v>0</v>
      </c>
      <c r="AK788">
        <v>0</v>
      </c>
      <c r="AL788">
        <v>2</v>
      </c>
      <c r="AM788">
        <v>0</v>
      </c>
      <c r="AN788">
        <v>0</v>
      </c>
      <c r="AO788" s="1">
        <v>300</v>
      </c>
    </row>
    <row r="789" spans="7:41" x14ac:dyDescent="0.35">
      <c r="G789">
        <v>787</v>
      </c>
      <c r="H789">
        <v>0</v>
      </c>
      <c r="I789">
        <v>1</v>
      </c>
      <c r="J789">
        <v>0</v>
      </c>
      <c r="K789">
        <v>4</v>
      </c>
      <c r="L789">
        <v>2</v>
      </c>
      <c r="M789" s="1">
        <v>420</v>
      </c>
      <c r="N789">
        <v>787</v>
      </c>
      <c r="O789">
        <v>0</v>
      </c>
      <c r="P789">
        <v>0</v>
      </c>
      <c r="Q789">
        <v>3</v>
      </c>
      <c r="R789">
        <v>0</v>
      </c>
      <c r="S789">
        <v>0</v>
      </c>
      <c r="T789" s="1">
        <v>240</v>
      </c>
      <c r="U789">
        <v>787</v>
      </c>
      <c r="V789">
        <v>0</v>
      </c>
      <c r="W789">
        <v>0</v>
      </c>
      <c r="X789">
        <v>1</v>
      </c>
      <c r="Y789">
        <v>0</v>
      </c>
      <c r="Z789">
        <v>0</v>
      </c>
      <c r="AA789" s="1">
        <v>100</v>
      </c>
      <c r="AB789">
        <v>787</v>
      </c>
      <c r="AC789">
        <v>0</v>
      </c>
      <c r="AD789">
        <v>0</v>
      </c>
      <c r="AE789">
        <v>0</v>
      </c>
      <c r="AF789">
        <v>0</v>
      </c>
      <c r="AG789">
        <v>0</v>
      </c>
      <c r="AH789" s="1">
        <v>0</v>
      </c>
      <c r="AI789">
        <v>787</v>
      </c>
      <c r="AJ789">
        <v>0</v>
      </c>
      <c r="AK789">
        <v>0</v>
      </c>
      <c r="AL789">
        <v>1</v>
      </c>
      <c r="AM789">
        <v>0</v>
      </c>
      <c r="AN789">
        <v>0</v>
      </c>
      <c r="AO789" s="1">
        <v>150</v>
      </c>
    </row>
    <row r="790" spans="7:41" x14ac:dyDescent="0.35">
      <c r="G790">
        <v>788</v>
      </c>
      <c r="H790">
        <v>0</v>
      </c>
      <c r="I790">
        <v>1</v>
      </c>
      <c r="J790">
        <v>0</v>
      </c>
      <c r="K790">
        <v>3</v>
      </c>
      <c r="L790">
        <v>2</v>
      </c>
      <c r="M790" s="1">
        <v>360</v>
      </c>
      <c r="N790">
        <v>788</v>
      </c>
      <c r="O790">
        <v>0</v>
      </c>
      <c r="P790">
        <v>0</v>
      </c>
      <c r="Q790">
        <v>2</v>
      </c>
      <c r="R790">
        <v>0</v>
      </c>
      <c r="S790">
        <v>0</v>
      </c>
      <c r="T790" s="1">
        <v>160</v>
      </c>
      <c r="U790">
        <v>788</v>
      </c>
      <c r="V790">
        <v>0</v>
      </c>
      <c r="W790">
        <v>2</v>
      </c>
      <c r="X790">
        <v>0</v>
      </c>
      <c r="Y790">
        <v>0</v>
      </c>
      <c r="Z790">
        <v>0</v>
      </c>
      <c r="AA790" s="1">
        <v>200</v>
      </c>
      <c r="AB790">
        <v>788</v>
      </c>
      <c r="AC790">
        <v>0</v>
      </c>
      <c r="AD790">
        <v>1</v>
      </c>
      <c r="AE790">
        <v>0</v>
      </c>
      <c r="AF790">
        <v>0</v>
      </c>
      <c r="AG790">
        <v>0</v>
      </c>
      <c r="AH790" s="1">
        <v>120</v>
      </c>
      <c r="AI790">
        <v>788</v>
      </c>
      <c r="AJ790">
        <v>0</v>
      </c>
      <c r="AK790">
        <v>0</v>
      </c>
      <c r="AL790">
        <v>1</v>
      </c>
      <c r="AM790">
        <v>0</v>
      </c>
      <c r="AN790">
        <v>0</v>
      </c>
      <c r="AO790" s="1">
        <v>150</v>
      </c>
    </row>
    <row r="791" spans="7:41" x14ac:dyDescent="0.35">
      <c r="G791">
        <v>789</v>
      </c>
      <c r="H791">
        <v>1</v>
      </c>
      <c r="I791">
        <v>0</v>
      </c>
      <c r="J791">
        <v>1</v>
      </c>
      <c r="K791">
        <v>2</v>
      </c>
      <c r="L791">
        <v>1</v>
      </c>
      <c r="M791" s="1">
        <v>300</v>
      </c>
      <c r="N791">
        <v>789</v>
      </c>
      <c r="O791">
        <v>0</v>
      </c>
      <c r="P791">
        <v>0</v>
      </c>
      <c r="Q791">
        <v>1</v>
      </c>
      <c r="R791">
        <v>0</v>
      </c>
      <c r="S791">
        <v>1</v>
      </c>
      <c r="T791" s="1">
        <v>160</v>
      </c>
      <c r="U791">
        <v>789</v>
      </c>
      <c r="V791">
        <v>0</v>
      </c>
      <c r="W791">
        <v>0</v>
      </c>
      <c r="X791">
        <v>0</v>
      </c>
      <c r="Y791">
        <v>0</v>
      </c>
      <c r="Z791">
        <v>0</v>
      </c>
      <c r="AA791" s="1">
        <v>0</v>
      </c>
      <c r="AB791">
        <v>789</v>
      </c>
      <c r="AC791">
        <v>0</v>
      </c>
      <c r="AD791">
        <v>0</v>
      </c>
      <c r="AE791">
        <v>0</v>
      </c>
      <c r="AF791">
        <v>0</v>
      </c>
      <c r="AG791">
        <v>1</v>
      </c>
      <c r="AH791" s="1">
        <v>120</v>
      </c>
      <c r="AI791">
        <v>789</v>
      </c>
      <c r="AJ791">
        <v>0</v>
      </c>
      <c r="AK791">
        <v>0</v>
      </c>
      <c r="AL791">
        <v>0</v>
      </c>
      <c r="AM791">
        <v>0</v>
      </c>
      <c r="AN791">
        <v>0</v>
      </c>
      <c r="AO791" s="1">
        <v>0</v>
      </c>
    </row>
    <row r="792" spans="7:41" x14ac:dyDescent="0.35">
      <c r="G792">
        <v>790</v>
      </c>
      <c r="H792">
        <v>0</v>
      </c>
      <c r="I792">
        <v>2</v>
      </c>
      <c r="J792">
        <v>1</v>
      </c>
      <c r="K792">
        <v>4</v>
      </c>
      <c r="L792">
        <v>2</v>
      </c>
      <c r="M792" s="1">
        <v>540</v>
      </c>
      <c r="N792">
        <v>790</v>
      </c>
      <c r="O792">
        <v>0</v>
      </c>
      <c r="P792">
        <v>0</v>
      </c>
      <c r="Q792">
        <v>2</v>
      </c>
      <c r="R792">
        <v>0</v>
      </c>
      <c r="S792">
        <v>0</v>
      </c>
      <c r="T792" s="1">
        <v>160</v>
      </c>
      <c r="U792">
        <v>790</v>
      </c>
      <c r="V792">
        <v>1</v>
      </c>
      <c r="W792">
        <v>0</v>
      </c>
      <c r="X792">
        <v>0</v>
      </c>
      <c r="Y792">
        <v>0</v>
      </c>
      <c r="Z792">
        <v>0</v>
      </c>
      <c r="AA792" s="1">
        <v>100</v>
      </c>
      <c r="AB792">
        <v>790</v>
      </c>
      <c r="AC792">
        <v>0</v>
      </c>
      <c r="AD792">
        <v>0</v>
      </c>
      <c r="AE792">
        <v>0</v>
      </c>
      <c r="AF792">
        <v>0</v>
      </c>
      <c r="AG792">
        <v>0</v>
      </c>
      <c r="AH792" s="1">
        <v>0</v>
      </c>
      <c r="AI792">
        <v>790</v>
      </c>
      <c r="AJ792">
        <v>0</v>
      </c>
      <c r="AK792">
        <v>0</v>
      </c>
      <c r="AL792">
        <v>0</v>
      </c>
      <c r="AM792">
        <v>0</v>
      </c>
      <c r="AN792">
        <v>0</v>
      </c>
      <c r="AO792" s="1">
        <v>0</v>
      </c>
    </row>
    <row r="793" spans="7:41" x14ac:dyDescent="0.35">
      <c r="G793">
        <v>791</v>
      </c>
      <c r="H793">
        <v>4</v>
      </c>
      <c r="I793">
        <v>2</v>
      </c>
      <c r="J793">
        <v>0</v>
      </c>
      <c r="K793">
        <v>0</v>
      </c>
      <c r="L793">
        <v>1</v>
      </c>
      <c r="M793" s="1">
        <v>420</v>
      </c>
      <c r="N793">
        <v>791</v>
      </c>
      <c r="O793">
        <v>0</v>
      </c>
      <c r="P793">
        <v>1</v>
      </c>
      <c r="Q793">
        <v>0</v>
      </c>
      <c r="R793">
        <v>0</v>
      </c>
      <c r="S793">
        <v>0</v>
      </c>
      <c r="T793" s="1">
        <v>80</v>
      </c>
      <c r="U793">
        <v>791</v>
      </c>
      <c r="V793">
        <v>0</v>
      </c>
      <c r="W793">
        <v>2</v>
      </c>
      <c r="X793">
        <v>1</v>
      </c>
      <c r="Y793">
        <v>0</v>
      </c>
      <c r="Z793">
        <v>0</v>
      </c>
      <c r="AA793" s="1">
        <v>300</v>
      </c>
      <c r="AB793">
        <v>791</v>
      </c>
      <c r="AC793">
        <v>0</v>
      </c>
      <c r="AD793">
        <v>0</v>
      </c>
      <c r="AE793">
        <v>0</v>
      </c>
      <c r="AF793">
        <v>0</v>
      </c>
      <c r="AG793">
        <v>0</v>
      </c>
      <c r="AH793" s="1">
        <v>0</v>
      </c>
      <c r="AI793">
        <v>791</v>
      </c>
      <c r="AJ793">
        <v>0</v>
      </c>
      <c r="AK793">
        <v>0</v>
      </c>
      <c r="AL793">
        <v>2</v>
      </c>
      <c r="AM793">
        <v>0</v>
      </c>
      <c r="AN793">
        <v>0</v>
      </c>
      <c r="AO793" s="1">
        <v>300</v>
      </c>
    </row>
    <row r="794" spans="7:41" x14ac:dyDescent="0.35">
      <c r="G794">
        <v>792</v>
      </c>
      <c r="H794">
        <v>0</v>
      </c>
      <c r="I794">
        <v>1</v>
      </c>
      <c r="J794">
        <v>3</v>
      </c>
      <c r="K794">
        <v>0</v>
      </c>
      <c r="L794">
        <v>0</v>
      </c>
      <c r="M794" s="1">
        <v>240</v>
      </c>
      <c r="N794">
        <v>792</v>
      </c>
      <c r="O794">
        <v>2</v>
      </c>
      <c r="P794">
        <v>1</v>
      </c>
      <c r="Q794">
        <v>0</v>
      </c>
      <c r="R794">
        <v>0</v>
      </c>
      <c r="S794">
        <v>0</v>
      </c>
      <c r="T794" s="1">
        <v>240</v>
      </c>
      <c r="U794">
        <v>792</v>
      </c>
      <c r="V794">
        <v>0</v>
      </c>
      <c r="W794">
        <v>0</v>
      </c>
      <c r="X794">
        <v>0</v>
      </c>
      <c r="Y794">
        <v>0</v>
      </c>
      <c r="Z794">
        <v>0</v>
      </c>
      <c r="AA794" s="1">
        <v>0</v>
      </c>
      <c r="AB794">
        <v>792</v>
      </c>
      <c r="AC794">
        <v>0</v>
      </c>
      <c r="AD794">
        <v>0</v>
      </c>
      <c r="AE794">
        <v>0</v>
      </c>
      <c r="AF794">
        <v>0</v>
      </c>
      <c r="AG794">
        <v>0</v>
      </c>
      <c r="AH794" s="1">
        <v>0</v>
      </c>
      <c r="AI794">
        <v>792</v>
      </c>
      <c r="AJ794">
        <v>0</v>
      </c>
      <c r="AK794">
        <v>0</v>
      </c>
      <c r="AL794">
        <v>0</v>
      </c>
      <c r="AM794">
        <v>0</v>
      </c>
      <c r="AN794">
        <v>0</v>
      </c>
      <c r="AO794" s="1">
        <v>0</v>
      </c>
    </row>
    <row r="795" spans="7:41" x14ac:dyDescent="0.35">
      <c r="G795">
        <v>793</v>
      </c>
      <c r="H795">
        <v>1</v>
      </c>
      <c r="I795">
        <v>1</v>
      </c>
      <c r="J795">
        <v>2</v>
      </c>
      <c r="K795">
        <v>1</v>
      </c>
      <c r="L795">
        <v>0</v>
      </c>
      <c r="M795" s="1">
        <v>300</v>
      </c>
      <c r="N795">
        <v>793</v>
      </c>
      <c r="O795">
        <v>0</v>
      </c>
      <c r="P795">
        <v>0</v>
      </c>
      <c r="Q795">
        <v>0</v>
      </c>
      <c r="R795">
        <v>0</v>
      </c>
      <c r="S795">
        <v>2</v>
      </c>
      <c r="T795" s="1">
        <v>160</v>
      </c>
      <c r="U795">
        <v>793</v>
      </c>
      <c r="V795">
        <v>0</v>
      </c>
      <c r="W795">
        <v>0</v>
      </c>
      <c r="X795">
        <v>0</v>
      </c>
      <c r="Y795">
        <v>0</v>
      </c>
      <c r="Z795">
        <v>0</v>
      </c>
      <c r="AA795" s="1">
        <v>0</v>
      </c>
      <c r="AB795">
        <v>793</v>
      </c>
      <c r="AC795">
        <v>1</v>
      </c>
      <c r="AD795">
        <v>1</v>
      </c>
      <c r="AE795">
        <v>0</v>
      </c>
      <c r="AF795">
        <v>0</v>
      </c>
      <c r="AG795">
        <v>0</v>
      </c>
      <c r="AH795" s="1">
        <v>240</v>
      </c>
      <c r="AI795">
        <v>793</v>
      </c>
      <c r="AJ795">
        <v>0</v>
      </c>
      <c r="AK795">
        <v>0</v>
      </c>
      <c r="AL795">
        <v>3</v>
      </c>
      <c r="AM795">
        <v>0</v>
      </c>
      <c r="AN795">
        <v>0</v>
      </c>
      <c r="AO795" s="1">
        <v>450</v>
      </c>
    </row>
    <row r="796" spans="7:41" x14ac:dyDescent="0.35">
      <c r="G796">
        <v>794</v>
      </c>
      <c r="H796">
        <v>0</v>
      </c>
      <c r="I796">
        <v>0</v>
      </c>
      <c r="J796">
        <v>0</v>
      </c>
      <c r="K796">
        <v>2</v>
      </c>
      <c r="L796">
        <v>1</v>
      </c>
      <c r="M796" s="1">
        <v>180</v>
      </c>
      <c r="N796">
        <v>794</v>
      </c>
      <c r="O796">
        <v>0</v>
      </c>
      <c r="P796">
        <v>0</v>
      </c>
      <c r="Q796">
        <v>0</v>
      </c>
      <c r="R796">
        <v>0</v>
      </c>
      <c r="S796">
        <v>0</v>
      </c>
      <c r="T796" s="1">
        <v>0</v>
      </c>
      <c r="U796">
        <v>794</v>
      </c>
      <c r="V796">
        <v>0</v>
      </c>
      <c r="W796">
        <v>0</v>
      </c>
      <c r="X796">
        <v>1</v>
      </c>
      <c r="Y796">
        <v>0</v>
      </c>
      <c r="Z796">
        <v>0</v>
      </c>
      <c r="AA796" s="1">
        <v>100</v>
      </c>
      <c r="AB796">
        <v>794</v>
      </c>
      <c r="AC796">
        <v>0</v>
      </c>
      <c r="AD796">
        <v>1</v>
      </c>
      <c r="AE796">
        <v>0</v>
      </c>
      <c r="AF796">
        <v>0</v>
      </c>
      <c r="AG796">
        <v>0</v>
      </c>
      <c r="AH796" s="1">
        <v>120</v>
      </c>
      <c r="AI796">
        <v>794</v>
      </c>
      <c r="AJ796">
        <v>0</v>
      </c>
      <c r="AK796">
        <v>0</v>
      </c>
      <c r="AL796">
        <v>0</v>
      </c>
      <c r="AM796">
        <v>0</v>
      </c>
      <c r="AN796">
        <v>0</v>
      </c>
      <c r="AO796" s="1">
        <v>0</v>
      </c>
    </row>
    <row r="797" spans="7:41" x14ac:dyDescent="0.35">
      <c r="G797">
        <v>795</v>
      </c>
      <c r="H797">
        <v>1</v>
      </c>
      <c r="I797">
        <v>2</v>
      </c>
      <c r="J797">
        <v>0</v>
      </c>
      <c r="K797">
        <v>0</v>
      </c>
      <c r="L797">
        <v>1</v>
      </c>
      <c r="M797" s="1">
        <v>240</v>
      </c>
      <c r="N797">
        <v>795</v>
      </c>
      <c r="O797">
        <v>0</v>
      </c>
      <c r="P797">
        <v>1</v>
      </c>
      <c r="Q797">
        <v>1</v>
      </c>
      <c r="R797">
        <v>0</v>
      </c>
      <c r="S797">
        <v>0</v>
      </c>
      <c r="T797" s="1">
        <v>160</v>
      </c>
      <c r="U797">
        <v>795</v>
      </c>
      <c r="V797">
        <v>0</v>
      </c>
      <c r="W797">
        <v>0</v>
      </c>
      <c r="X797">
        <v>0</v>
      </c>
      <c r="Y797">
        <v>0</v>
      </c>
      <c r="Z797">
        <v>0</v>
      </c>
      <c r="AA797" s="1">
        <v>0</v>
      </c>
      <c r="AB797">
        <v>795</v>
      </c>
      <c r="AC797">
        <v>0</v>
      </c>
      <c r="AD797">
        <v>0</v>
      </c>
      <c r="AE797">
        <v>0</v>
      </c>
      <c r="AF797">
        <v>0</v>
      </c>
      <c r="AG797">
        <v>0</v>
      </c>
      <c r="AH797" s="1">
        <v>0</v>
      </c>
      <c r="AI797">
        <v>795</v>
      </c>
      <c r="AJ797">
        <v>0</v>
      </c>
      <c r="AK797">
        <v>0</v>
      </c>
      <c r="AL797">
        <v>0</v>
      </c>
      <c r="AM797">
        <v>0</v>
      </c>
      <c r="AN797">
        <v>0</v>
      </c>
      <c r="AO797" s="1">
        <v>0</v>
      </c>
    </row>
    <row r="798" spans="7:41" x14ac:dyDescent="0.35">
      <c r="G798">
        <v>796</v>
      </c>
      <c r="H798">
        <v>0</v>
      </c>
      <c r="I798">
        <v>0</v>
      </c>
      <c r="J798">
        <v>0</v>
      </c>
      <c r="K798">
        <v>0</v>
      </c>
      <c r="L798">
        <v>0</v>
      </c>
      <c r="M798" s="1">
        <v>0</v>
      </c>
      <c r="N798">
        <v>796</v>
      </c>
      <c r="O798">
        <v>1</v>
      </c>
      <c r="P798">
        <v>1</v>
      </c>
      <c r="Q798">
        <v>0</v>
      </c>
      <c r="R798">
        <v>0</v>
      </c>
      <c r="S798">
        <v>0</v>
      </c>
      <c r="T798" s="1">
        <v>160</v>
      </c>
      <c r="U798">
        <v>796</v>
      </c>
      <c r="V798">
        <v>0</v>
      </c>
      <c r="W798">
        <v>0</v>
      </c>
      <c r="X798">
        <v>1</v>
      </c>
      <c r="Y798">
        <v>0</v>
      </c>
      <c r="Z798">
        <v>0</v>
      </c>
      <c r="AA798" s="1">
        <v>100</v>
      </c>
      <c r="AB798">
        <v>796</v>
      </c>
      <c r="AC798">
        <v>0</v>
      </c>
      <c r="AD798">
        <v>1</v>
      </c>
      <c r="AE798">
        <v>0</v>
      </c>
      <c r="AF798">
        <v>0</v>
      </c>
      <c r="AG798">
        <v>0</v>
      </c>
      <c r="AH798" s="1">
        <v>120</v>
      </c>
      <c r="AI798">
        <v>796</v>
      </c>
      <c r="AJ798">
        <v>0</v>
      </c>
      <c r="AK798">
        <v>0</v>
      </c>
      <c r="AL798">
        <v>1</v>
      </c>
      <c r="AM798">
        <v>0</v>
      </c>
      <c r="AN798">
        <v>0</v>
      </c>
      <c r="AO798" s="1">
        <v>150</v>
      </c>
    </row>
    <row r="799" spans="7:41" x14ac:dyDescent="0.35">
      <c r="G799">
        <v>797</v>
      </c>
      <c r="H799">
        <v>2</v>
      </c>
      <c r="I799">
        <v>1</v>
      </c>
      <c r="J799">
        <v>0</v>
      </c>
      <c r="K799">
        <v>1</v>
      </c>
      <c r="L799">
        <v>0</v>
      </c>
      <c r="M799" s="1">
        <v>240</v>
      </c>
      <c r="N799">
        <v>797</v>
      </c>
      <c r="O799">
        <v>3</v>
      </c>
      <c r="P799">
        <v>1</v>
      </c>
      <c r="Q799">
        <v>0</v>
      </c>
      <c r="R799">
        <v>0</v>
      </c>
      <c r="S799">
        <v>0</v>
      </c>
      <c r="T799" s="1">
        <v>320</v>
      </c>
      <c r="U799">
        <v>797</v>
      </c>
      <c r="V799">
        <v>0</v>
      </c>
      <c r="W799">
        <v>3</v>
      </c>
      <c r="X799">
        <v>0</v>
      </c>
      <c r="Y799">
        <v>0</v>
      </c>
      <c r="Z799">
        <v>1</v>
      </c>
      <c r="AA799" s="1">
        <v>400</v>
      </c>
      <c r="AB799">
        <v>797</v>
      </c>
      <c r="AC799">
        <v>0</v>
      </c>
      <c r="AD799">
        <v>0</v>
      </c>
      <c r="AE799">
        <v>0</v>
      </c>
      <c r="AF799">
        <v>0</v>
      </c>
      <c r="AG799">
        <v>0</v>
      </c>
      <c r="AH799" s="1">
        <v>0</v>
      </c>
      <c r="AI799">
        <v>797</v>
      </c>
      <c r="AJ799">
        <v>0</v>
      </c>
      <c r="AK799">
        <v>0</v>
      </c>
      <c r="AL799">
        <v>1</v>
      </c>
      <c r="AM799">
        <v>0</v>
      </c>
      <c r="AN799">
        <v>0</v>
      </c>
      <c r="AO799" s="1">
        <v>150</v>
      </c>
    </row>
    <row r="800" spans="7:41" x14ac:dyDescent="0.35">
      <c r="G800">
        <v>798</v>
      </c>
      <c r="H800">
        <v>0</v>
      </c>
      <c r="I800">
        <v>3</v>
      </c>
      <c r="J800">
        <v>0</v>
      </c>
      <c r="K800">
        <v>3</v>
      </c>
      <c r="L800">
        <v>2</v>
      </c>
      <c r="M800" s="1">
        <v>480</v>
      </c>
      <c r="N800">
        <v>798</v>
      </c>
      <c r="O800">
        <v>1</v>
      </c>
      <c r="P800">
        <v>2</v>
      </c>
      <c r="Q800">
        <v>0</v>
      </c>
      <c r="R800">
        <v>0</v>
      </c>
      <c r="S800">
        <v>0</v>
      </c>
      <c r="T800" s="1">
        <v>240</v>
      </c>
      <c r="U800">
        <v>798</v>
      </c>
      <c r="V800">
        <v>0</v>
      </c>
      <c r="W800">
        <v>1</v>
      </c>
      <c r="X800">
        <v>0</v>
      </c>
      <c r="Y800">
        <v>0</v>
      </c>
      <c r="Z800">
        <v>0</v>
      </c>
      <c r="AA800" s="1">
        <v>100</v>
      </c>
      <c r="AB800">
        <v>798</v>
      </c>
      <c r="AC800">
        <v>0</v>
      </c>
      <c r="AD800">
        <v>0</v>
      </c>
      <c r="AE800">
        <v>0</v>
      </c>
      <c r="AF800">
        <v>0</v>
      </c>
      <c r="AG800">
        <v>1</v>
      </c>
      <c r="AH800" s="1">
        <v>120</v>
      </c>
      <c r="AI800">
        <v>798</v>
      </c>
      <c r="AJ800">
        <v>0</v>
      </c>
      <c r="AK800">
        <v>0</v>
      </c>
      <c r="AL800">
        <v>0</v>
      </c>
      <c r="AM800">
        <v>0</v>
      </c>
      <c r="AN800">
        <v>0</v>
      </c>
      <c r="AO800" s="1">
        <v>0</v>
      </c>
    </row>
    <row r="801" spans="7:41" x14ac:dyDescent="0.35">
      <c r="G801">
        <v>799</v>
      </c>
      <c r="H801">
        <v>0</v>
      </c>
      <c r="I801">
        <v>1</v>
      </c>
      <c r="J801">
        <v>0</v>
      </c>
      <c r="K801">
        <v>2</v>
      </c>
      <c r="L801">
        <v>0</v>
      </c>
      <c r="M801" s="1">
        <v>180</v>
      </c>
      <c r="N801">
        <v>799</v>
      </c>
      <c r="O801">
        <v>2</v>
      </c>
      <c r="P801">
        <v>0</v>
      </c>
      <c r="Q801">
        <v>0</v>
      </c>
      <c r="R801">
        <v>0</v>
      </c>
      <c r="S801">
        <v>0</v>
      </c>
      <c r="T801" s="1">
        <v>160</v>
      </c>
      <c r="U801">
        <v>799</v>
      </c>
      <c r="V801">
        <v>0</v>
      </c>
      <c r="W801">
        <v>0</v>
      </c>
      <c r="X801">
        <v>0</v>
      </c>
      <c r="Y801">
        <v>0</v>
      </c>
      <c r="Z801">
        <v>0</v>
      </c>
      <c r="AA801" s="1">
        <v>0</v>
      </c>
      <c r="AB801">
        <v>799</v>
      </c>
      <c r="AC801">
        <v>0</v>
      </c>
      <c r="AD801">
        <v>1</v>
      </c>
      <c r="AE801">
        <v>0</v>
      </c>
      <c r="AF801">
        <v>0</v>
      </c>
      <c r="AG801">
        <v>1</v>
      </c>
      <c r="AH801" s="1">
        <v>240</v>
      </c>
      <c r="AI801">
        <v>799</v>
      </c>
      <c r="AJ801">
        <v>0</v>
      </c>
      <c r="AK801">
        <v>0</v>
      </c>
      <c r="AL801">
        <v>1</v>
      </c>
      <c r="AM801">
        <v>0</v>
      </c>
      <c r="AN801">
        <v>0</v>
      </c>
      <c r="AO801" s="1">
        <v>150</v>
      </c>
    </row>
    <row r="802" spans="7:41" x14ac:dyDescent="0.35">
      <c r="G802">
        <v>800</v>
      </c>
      <c r="H802">
        <v>1</v>
      </c>
      <c r="I802">
        <v>0</v>
      </c>
      <c r="J802">
        <v>2</v>
      </c>
      <c r="K802">
        <v>0</v>
      </c>
      <c r="L802">
        <v>1</v>
      </c>
      <c r="M802" s="1">
        <v>240</v>
      </c>
      <c r="N802">
        <v>800</v>
      </c>
      <c r="O802">
        <v>0</v>
      </c>
      <c r="P802">
        <v>0</v>
      </c>
      <c r="Q802">
        <v>0</v>
      </c>
      <c r="R802">
        <v>0</v>
      </c>
      <c r="S802">
        <v>1</v>
      </c>
      <c r="T802" s="1">
        <v>80</v>
      </c>
      <c r="U802">
        <v>800</v>
      </c>
      <c r="V802">
        <v>0</v>
      </c>
      <c r="W802">
        <v>2</v>
      </c>
      <c r="X802">
        <v>0</v>
      </c>
      <c r="Y802">
        <v>0</v>
      </c>
      <c r="Z802">
        <v>0</v>
      </c>
      <c r="AA802" s="1">
        <v>200</v>
      </c>
      <c r="AB802">
        <v>800</v>
      </c>
      <c r="AC802">
        <v>0</v>
      </c>
      <c r="AD802">
        <v>0</v>
      </c>
      <c r="AE802">
        <v>0</v>
      </c>
      <c r="AF802">
        <v>0</v>
      </c>
      <c r="AG802">
        <v>0</v>
      </c>
      <c r="AH802" s="1">
        <v>0</v>
      </c>
      <c r="AI802">
        <v>800</v>
      </c>
      <c r="AJ802">
        <v>0</v>
      </c>
      <c r="AK802">
        <v>0</v>
      </c>
      <c r="AL802">
        <v>0</v>
      </c>
      <c r="AM802">
        <v>0</v>
      </c>
      <c r="AN802">
        <v>0</v>
      </c>
      <c r="AO802" s="1">
        <v>0</v>
      </c>
    </row>
    <row r="803" spans="7:41" x14ac:dyDescent="0.35">
      <c r="G803">
        <v>801</v>
      </c>
      <c r="H803">
        <v>0</v>
      </c>
      <c r="I803">
        <v>2</v>
      </c>
      <c r="J803">
        <v>3</v>
      </c>
      <c r="K803">
        <v>4</v>
      </c>
      <c r="L803">
        <v>0</v>
      </c>
      <c r="M803" s="1">
        <v>540</v>
      </c>
      <c r="N803">
        <v>801</v>
      </c>
      <c r="O803">
        <v>0</v>
      </c>
      <c r="P803">
        <v>0</v>
      </c>
      <c r="Q803">
        <v>1</v>
      </c>
      <c r="R803">
        <v>0</v>
      </c>
      <c r="S803">
        <v>0</v>
      </c>
      <c r="T803" s="1">
        <v>80</v>
      </c>
      <c r="U803">
        <v>801</v>
      </c>
      <c r="V803">
        <v>1</v>
      </c>
      <c r="W803">
        <v>0</v>
      </c>
      <c r="X803">
        <v>0</v>
      </c>
      <c r="Y803">
        <v>0</v>
      </c>
      <c r="Z803">
        <v>0</v>
      </c>
      <c r="AA803" s="1">
        <v>100</v>
      </c>
      <c r="AB803">
        <v>801</v>
      </c>
      <c r="AC803">
        <v>0</v>
      </c>
      <c r="AD803">
        <v>0</v>
      </c>
      <c r="AE803">
        <v>0</v>
      </c>
      <c r="AF803">
        <v>0</v>
      </c>
      <c r="AG803">
        <v>1</v>
      </c>
      <c r="AH803" s="1">
        <v>120</v>
      </c>
      <c r="AI803">
        <v>801</v>
      </c>
      <c r="AJ803">
        <v>0</v>
      </c>
      <c r="AK803">
        <v>0</v>
      </c>
      <c r="AL803">
        <v>0</v>
      </c>
      <c r="AM803">
        <v>0</v>
      </c>
      <c r="AN803">
        <v>0</v>
      </c>
      <c r="AO803" s="1">
        <v>0</v>
      </c>
    </row>
    <row r="804" spans="7:41" x14ac:dyDescent="0.35">
      <c r="G804">
        <v>802</v>
      </c>
      <c r="H804">
        <v>1</v>
      </c>
      <c r="I804">
        <v>2</v>
      </c>
      <c r="J804">
        <v>0</v>
      </c>
      <c r="K804">
        <v>2</v>
      </c>
      <c r="L804">
        <v>1</v>
      </c>
      <c r="M804" s="1">
        <v>360</v>
      </c>
      <c r="N804">
        <v>802</v>
      </c>
      <c r="O804">
        <v>0</v>
      </c>
      <c r="P804">
        <v>0</v>
      </c>
      <c r="Q804">
        <v>1</v>
      </c>
      <c r="R804">
        <v>2</v>
      </c>
      <c r="S804">
        <v>0</v>
      </c>
      <c r="T804" s="1">
        <v>240</v>
      </c>
      <c r="U804">
        <v>802</v>
      </c>
      <c r="V804">
        <v>0</v>
      </c>
      <c r="W804">
        <v>0</v>
      </c>
      <c r="X804">
        <v>0</v>
      </c>
      <c r="Y804">
        <v>0</v>
      </c>
      <c r="Z804">
        <v>0</v>
      </c>
      <c r="AA804" s="1">
        <v>0</v>
      </c>
      <c r="AB804">
        <v>802</v>
      </c>
      <c r="AC804">
        <v>0</v>
      </c>
      <c r="AD804">
        <v>0</v>
      </c>
      <c r="AE804">
        <v>0</v>
      </c>
      <c r="AF804">
        <v>0</v>
      </c>
      <c r="AG804">
        <v>0</v>
      </c>
      <c r="AH804" s="1">
        <v>0</v>
      </c>
      <c r="AI804">
        <v>802</v>
      </c>
      <c r="AJ804">
        <v>0</v>
      </c>
      <c r="AK804">
        <v>0</v>
      </c>
      <c r="AL804">
        <v>0</v>
      </c>
      <c r="AM804">
        <v>0</v>
      </c>
      <c r="AN804">
        <v>0</v>
      </c>
      <c r="AO804" s="1">
        <v>0</v>
      </c>
    </row>
    <row r="805" spans="7:41" x14ac:dyDescent="0.35">
      <c r="G805">
        <v>803</v>
      </c>
      <c r="H805">
        <v>0</v>
      </c>
      <c r="I805">
        <v>0</v>
      </c>
      <c r="J805">
        <v>3</v>
      </c>
      <c r="K805">
        <v>1</v>
      </c>
      <c r="L805">
        <v>1</v>
      </c>
      <c r="M805" s="1">
        <v>300</v>
      </c>
      <c r="N805">
        <v>803</v>
      </c>
      <c r="O805">
        <v>0</v>
      </c>
      <c r="P805">
        <v>1</v>
      </c>
      <c r="Q805">
        <v>0</v>
      </c>
      <c r="R805">
        <v>0</v>
      </c>
      <c r="S805">
        <v>1</v>
      </c>
      <c r="T805" s="1">
        <v>160</v>
      </c>
      <c r="U805">
        <v>803</v>
      </c>
      <c r="V805">
        <v>0</v>
      </c>
      <c r="W805">
        <v>0</v>
      </c>
      <c r="X805">
        <v>0</v>
      </c>
      <c r="Y805">
        <v>0</v>
      </c>
      <c r="Z805">
        <v>0</v>
      </c>
      <c r="AA805" s="1">
        <v>0</v>
      </c>
      <c r="AB805">
        <v>803</v>
      </c>
      <c r="AC805">
        <v>0</v>
      </c>
      <c r="AD805">
        <v>0</v>
      </c>
      <c r="AE805">
        <v>0</v>
      </c>
      <c r="AF805">
        <v>1</v>
      </c>
      <c r="AG805">
        <v>0</v>
      </c>
      <c r="AH805" s="1">
        <v>120</v>
      </c>
      <c r="AI805">
        <v>803</v>
      </c>
      <c r="AJ805">
        <v>0</v>
      </c>
      <c r="AK805">
        <v>0</v>
      </c>
      <c r="AL805">
        <v>0</v>
      </c>
      <c r="AM805">
        <v>0</v>
      </c>
      <c r="AN805">
        <v>2</v>
      </c>
      <c r="AO805" s="1">
        <v>300</v>
      </c>
    </row>
    <row r="806" spans="7:41" x14ac:dyDescent="0.35">
      <c r="G806">
        <v>804</v>
      </c>
      <c r="H806">
        <v>1</v>
      </c>
      <c r="I806">
        <v>1</v>
      </c>
      <c r="J806">
        <v>0</v>
      </c>
      <c r="K806">
        <v>1</v>
      </c>
      <c r="L806">
        <v>4</v>
      </c>
      <c r="M806" s="1">
        <v>420</v>
      </c>
      <c r="N806">
        <v>804</v>
      </c>
      <c r="O806">
        <v>0</v>
      </c>
      <c r="P806">
        <v>0</v>
      </c>
      <c r="Q806">
        <v>0</v>
      </c>
      <c r="R806">
        <v>0</v>
      </c>
      <c r="S806">
        <v>1</v>
      </c>
      <c r="T806" s="1">
        <v>80</v>
      </c>
      <c r="U806">
        <v>804</v>
      </c>
      <c r="V806">
        <v>0</v>
      </c>
      <c r="W806">
        <v>3</v>
      </c>
      <c r="X806">
        <v>0</v>
      </c>
      <c r="Y806">
        <v>0</v>
      </c>
      <c r="Z806">
        <v>0</v>
      </c>
      <c r="AA806" s="1">
        <v>300</v>
      </c>
      <c r="AB806">
        <v>804</v>
      </c>
      <c r="AC806">
        <v>0</v>
      </c>
      <c r="AD806">
        <v>0</v>
      </c>
      <c r="AE806">
        <v>0</v>
      </c>
      <c r="AF806">
        <v>0</v>
      </c>
      <c r="AG806">
        <v>0</v>
      </c>
      <c r="AH806" s="1">
        <v>0</v>
      </c>
      <c r="AI806">
        <v>804</v>
      </c>
      <c r="AJ806">
        <v>0</v>
      </c>
      <c r="AK806">
        <v>0</v>
      </c>
      <c r="AL806">
        <v>0</v>
      </c>
      <c r="AM806">
        <v>0</v>
      </c>
      <c r="AN806">
        <v>0</v>
      </c>
      <c r="AO806" s="1">
        <v>0</v>
      </c>
    </row>
    <row r="807" spans="7:41" x14ac:dyDescent="0.35">
      <c r="G807">
        <v>805</v>
      </c>
      <c r="H807">
        <v>0</v>
      </c>
      <c r="I807">
        <v>0</v>
      </c>
      <c r="J807">
        <v>2</v>
      </c>
      <c r="K807">
        <v>2</v>
      </c>
      <c r="L807">
        <v>0</v>
      </c>
      <c r="M807" s="1">
        <v>240</v>
      </c>
      <c r="N807">
        <v>805</v>
      </c>
      <c r="O807">
        <v>0</v>
      </c>
      <c r="P807">
        <v>0</v>
      </c>
      <c r="Q807">
        <v>1</v>
      </c>
      <c r="R807">
        <v>0</v>
      </c>
      <c r="S807">
        <v>0</v>
      </c>
      <c r="T807" s="1">
        <v>80</v>
      </c>
      <c r="U807">
        <v>805</v>
      </c>
      <c r="V807">
        <v>0</v>
      </c>
      <c r="W807">
        <v>1</v>
      </c>
      <c r="X807">
        <v>0</v>
      </c>
      <c r="Y807">
        <v>0</v>
      </c>
      <c r="Z807">
        <v>0</v>
      </c>
      <c r="AA807" s="1">
        <v>100</v>
      </c>
      <c r="AB807">
        <v>805</v>
      </c>
      <c r="AC807">
        <v>0</v>
      </c>
      <c r="AD807">
        <v>0</v>
      </c>
      <c r="AE807">
        <v>0</v>
      </c>
      <c r="AF807">
        <v>0</v>
      </c>
      <c r="AG807">
        <v>0</v>
      </c>
      <c r="AH807" s="1">
        <v>0</v>
      </c>
      <c r="AI807">
        <v>805</v>
      </c>
      <c r="AJ807">
        <v>0</v>
      </c>
      <c r="AK807">
        <v>0</v>
      </c>
      <c r="AL807">
        <v>0</v>
      </c>
      <c r="AM807">
        <v>0</v>
      </c>
      <c r="AN807">
        <v>0</v>
      </c>
      <c r="AO807" s="1">
        <v>0</v>
      </c>
    </row>
    <row r="808" spans="7:41" x14ac:dyDescent="0.35">
      <c r="G808">
        <v>806</v>
      </c>
      <c r="H808">
        <v>1</v>
      </c>
      <c r="I808">
        <v>0</v>
      </c>
      <c r="J808">
        <v>0</v>
      </c>
      <c r="K808">
        <v>2</v>
      </c>
      <c r="L808">
        <v>0</v>
      </c>
      <c r="M808" s="1">
        <v>180</v>
      </c>
      <c r="N808">
        <v>806</v>
      </c>
      <c r="O808">
        <v>0</v>
      </c>
      <c r="P808">
        <v>0</v>
      </c>
      <c r="Q808">
        <v>0</v>
      </c>
      <c r="R808">
        <v>0</v>
      </c>
      <c r="S808">
        <v>0</v>
      </c>
      <c r="T808" s="1">
        <v>0</v>
      </c>
      <c r="U808">
        <v>806</v>
      </c>
      <c r="V808">
        <v>0</v>
      </c>
      <c r="W808">
        <v>0</v>
      </c>
      <c r="X808">
        <v>0</v>
      </c>
      <c r="Y808">
        <v>0</v>
      </c>
      <c r="Z808">
        <v>0</v>
      </c>
      <c r="AA808" s="1">
        <v>0</v>
      </c>
      <c r="AB808">
        <v>806</v>
      </c>
      <c r="AC808">
        <v>0</v>
      </c>
      <c r="AD808">
        <v>0</v>
      </c>
      <c r="AE808">
        <v>0</v>
      </c>
      <c r="AF808">
        <v>0</v>
      </c>
      <c r="AG808">
        <v>0</v>
      </c>
      <c r="AH808" s="1">
        <v>0</v>
      </c>
      <c r="AI808">
        <v>806</v>
      </c>
      <c r="AJ808">
        <v>0</v>
      </c>
      <c r="AK808">
        <v>0</v>
      </c>
      <c r="AL808">
        <v>0</v>
      </c>
      <c r="AM808">
        <v>0</v>
      </c>
      <c r="AN808">
        <v>0</v>
      </c>
      <c r="AO808" s="1">
        <v>0</v>
      </c>
    </row>
    <row r="809" spans="7:41" x14ac:dyDescent="0.35">
      <c r="G809">
        <v>807</v>
      </c>
      <c r="H809">
        <v>4</v>
      </c>
      <c r="I809">
        <v>2</v>
      </c>
      <c r="J809">
        <v>0</v>
      </c>
      <c r="K809">
        <v>2</v>
      </c>
      <c r="L809">
        <v>0</v>
      </c>
      <c r="M809" s="1">
        <v>480</v>
      </c>
      <c r="N809">
        <v>807</v>
      </c>
      <c r="O809">
        <v>2</v>
      </c>
      <c r="P809">
        <v>0</v>
      </c>
      <c r="Q809">
        <v>3</v>
      </c>
      <c r="R809">
        <v>1</v>
      </c>
      <c r="S809">
        <v>0</v>
      </c>
      <c r="T809" s="1">
        <v>480</v>
      </c>
      <c r="U809">
        <v>807</v>
      </c>
      <c r="V809">
        <v>0</v>
      </c>
      <c r="W809">
        <v>0</v>
      </c>
      <c r="X809">
        <v>0</v>
      </c>
      <c r="Y809">
        <v>0</v>
      </c>
      <c r="Z809">
        <v>0</v>
      </c>
      <c r="AA809" s="1">
        <v>0</v>
      </c>
      <c r="AB809">
        <v>807</v>
      </c>
      <c r="AC809">
        <v>0</v>
      </c>
      <c r="AD809">
        <v>0</v>
      </c>
      <c r="AE809">
        <v>0</v>
      </c>
      <c r="AF809">
        <v>0</v>
      </c>
      <c r="AG809">
        <v>0</v>
      </c>
      <c r="AH809" s="1">
        <v>0</v>
      </c>
      <c r="AI809">
        <v>807</v>
      </c>
      <c r="AJ809">
        <v>0</v>
      </c>
      <c r="AK809">
        <v>0</v>
      </c>
      <c r="AL809">
        <v>0</v>
      </c>
      <c r="AM809">
        <v>0</v>
      </c>
      <c r="AN809">
        <v>0</v>
      </c>
      <c r="AO809" s="1">
        <v>0</v>
      </c>
    </row>
    <row r="810" spans="7:41" x14ac:dyDescent="0.35">
      <c r="G810">
        <v>808</v>
      </c>
      <c r="H810">
        <v>0</v>
      </c>
      <c r="I810">
        <v>0</v>
      </c>
      <c r="J810">
        <v>1</v>
      </c>
      <c r="K810">
        <v>2</v>
      </c>
      <c r="L810">
        <v>0</v>
      </c>
      <c r="M810" s="1">
        <v>180</v>
      </c>
      <c r="N810">
        <v>808</v>
      </c>
      <c r="O810">
        <v>0</v>
      </c>
      <c r="P810">
        <v>2</v>
      </c>
      <c r="Q810">
        <v>3</v>
      </c>
      <c r="R810">
        <v>1</v>
      </c>
      <c r="S810">
        <v>0</v>
      </c>
      <c r="T810" s="1">
        <v>480</v>
      </c>
      <c r="U810">
        <v>808</v>
      </c>
      <c r="V810">
        <v>0</v>
      </c>
      <c r="W810">
        <v>0</v>
      </c>
      <c r="X810">
        <v>0</v>
      </c>
      <c r="Y810">
        <v>0</v>
      </c>
      <c r="Z810">
        <v>0</v>
      </c>
      <c r="AA810" s="1">
        <v>0</v>
      </c>
      <c r="AB810">
        <v>808</v>
      </c>
      <c r="AC810">
        <v>0</v>
      </c>
      <c r="AD810">
        <v>0</v>
      </c>
      <c r="AE810">
        <v>0</v>
      </c>
      <c r="AF810">
        <v>0</v>
      </c>
      <c r="AG810">
        <v>0</v>
      </c>
      <c r="AH810" s="1">
        <v>0</v>
      </c>
      <c r="AI810">
        <v>808</v>
      </c>
      <c r="AJ810">
        <v>0</v>
      </c>
      <c r="AK810">
        <v>0</v>
      </c>
      <c r="AL810">
        <v>0</v>
      </c>
      <c r="AM810">
        <v>0</v>
      </c>
      <c r="AN810">
        <v>0</v>
      </c>
      <c r="AO810" s="1">
        <v>0</v>
      </c>
    </row>
    <row r="811" spans="7:41" x14ac:dyDescent="0.35">
      <c r="G811">
        <v>809</v>
      </c>
      <c r="H811">
        <v>1</v>
      </c>
      <c r="I811">
        <v>1</v>
      </c>
      <c r="J811">
        <v>1</v>
      </c>
      <c r="K811">
        <v>0</v>
      </c>
      <c r="L811">
        <v>1</v>
      </c>
      <c r="M811" s="1">
        <v>240</v>
      </c>
      <c r="N811">
        <v>809</v>
      </c>
      <c r="O811">
        <v>0</v>
      </c>
      <c r="P811">
        <v>0</v>
      </c>
      <c r="Q811">
        <v>0</v>
      </c>
      <c r="R811">
        <v>1</v>
      </c>
      <c r="S811">
        <v>0</v>
      </c>
      <c r="T811" s="1">
        <v>80</v>
      </c>
      <c r="U811">
        <v>809</v>
      </c>
      <c r="V811">
        <v>0</v>
      </c>
      <c r="W811">
        <v>0</v>
      </c>
      <c r="X811">
        <v>0</v>
      </c>
      <c r="Y811">
        <v>0</v>
      </c>
      <c r="Z811">
        <v>0</v>
      </c>
      <c r="AA811" s="1">
        <v>0</v>
      </c>
      <c r="AB811">
        <v>809</v>
      </c>
      <c r="AC811">
        <v>1</v>
      </c>
      <c r="AD811">
        <v>0</v>
      </c>
      <c r="AE811">
        <v>0</v>
      </c>
      <c r="AF811">
        <v>0</v>
      </c>
      <c r="AG811">
        <v>0</v>
      </c>
      <c r="AH811" s="1">
        <v>120</v>
      </c>
      <c r="AI811">
        <v>809</v>
      </c>
      <c r="AJ811">
        <v>0</v>
      </c>
      <c r="AK811">
        <v>0</v>
      </c>
      <c r="AL811">
        <v>0</v>
      </c>
      <c r="AM811">
        <v>0</v>
      </c>
      <c r="AN811">
        <v>0</v>
      </c>
      <c r="AO811" s="1">
        <v>0</v>
      </c>
    </row>
    <row r="812" spans="7:41" x14ac:dyDescent="0.35">
      <c r="G812">
        <v>810</v>
      </c>
      <c r="H812">
        <v>0</v>
      </c>
      <c r="I812">
        <v>3</v>
      </c>
      <c r="J812">
        <v>0</v>
      </c>
      <c r="K812">
        <v>0</v>
      </c>
      <c r="L812">
        <v>1</v>
      </c>
      <c r="M812" s="1">
        <v>240</v>
      </c>
      <c r="N812">
        <v>810</v>
      </c>
      <c r="O812">
        <v>0</v>
      </c>
      <c r="P812">
        <v>2</v>
      </c>
      <c r="Q812">
        <v>0</v>
      </c>
      <c r="R812">
        <v>0</v>
      </c>
      <c r="S812">
        <v>0</v>
      </c>
      <c r="T812" s="1">
        <v>160</v>
      </c>
      <c r="U812">
        <v>810</v>
      </c>
      <c r="V812">
        <v>0</v>
      </c>
      <c r="W812">
        <v>1</v>
      </c>
      <c r="X812">
        <v>0</v>
      </c>
      <c r="Y812">
        <v>0</v>
      </c>
      <c r="Z812">
        <v>0</v>
      </c>
      <c r="AA812" s="1">
        <v>100</v>
      </c>
      <c r="AB812">
        <v>810</v>
      </c>
      <c r="AC812">
        <v>0</v>
      </c>
      <c r="AD812">
        <v>0</v>
      </c>
      <c r="AE812">
        <v>0</v>
      </c>
      <c r="AF812">
        <v>0</v>
      </c>
      <c r="AG812">
        <v>0</v>
      </c>
      <c r="AH812" s="1">
        <v>0</v>
      </c>
      <c r="AI812">
        <v>810</v>
      </c>
      <c r="AJ812">
        <v>0</v>
      </c>
      <c r="AK812">
        <v>0</v>
      </c>
      <c r="AL812">
        <v>0</v>
      </c>
      <c r="AM812">
        <v>0</v>
      </c>
      <c r="AN812">
        <v>0</v>
      </c>
      <c r="AO812" s="1">
        <v>0</v>
      </c>
    </row>
    <row r="813" spans="7:41" x14ac:dyDescent="0.35">
      <c r="G813">
        <v>811</v>
      </c>
      <c r="H813">
        <v>0</v>
      </c>
      <c r="I813">
        <v>2</v>
      </c>
      <c r="J813">
        <v>1</v>
      </c>
      <c r="K813">
        <v>0</v>
      </c>
      <c r="L813">
        <v>0</v>
      </c>
      <c r="M813" s="1">
        <v>180</v>
      </c>
      <c r="N813">
        <v>811</v>
      </c>
      <c r="O813">
        <v>0</v>
      </c>
      <c r="P813">
        <v>0</v>
      </c>
      <c r="Q813">
        <v>0</v>
      </c>
      <c r="R813">
        <v>0</v>
      </c>
      <c r="S813">
        <v>1</v>
      </c>
      <c r="T813" s="1">
        <v>80</v>
      </c>
      <c r="U813">
        <v>811</v>
      </c>
      <c r="V813">
        <v>0</v>
      </c>
      <c r="W813">
        <v>0</v>
      </c>
      <c r="X813">
        <v>0</v>
      </c>
      <c r="Y813">
        <v>0</v>
      </c>
      <c r="Z813">
        <v>0</v>
      </c>
      <c r="AA813" s="1">
        <v>0</v>
      </c>
      <c r="AB813">
        <v>811</v>
      </c>
      <c r="AC813">
        <v>0</v>
      </c>
      <c r="AD813">
        <v>0</v>
      </c>
      <c r="AE813">
        <v>0</v>
      </c>
      <c r="AF813">
        <v>1</v>
      </c>
      <c r="AG813">
        <v>0</v>
      </c>
      <c r="AH813" s="1">
        <v>120</v>
      </c>
      <c r="AI813">
        <v>811</v>
      </c>
      <c r="AJ813">
        <v>0</v>
      </c>
      <c r="AK813">
        <v>0</v>
      </c>
      <c r="AL813">
        <v>1</v>
      </c>
      <c r="AM813">
        <v>0</v>
      </c>
      <c r="AN813">
        <v>0</v>
      </c>
      <c r="AO813" s="1">
        <v>150</v>
      </c>
    </row>
    <row r="814" spans="7:41" x14ac:dyDescent="0.35">
      <c r="G814">
        <v>812</v>
      </c>
      <c r="H814">
        <v>0</v>
      </c>
      <c r="I814">
        <v>0</v>
      </c>
      <c r="J814">
        <v>0</v>
      </c>
      <c r="K814">
        <v>1</v>
      </c>
      <c r="L814">
        <v>0</v>
      </c>
      <c r="M814" s="1">
        <v>60</v>
      </c>
      <c r="N814">
        <v>812</v>
      </c>
      <c r="O814">
        <v>0</v>
      </c>
      <c r="P814">
        <v>1</v>
      </c>
      <c r="Q814">
        <v>2</v>
      </c>
      <c r="R814">
        <v>0</v>
      </c>
      <c r="S814">
        <v>0</v>
      </c>
      <c r="T814" s="1">
        <v>240</v>
      </c>
      <c r="U814">
        <v>812</v>
      </c>
      <c r="V814">
        <v>0</v>
      </c>
      <c r="W814">
        <v>0</v>
      </c>
      <c r="X814">
        <v>1</v>
      </c>
      <c r="Y814">
        <v>0</v>
      </c>
      <c r="Z814">
        <v>0</v>
      </c>
      <c r="AA814" s="1">
        <v>100</v>
      </c>
      <c r="AB814">
        <v>812</v>
      </c>
      <c r="AC814">
        <v>0</v>
      </c>
      <c r="AD814">
        <v>0</v>
      </c>
      <c r="AE814">
        <v>0</v>
      </c>
      <c r="AF814">
        <v>0</v>
      </c>
      <c r="AG814">
        <v>0</v>
      </c>
      <c r="AH814" s="1">
        <v>0</v>
      </c>
      <c r="AI814">
        <v>812</v>
      </c>
      <c r="AJ814">
        <v>0</v>
      </c>
      <c r="AK814">
        <v>0</v>
      </c>
      <c r="AL814">
        <v>0</v>
      </c>
      <c r="AM814">
        <v>0</v>
      </c>
      <c r="AN814">
        <v>0</v>
      </c>
      <c r="AO814" s="1">
        <v>0</v>
      </c>
    </row>
    <row r="815" spans="7:41" x14ac:dyDescent="0.35">
      <c r="G815">
        <v>813</v>
      </c>
      <c r="H815">
        <v>1</v>
      </c>
      <c r="I815">
        <v>3</v>
      </c>
      <c r="J815">
        <v>1</v>
      </c>
      <c r="K815">
        <v>4</v>
      </c>
      <c r="L815">
        <v>0</v>
      </c>
      <c r="M815" s="1">
        <v>540</v>
      </c>
      <c r="N815">
        <v>813</v>
      </c>
      <c r="O815">
        <v>0</v>
      </c>
      <c r="P815">
        <v>0</v>
      </c>
      <c r="Q815">
        <v>3</v>
      </c>
      <c r="R815">
        <v>0</v>
      </c>
      <c r="S815">
        <v>2</v>
      </c>
      <c r="T815" s="1">
        <v>400</v>
      </c>
      <c r="U815">
        <v>813</v>
      </c>
      <c r="V815">
        <v>0</v>
      </c>
      <c r="W815">
        <v>0</v>
      </c>
      <c r="X815">
        <v>0</v>
      </c>
      <c r="Y815">
        <v>0</v>
      </c>
      <c r="Z815">
        <v>0</v>
      </c>
      <c r="AA815" s="1">
        <v>0</v>
      </c>
      <c r="AB815">
        <v>813</v>
      </c>
      <c r="AC815">
        <v>0</v>
      </c>
      <c r="AD815">
        <v>0</v>
      </c>
      <c r="AE815">
        <v>0</v>
      </c>
      <c r="AF815">
        <v>0</v>
      </c>
      <c r="AG815">
        <v>0</v>
      </c>
      <c r="AH815" s="1">
        <v>0</v>
      </c>
      <c r="AI815">
        <v>813</v>
      </c>
      <c r="AJ815">
        <v>0</v>
      </c>
      <c r="AK815">
        <v>0</v>
      </c>
      <c r="AL815">
        <v>2</v>
      </c>
      <c r="AM815">
        <v>0</v>
      </c>
      <c r="AN815">
        <v>0</v>
      </c>
      <c r="AO815" s="1">
        <v>300</v>
      </c>
    </row>
    <row r="816" spans="7:41" x14ac:dyDescent="0.35">
      <c r="G816">
        <v>814</v>
      </c>
      <c r="H816">
        <v>2</v>
      </c>
      <c r="I816">
        <v>1</v>
      </c>
      <c r="J816">
        <v>1</v>
      </c>
      <c r="K816">
        <v>4</v>
      </c>
      <c r="L816">
        <v>2</v>
      </c>
      <c r="M816" s="1">
        <v>600</v>
      </c>
      <c r="N816">
        <v>814</v>
      </c>
      <c r="O816">
        <v>0</v>
      </c>
      <c r="P816">
        <v>0</v>
      </c>
      <c r="Q816">
        <v>2</v>
      </c>
      <c r="R816">
        <v>0</v>
      </c>
      <c r="S816">
        <v>0</v>
      </c>
      <c r="T816" s="1">
        <v>160</v>
      </c>
      <c r="U816">
        <v>814</v>
      </c>
      <c r="V816">
        <v>0</v>
      </c>
      <c r="W816">
        <v>0</v>
      </c>
      <c r="X816">
        <v>0</v>
      </c>
      <c r="Y816">
        <v>0</v>
      </c>
      <c r="Z816">
        <v>1</v>
      </c>
      <c r="AA816" s="1">
        <v>100</v>
      </c>
      <c r="AB816">
        <v>814</v>
      </c>
      <c r="AC816">
        <v>0</v>
      </c>
      <c r="AD816">
        <v>0</v>
      </c>
      <c r="AE816">
        <v>0</v>
      </c>
      <c r="AF816">
        <v>0</v>
      </c>
      <c r="AG816">
        <v>0</v>
      </c>
      <c r="AH816" s="1">
        <v>0</v>
      </c>
      <c r="AI816">
        <v>814</v>
      </c>
      <c r="AJ816">
        <v>0</v>
      </c>
      <c r="AK816">
        <v>0</v>
      </c>
      <c r="AL816">
        <v>1</v>
      </c>
      <c r="AM816">
        <v>0</v>
      </c>
      <c r="AN816">
        <v>0</v>
      </c>
      <c r="AO816" s="1">
        <v>150</v>
      </c>
    </row>
    <row r="817" spans="7:41" x14ac:dyDescent="0.35">
      <c r="G817">
        <v>815</v>
      </c>
      <c r="H817">
        <v>0</v>
      </c>
      <c r="I817">
        <v>0</v>
      </c>
      <c r="J817">
        <v>3</v>
      </c>
      <c r="K817">
        <v>2</v>
      </c>
      <c r="L817">
        <v>1</v>
      </c>
      <c r="M817" s="1">
        <v>360</v>
      </c>
      <c r="N817">
        <v>815</v>
      </c>
      <c r="O817">
        <v>0</v>
      </c>
      <c r="P817">
        <v>1</v>
      </c>
      <c r="Q817">
        <v>1</v>
      </c>
      <c r="R817">
        <v>0</v>
      </c>
      <c r="S817">
        <v>0</v>
      </c>
      <c r="T817" s="1">
        <v>160</v>
      </c>
      <c r="U817">
        <v>815</v>
      </c>
      <c r="V817">
        <v>0</v>
      </c>
      <c r="W817">
        <v>0</v>
      </c>
      <c r="X817">
        <v>0</v>
      </c>
      <c r="Y817">
        <v>0</v>
      </c>
      <c r="Z817">
        <v>0</v>
      </c>
      <c r="AA817" s="1">
        <v>0</v>
      </c>
      <c r="AB817">
        <v>815</v>
      </c>
      <c r="AC817">
        <v>0</v>
      </c>
      <c r="AD817">
        <v>0</v>
      </c>
      <c r="AE817">
        <v>0</v>
      </c>
      <c r="AF817">
        <v>0</v>
      </c>
      <c r="AG817">
        <v>0</v>
      </c>
      <c r="AH817" s="1">
        <v>0</v>
      </c>
      <c r="AI817">
        <v>815</v>
      </c>
      <c r="AJ817">
        <v>0</v>
      </c>
      <c r="AK817">
        <v>0</v>
      </c>
      <c r="AL817">
        <v>1</v>
      </c>
      <c r="AM817">
        <v>0</v>
      </c>
      <c r="AN817">
        <v>0</v>
      </c>
      <c r="AO817" s="1">
        <v>150</v>
      </c>
    </row>
    <row r="818" spans="7:41" x14ac:dyDescent="0.35">
      <c r="G818">
        <v>816</v>
      </c>
      <c r="H818">
        <v>1</v>
      </c>
      <c r="I818">
        <v>0</v>
      </c>
      <c r="J818">
        <v>0</v>
      </c>
      <c r="K818">
        <v>0</v>
      </c>
      <c r="L818">
        <v>0</v>
      </c>
      <c r="M818" s="1">
        <v>60</v>
      </c>
      <c r="N818">
        <v>816</v>
      </c>
      <c r="O818">
        <v>0</v>
      </c>
      <c r="P818">
        <v>0</v>
      </c>
      <c r="Q818">
        <v>0</v>
      </c>
      <c r="R818">
        <v>1</v>
      </c>
      <c r="S818">
        <v>0</v>
      </c>
      <c r="T818" s="1">
        <v>80</v>
      </c>
      <c r="U818">
        <v>816</v>
      </c>
      <c r="V818">
        <v>0</v>
      </c>
      <c r="W818">
        <v>0</v>
      </c>
      <c r="X818">
        <v>1</v>
      </c>
      <c r="Y818">
        <v>0</v>
      </c>
      <c r="Z818">
        <v>0</v>
      </c>
      <c r="AA818" s="1">
        <v>100</v>
      </c>
      <c r="AB818">
        <v>816</v>
      </c>
      <c r="AC818">
        <v>0</v>
      </c>
      <c r="AD818">
        <v>0</v>
      </c>
      <c r="AE818">
        <v>1</v>
      </c>
      <c r="AF818">
        <v>0</v>
      </c>
      <c r="AG818">
        <v>0</v>
      </c>
      <c r="AH818" s="1">
        <v>120</v>
      </c>
      <c r="AI818">
        <v>816</v>
      </c>
      <c r="AJ818">
        <v>0</v>
      </c>
      <c r="AK818">
        <v>0</v>
      </c>
      <c r="AL818">
        <v>0</v>
      </c>
      <c r="AM818">
        <v>0</v>
      </c>
      <c r="AN818">
        <v>0</v>
      </c>
      <c r="AO818" s="1">
        <v>0</v>
      </c>
    </row>
    <row r="819" spans="7:41" x14ac:dyDescent="0.35">
      <c r="G819">
        <v>817</v>
      </c>
      <c r="H819">
        <v>0</v>
      </c>
      <c r="I819">
        <v>0</v>
      </c>
      <c r="J819">
        <v>0</v>
      </c>
      <c r="K819">
        <v>0</v>
      </c>
      <c r="L819">
        <v>0</v>
      </c>
      <c r="M819" s="1">
        <v>0</v>
      </c>
      <c r="N819">
        <v>817</v>
      </c>
      <c r="O819">
        <v>1</v>
      </c>
      <c r="P819">
        <v>1</v>
      </c>
      <c r="Q819">
        <v>0</v>
      </c>
      <c r="R819">
        <v>1</v>
      </c>
      <c r="S819">
        <v>0</v>
      </c>
      <c r="T819" s="1">
        <v>240</v>
      </c>
      <c r="U819">
        <v>817</v>
      </c>
      <c r="V819">
        <v>0</v>
      </c>
      <c r="W819">
        <v>0</v>
      </c>
      <c r="X819">
        <v>0</v>
      </c>
      <c r="Y819">
        <v>0</v>
      </c>
      <c r="Z819">
        <v>0</v>
      </c>
      <c r="AA819" s="1">
        <v>0</v>
      </c>
      <c r="AB819">
        <v>817</v>
      </c>
      <c r="AC819">
        <v>0</v>
      </c>
      <c r="AD819">
        <v>0</v>
      </c>
      <c r="AE819">
        <v>0</v>
      </c>
      <c r="AF819">
        <v>0</v>
      </c>
      <c r="AG819">
        <v>0</v>
      </c>
      <c r="AH819" s="1">
        <v>0</v>
      </c>
      <c r="AI819">
        <v>817</v>
      </c>
      <c r="AJ819">
        <v>0</v>
      </c>
      <c r="AK819">
        <v>0</v>
      </c>
      <c r="AL819">
        <v>1</v>
      </c>
      <c r="AM819">
        <v>0</v>
      </c>
      <c r="AN819">
        <v>0</v>
      </c>
      <c r="AO819" s="1">
        <v>150</v>
      </c>
    </row>
    <row r="820" spans="7:41" x14ac:dyDescent="0.35">
      <c r="G820">
        <v>818</v>
      </c>
      <c r="H820">
        <v>0</v>
      </c>
      <c r="I820">
        <v>0</v>
      </c>
      <c r="J820">
        <v>1</v>
      </c>
      <c r="K820">
        <v>2</v>
      </c>
      <c r="L820">
        <v>0</v>
      </c>
      <c r="M820" s="1">
        <v>180</v>
      </c>
      <c r="N820">
        <v>818</v>
      </c>
      <c r="O820">
        <v>0</v>
      </c>
      <c r="P820">
        <v>0</v>
      </c>
      <c r="Q820">
        <v>3</v>
      </c>
      <c r="R820">
        <v>0</v>
      </c>
      <c r="S820">
        <v>0</v>
      </c>
      <c r="T820" s="1">
        <v>240</v>
      </c>
      <c r="U820">
        <v>818</v>
      </c>
      <c r="V820">
        <v>0</v>
      </c>
      <c r="W820">
        <v>1</v>
      </c>
      <c r="X820">
        <v>0</v>
      </c>
      <c r="Y820">
        <v>0</v>
      </c>
      <c r="Z820">
        <v>0</v>
      </c>
      <c r="AA820" s="1">
        <v>100</v>
      </c>
      <c r="AB820">
        <v>818</v>
      </c>
      <c r="AC820">
        <v>0</v>
      </c>
      <c r="AD820">
        <v>0</v>
      </c>
      <c r="AE820">
        <v>0</v>
      </c>
      <c r="AF820">
        <v>0</v>
      </c>
      <c r="AG820">
        <v>0</v>
      </c>
      <c r="AH820" s="1">
        <v>0</v>
      </c>
      <c r="AI820">
        <v>818</v>
      </c>
      <c r="AJ820">
        <v>0</v>
      </c>
      <c r="AK820">
        <v>0</v>
      </c>
      <c r="AL820">
        <v>0</v>
      </c>
      <c r="AM820">
        <v>0</v>
      </c>
      <c r="AN820">
        <v>0</v>
      </c>
      <c r="AO820" s="1">
        <v>0</v>
      </c>
    </row>
    <row r="821" spans="7:41" x14ac:dyDescent="0.35">
      <c r="G821">
        <v>819</v>
      </c>
      <c r="H821">
        <v>0</v>
      </c>
      <c r="I821">
        <v>0</v>
      </c>
      <c r="J821">
        <v>1</v>
      </c>
      <c r="K821">
        <v>0</v>
      </c>
      <c r="L821">
        <v>0</v>
      </c>
      <c r="M821" s="1">
        <v>60</v>
      </c>
      <c r="N821">
        <v>819</v>
      </c>
      <c r="O821">
        <v>0</v>
      </c>
      <c r="P821">
        <v>2</v>
      </c>
      <c r="Q821">
        <v>2</v>
      </c>
      <c r="R821">
        <v>0</v>
      </c>
      <c r="S821">
        <v>0</v>
      </c>
      <c r="T821" s="1">
        <v>320</v>
      </c>
      <c r="U821">
        <v>819</v>
      </c>
      <c r="V821">
        <v>0</v>
      </c>
      <c r="W821">
        <v>0</v>
      </c>
      <c r="X821">
        <v>0</v>
      </c>
      <c r="Y821">
        <v>0</v>
      </c>
      <c r="Z821">
        <v>0</v>
      </c>
      <c r="AA821" s="1">
        <v>0</v>
      </c>
      <c r="AB821">
        <v>819</v>
      </c>
      <c r="AC821">
        <v>0</v>
      </c>
      <c r="AD821">
        <v>0</v>
      </c>
      <c r="AE821">
        <v>0</v>
      </c>
      <c r="AF821">
        <v>0</v>
      </c>
      <c r="AG821">
        <v>0</v>
      </c>
      <c r="AH821" s="1">
        <v>0</v>
      </c>
      <c r="AI821">
        <v>819</v>
      </c>
      <c r="AJ821">
        <v>0</v>
      </c>
      <c r="AK821">
        <v>0</v>
      </c>
      <c r="AL821">
        <v>0</v>
      </c>
      <c r="AM821">
        <v>0</v>
      </c>
      <c r="AN821">
        <v>0</v>
      </c>
      <c r="AO821" s="1">
        <v>0</v>
      </c>
    </row>
    <row r="822" spans="7:41" x14ac:dyDescent="0.35">
      <c r="G822">
        <v>820</v>
      </c>
      <c r="H822">
        <v>0</v>
      </c>
      <c r="I822">
        <v>0</v>
      </c>
      <c r="J822">
        <v>0</v>
      </c>
      <c r="K822">
        <v>0</v>
      </c>
      <c r="L822">
        <v>0</v>
      </c>
      <c r="M822" s="1">
        <v>0</v>
      </c>
      <c r="N822">
        <v>820</v>
      </c>
      <c r="O822">
        <v>0</v>
      </c>
      <c r="P822">
        <v>0</v>
      </c>
      <c r="Q822">
        <v>2</v>
      </c>
      <c r="R822">
        <v>0</v>
      </c>
      <c r="S822">
        <v>0</v>
      </c>
      <c r="T822" s="1">
        <v>160</v>
      </c>
      <c r="U822">
        <v>820</v>
      </c>
      <c r="V822">
        <v>0</v>
      </c>
      <c r="W822">
        <v>3</v>
      </c>
      <c r="X822">
        <v>0</v>
      </c>
      <c r="Y822">
        <v>1</v>
      </c>
      <c r="Z822">
        <v>1</v>
      </c>
      <c r="AA822" s="1">
        <v>500</v>
      </c>
      <c r="AB822">
        <v>820</v>
      </c>
      <c r="AC822">
        <v>0</v>
      </c>
      <c r="AD822">
        <v>0</v>
      </c>
      <c r="AE822">
        <v>0</v>
      </c>
      <c r="AF822">
        <v>0</v>
      </c>
      <c r="AG822">
        <v>0</v>
      </c>
      <c r="AH822" s="1">
        <v>0</v>
      </c>
      <c r="AI822">
        <v>820</v>
      </c>
      <c r="AJ822">
        <v>0</v>
      </c>
      <c r="AK822">
        <v>0</v>
      </c>
      <c r="AL822">
        <v>1</v>
      </c>
      <c r="AM822">
        <v>0</v>
      </c>
      <c r="AN822">
        <v>0</v>
      </c>
      <c r="AO822" s="1">
        <v>150</v>
      </c>
    </row>
    <row r="823" spans="7:41" x14ac:dyDescent="0.35">
      <c r="G823">
        <v>821</v>
      </c>
      <c r="H823">
        <v>0</v>
      </c>
      <c r="I823">
        <v>0</v>
      </c>
      <c r="J823">
        <v>0</v>
      </c>
      <c r="K823">
        <v>4</v>
      </c>
      <c r="L823">
        <v>2</v>
      </c>
      <c r="M823" s="1">
        <v>360</v>
      </c>
      <c r="N823">
        <v>821</v>
      </c>
      <c r="O823">
        <v>0</v>
      </c>
      <c r="P823">
        <v>0</v>
      </c>
      <c r="Q823">
        <v>1</v>
      </c>
      <c r="R823">
        <v>0</v>
      </c>
      <c r="S823">
        <v>0</v>
      </c>
      <c r="T823" s="1">
        <v>80</v>
      </c>
      <c r="U823">
        <v>821</v>
      </c>
      <c r="V823">
        <v>0</v>
      </c>
      <c r="W823">
        <v>0</v>
      </c>
      <c r="X823">
        <v>0</v>
      </c>
      <c r="Y823">
        <v>0</v>
      </c>
      <c r="Z823">
        <v>0</v>
      </c>
      <c r="AA823" s="1">
        <v>0</v>
      </c>
      <c r="AB823">
        <v>821</v>
      </c>
      <c r="AC823">
        <v>0</v>
      </c>
      <c r="AD823">
        <v>0</v>
      </c>
      <c r="AE823">
        <v>0</v>
      </c>
      <c r="AF823">
        <v>0</v>
      </c>
      <c r="AG823">
        <v>0</v>
      </c>
      <c r="AH823" s="1">
        <v>0</v>
      </c>
      <c r="AI823">
        <v>821</v>
      </c>
      <c r="AJ823">
        <v>0</v>
      </c>
      <c r="AK823">
        <v>0</v>
      </c>
      <c r="AL823">
        <v>0</v>
      </c>
      <c r="AM823">
        <v>0</v>
      </c>
      <c r="AN823">
        <v>0</v>
      </c>
      <c r="AO823" s="1">
        <v>0</v>
      </c>
    </row>
    <row r="824" spans="7:41" x14ac:dyDescent="0.35">
      <c r="G824">
        <v>822</v>
      </c>
      <c r="H824">
        <v>0</v>
      </c>
      <c r="I824">
        <v>0</v>
      </c>
      <c r="J824">
        <v>0</v>
      </c>
      <c r="K824">
        <v>4</v>
      </c>
      <c r="L824">
        <v>0</v>
      </c>
      <c r="M824" s="1">
        <v>240</v>
      </c>
      <c r="N824">
        <v>822</v>
      </c>
      <c r="O824">
        <v>0</v>
      </c>
      <c r="P824">
        <v>1</v>
      </c>
      <c r="Q824">
        <v>0</v>
      </c>
      <c r="R824">
        <v>0</v>
      </c>
      <c r="S824">
        <v>1</v>
      </c>
      <c r="T824" s="1">
        <v>160</v>
      </c>
      <c r="U824">
        <v>822</v>
      </c>
      <c r="V824">
        <v>1</v>
      </c>
      <c r="W824">
        <v>0</v>
      </c>
      <c r="X824">
        <v>0</v>
      </c>
      <c r="Y824">
        <v>0</v>
      </c>
      <c r="Z824">
        <v>1</v>
      </c>
      <c r="AA824" s="1">
        <v>200</v>
      </c>
      <c r="AB824">
        <v>822</v>
      </c>
      <c r="AC824">
        <v>0</v>
      </c>
      <c r="AD824">
        <v>0</v>
      </c>
      <c r="AE824">
        <v>0</v>
      </c>
      <c r="AF824">
        <v>0</v>
      </c>
      <c r="AG824">
        <v>0</v>
      </c>
      <c r="AH824" s="1">
        <v>0</v>
      </c>
      <c r="AI824">
        <v>822</v>
      </c>
      <c r="AJ824">
        <v>0</v>
      </c>
      <c r="AK824">
        <v>0</v>
      </c>
      <c r="AL824">
        <v>0</v>
      </c>
      <c r="AM824">
        <v>0</v>
      </c>
      <c r="AN824">
        <v>0</v>
      </c>
      <c r="AO824" s="1">
        <v>0</v>
      </c>
    </row>
    <row r="825" spans="7:41" x14ac:dyDescent="0.35">
      <c r="G825">
        <v>823</v>
      </c>
      <c r="H825">
        <v>0</v>
      </c>
      <c r="I825">
        <v>2</v>
      </c>
      <c r="J825">
        <v>1</v>
      </c>
      <c r="K825">
        <v>0</v>
      </c>
      <c r="L825">
        <v>4</v>
      </c>
      <c r="M825" s="1">
        <v>420</v>
      </c>
      <c r="N825">
        <v>823</v>
      </c>
      <c r="O825">
        <v>0</v>
      </c>
      <c r="P825">
        <v>1</v>
      </c>
      <c r="Q825">
        <v>0</v>
      </c>
      <c r="R825">
        <v>0</v>
      </c>
      <c r="S825">
        <v>0</v>
      </c>
      <c r="T825" s="1">
        <v>80</v>
      </c>
      <c r="U825">
        <v>823</v>
      </c>
      <c r="V825">
        <v>0</v>
      </c>
      <c r="W825">
        <v>0</v>
      </c>
      <c r="X825">
        <v>0</v>
      </c>
      <c r="Y825">
        <v>0</v>
      </c>
      <c r="Z825">
        <v>0</v>
      </c>
      <c r="AA825" s="1">
        <v>0</v>
      </c>
      <c r="AB825">
        <v>823</v>
      </c>
      <c r="AC825">
        <v>0</v>
      </c>
      <c r="AD825">
        <v>0</v>
      </c>
      <c r="AE825">
        <v>0</v>
      </c>
      <c r="AF825">
        <v>0</v>
      </c>
      <c r="AG825">
        <v>0</v>
      </c>
      <c r="AH825" s="1">
        <v>0</v>
      </c>
      <c r="AI825">
        <v>823</v>
      </c>
      <c r="AJ825">
        <v>0</v>
      </c>
      <c r="AK825">
        <v>0</v>
      </c>
      <c r="AL825">
        <v>0</v>
      </c>
      <c r="AM825">
        <v>0</v>
      </c>
      <c r="AN825">
        <v>0</v>
      </c>
      <c r="AO825" s="1">
        <v>0</v>
      </c>
    </row>
    <row r="826" spans="7:41" x14ac:dyDescent="0.35">
      <c r="G826">
        <v>824</v>
      </c>
      <c r="H826">
        <v>1</v>
      </c>
      <c r="I826">
        <v>1</v>
      </c>
      <c r="J826">
        <v>2</v>
      </c>
      <c r="K826">
        <v>4</v>
      </c>
      <c r="L826">
        <v>2</v>
      </c>
      <c r="M826" s="1">
        <v>600</v>
      </c>
      <c r="N826">
        <v>824</v>
      </c>
      <c r="O826">
        <v>0</v>
      </c>
      <c r="P826">
        <v>0</v>
      </c>
      <c r="Q826">
        <v>3</v>
      </c>
      <c r="R826">
        <v>0</v>
      </c>
      <c r="S826">
        <v>0</v>
      </c>
      <c r="T826" s="1">
        <v>240</v>
      </c>
      <c r="U826">
        <v>824</v>
      </c>
      <c r="V826">
        <v>0</v>
      </c>
      <c r="W826">
        <v>0</v>
      </c>
      <c r="X826">
        <v>1</v>
      </c>
      <c r="Y826">
        <v>1</v>
      </c>
      <c r="Z826">
        <v>1</v>
      </c>
      <c r="AA826" s="1">
        <v>300</v>
      </c>
      <c r="AB826">
        <v>824</v>
      </c>
      <c r="AC826">
        <v>0</v>
      </c>
      <c r="AD826">
        <v>0</v>
      </c>
      <c r="AE826">
        <v>1</v>
      </c>
      <c r="AF826">
        <v>1</v>
      </c>
      <c r="AG826">
        <v>0</v>
      </c>
      <c r="AH826" s="1">
        <v>240</v>
      </c>
      <c r="AI826">
        <v>824</v>
      </c>
      <c r="AJ826">
        <v>0</v>
      </c>
      <c r="AK826">
        <v>0</v>
      </c>
      <c r="AL826">
        <v>0</v>
      </c>
      <c r="AM826">
        <v>0</v>
      </c>
      <c r="AN826">
        <v>0</v>
      </c>
      <c r="AO826" s="1">
        <v>0</v>
      </c>
    </row>
    <row r="827" spans="7:41" x14ac:dyDescent="0.35">
      <c r="G827">
        <v>825</v>
      </c>
      <c r="H827">
        <v>0</v>
      </c>
      <c r="I827">
        <v>0</v>
      </c>
      <c r="J827">
        <v>0</v>
      </c>
      <c r="K827">
        <v>2</v>
      </c>
      <c r="L827">
        <v>0</v>
      </c>
      <c r="M827" s="1">
        <v>120</v>
      </c>
      <c r="N827">
        <v>825</v>
      </c>
      <c r="O827">
        <v>0</v>
      </c>
      <c r="P827">
        <v>0</v>
      </c>
      <c r="Q827">
        <v>0</v>
      </c>
      <c r="R827">
        <v>0</v>
      </c>
      <c r="S827">
        <v>0</v>
      </c>
      <c r="T827" s="1">
        <v>0</v>
      </c>
      <c r="U827">
        <v>825</v>
      </c>
      <c r="V827">
        <v>0</v>
      </c>
      <c r="W827">
        <v>2</v>
      </c>
      <c r="X827">
        <v>0</v>
      </c>
      <c r="Y827">
        <v>0</v>
      </c>
      <c r="Z827">
        <v>0</v>
      </c>
      <c r="AA827" s="1">
        <v>200</v>
      </c>
      <c r="AB827">
        <v>825</v>
      </c>
      <c r="AC827">
        <v>0</v>
      </c>
      <c r="AD827">
        <v>0</v>
      </c>
      <c r="AE827">
        <v>0</v>
      </c>
      <c r="AF827">
        <v>0</v>
      </c>
      <c r="AG827">
        <v>0</v>
      </c>
      <c r="AH827" s="1">
        <v>0</v>
      </c>
      <c r="AI827">
        <v>825</v>
      </c>
      <c r="AJ827">
        <v>0</v>
      </c>
      <c r="AK827">
        <v>0</v>
      </c>
      <c r="AL827">
        <v>0</v>
      </c>
      <c r="AM827">
        <v>0</v>
      </c>
      <c r="AN827">
        <v>0</v>
      </c>
      <c r="AO827" s="1">
        <v>0</v>
      </c>
    </row>
    <row r="828" spans="7:41" x14ac:dyDescent="0.35">
      <c r="G828">
        <v>826</v>
      </c>
      <c r="H828">
        <v>0</v>
      </c>
      <c r="I828">
        <v>0</v>
      </c>
      <c r="J828">
        <v>0</v>
      </c>
      <c r="K828">
        <v>1</v>
      </c>
      <c r="L828">
        <v>0</v>
      </c>
      <c r="M828" s="1">
        <v>60</v>
      </c>
      <c r="N828">
        <v>826</v>
      </c>
      <c r="O828">
        <v>0</v>
      </c>
      <c r="P828">
        <v>0</v>
      </c>
      <c r="Q828">
        <v>0</v>
      </c>
      <c r="R828">
        <v>1</v>
      </c>
      <c r="S828">
        <v>0</v>
      </c>
      <c r="T828" s="1">
        <v>80</v>
      </c>
      <c r="U828">
        <v>826</v>
      </c>
      <c r="V828">
        <v>1</v>
      </c>
      <c r="W828">
        <v>0</v>
      </c>
      <c r="X828">
        <v>0</v>
      </c>
      <c r="Y828">
        <v>1</v>
      </c>
      <c r="Z828">
        <v>0</v>
      </c>
      <c r="AA828" s="1">
        <v>200</v>
      </c>
      <c r="AB828">
        <v>826</v>
      </c>
      <c r="AC828">
        <v>0</v>
      </c>
      <c r="AD828">
        <v>0</v>
      </c>
      <c r="AE828">
        <v>0</v>
      </c>
      <c r="AF828">
        <v>0</v>
      </c>
      <c r="AG828">
        <v>0</v>
      </c>
      <c r="AH828" s="1">
        <v>0</v>
      </c>
      <c r="AI828">
        <v>826</v>
      </c>
      <c r="AJ828">
        <v>0</v>
      </c>
      <c r="AK828">
        <v>0</v>
      </c>
      <c r="AL828">
        <v>0</v>
      </c>
      <c r="AM828">
        <v>0</v>
      </c>
      <c r="AN828">
        <v>0</v>
      </c>
      <c r="AO828" s="1">
        <v>0</v>
      </c>
    </row>
    <row r="829" spans="7:41" x14ac:dyDescent="0.35">
      <c r="G829">
        <v>827</v>
      </c>
      <c r="H829">
        <v>1</v>
      </c>
      <c r="I829">
        <v>3</v>
      </c>
      <c r="J829">
        <v>0</v>
      </c>
      <c r="K829">
        <v>0</v>
      </c>
      <c r="L829">
        <v>0</v>
      </c>
      <c r="M829" s="1">
        <v>240</v>
      </c>
      <c r="N829">
        <v>827</v>
      </c>
      <c r="O829">
        <v>0</v>
      </c>
      <c r="P829">
        <v>0</v>
      </c>
      <c r="Q829">
        <v>3</v>
      </c>
      <c r="R829">
        <v>0</v>
      </c>
      <c r="S829">
        <v>0</v>
      </c>
      <c r="T829" s="1">
        <v>240</v>
      </c>
      <c r="U829">
        <v>827</v>
      </c>
      <c r="V829">
        <v>0</v>
      </c>
      <c r="W829">
        <v>0</v>
      </c>
      <c r="X829">
        <v>0</v>
      </c>
      <c r="Y829">
        <v>0</v>
      </c>
      <c r="Z829">
        <v>0</v>
      </c>
      <c r="AA829" s="1">
        <v>0</v>
      </c>
      <c r="AB829">
        <v>827</v>
      </c>
      <c r="AC829">
        <v>0</v>
      </c>
      <c r="AD829">
        <v>0</v>
      </c>
      <c r="AE829">
        <v>0</v>
      </c>
      <c r="AF829">
        <v>0</v>
      </c>
      <c r="AG829">
        <v>1</v>
      </c>
      <c r="AH829" s="1">
        <v>120</v>
      </c>
      <c r="AI829">
        <v>827</v>
      </c>
      <c r="AJ829">
        <v>0</v>
      </c>
      <c r="AK829">
        <v>0</v>
      </c>
      <c r="AL829">
        <v>0</v>
      </c>
      <c r="AM829">
        <v>0</v>
      </c>
      <c r="AN829">
        <v>0</v>
      </c>
      <c r="AO829" s="1">
        <v>0</v>
      </c>
    </row>
    <row r="830" spans="7:41" x14ac:dyDescent="0.35">
      <c r="G830">
        <v>828</v>
      </c>
      <c r="H830">
        <v>0</v>
      </c>
      <c r="I830">
        <v>1</v>
      </c>
      <c r="J830">
        <v>1</v>
      </c>
      <c r="K830">
        <v>2</v>
      </c>
      <c r="L830">
        <v>2</v>
      </c>
      <c r="M830" s="1">
        <v>360</v>
      </c>
      <c r="N830">
        <v>828</v>
      </c>
      <c r="O830">
        <v>1</v>
      </c>
      <c r="P830">
        <v>0</v>
      </c>
      <c r="Q830">
        <v>1</v>
      </c>
      <c r="R830">
        <v>1</v>
      </c>
      <c r="S830">
        <v>0</v>
      </c>
      <c r="T830" s="1">
        <v>240</v>
      </c>
      <c r="U830">
        <v>828</v>
      </c>
      <c r="V830">
        <v>0</v>
      </c>
      <c r="W830">
        <v>1</v>
      </c>
      <c r="X830">
        <v>1</v>
      </c>
      <c r="Y830">
        <v>0</v>
      </c>
      <c r="Z830">
        <v>0</v>
      </c>
      <c r="AA830" s="1">
        <v>200</v>
      </c>
      <c r="AB830">
        <v>828</v>
      </c>
      <c r="AC830">
        <v>0</v>
      </c>
      <c r="AD830">
        <v>0</v>
      </c>
      <c r="AE830">
        <v>0</v>
      </c>
      <c r="AF830">
        <v>0</v>
      </c>
      <c r="AG830">
        <v>0</v>
      </c>
      <c r="AH830" s="1">
        <v>0</v>
      </c>
      <c r="AI830">
        <v>828</v>
      </c>
      <c r="AJ830">
        <v>0</v>
      </c>
      <c r="AK830">
        <v>0</v>
      </c>
      <c r="AL830">
        <v>0</v>
      </c>
      <c r="AM830">
        <v>0</v>
      </c>
      <c r="AN830">
        <v>0</v>
      </c>
      <c r="AO830" s="1">
        <v>0</v>
      </c>
    </row>
    <row r="831" spans="7:41" x14ac:dyDescent="0.35">
      <c r="G831">
        <v>829</v>
      </c>
      <c r="H831">
        <v>0</v>
      </c>
      <c r="I831">
        <v>0</v>
      </c>
      <c r="J831">
        <v>1</v>
      </c>
      <c r="K831">
        <v>4</v>
      </c>
      <c r="L831">
        <v>0</v>
      </c>
      <c r="M831" s="1">
        <v>300</v>
      </c>
      <c r="N831">
        <v>829</v>
      </c>
      <c r="O831">
        <v>0</v>
      </c>
      <c r="P831">
        <v>0</v>
      </c>
      <c r="Q831">
        <v>0</v>
      </c>
      <c r="R831">
        <v>0</v>
      </c>
      <c r="S831">
        <v>0</v>
      </c>
      <c r="T831" s="1">
        <v>0</v>
      </c>
      <c r="U831">
        <v>829</v>
      </c>
      <c r="V831">
        <v>0</v>
      </c>
      <c r="W831">
        <v>2</v>
      </c>
      <c r="X831">
        <v>0</v>
      </c>
      <c r="Y831">
        <v>0</v>
      </c>
      <c r="Z831">
        <v>0</v>
      </c>
      <c r="AA831" s="1">
        <v>200</v>
      </c>
      <c r="AB831">
        <v>829</v>
      </c>
      <c r="AC831">
        <v>0</v>
      </c>
      <c r="AD831">
        <v>0</v>
      </c>
      <c r="AE831">
        <v>0</v>
      </c>
      <c r="AF831">
        <v>0</v>
      </c>
      <c r="AG831">
        <v>0</v>
      </c>
      <c r="AH831" s="1">
        <v>0</v>
      </c>
      <c r="AI831">
        <v>829</v>
      </c>
      <c r="AJ831">
        <v>0</v>
      </c>
      <c r="AK831">
        <v>0</v>
      </c>
      <c r="AL831">
        <v>0</v>
      </c>
      <c r="AM831">
        <v>0</v>
      </c>
      <c r="AN831">
        <v>0</v>
      </c>
      <c r="AO831" s="1">
        <v>0</v>
      </c>
    </row>
    <row r="832" spans="7:41" x14ac:dyDescent="0.35">
      <c r="G832">
        <v>830</v>
      </c>
      <c r="H832">
        <v>0</v>
      </c>
      <c r="I832">
        <v>1</v>
      </c>
      <c r="J832">
        <v>1</v>
      </c>
      <c r="K832">
        <v>2</v>
      </c>
      <c r="L832">
        <v>0</v>
      </c>
      <c r="M832" s="1">
        <v>240</v>
      </c>
      <c r="N832">
        <v>830</v>
      </c>
      <c r="O832">
        <v>0</v>
      </c>
      <c r="P832">
        <v>0</v>
      </c>
      <c r="Q832">
        <v>0</v>
      </c>
      <c r="R832">
        <v>0</v>
      </c>
      <c r="S832">
        <v>1</v>
      </c>
      <c r="T832" s="1">
        <v>80</v>
      </c>
      <c r="U832">
        <v>830</v>
      </c>
      <c r="V832">
        <v>0</v>
      </c>
      <c r="W832">
        <v>3</v>
      </c>
      <c r="X832">
        <v>0</v>
      </c>
      <c r="Y832">
        <v>0</v>
      </c>
      <c r="Z832">
        <v>0</v>
      </c>
      <c r="AA832" s="1">
        <v>300</v>
      </c>
      <c r="AB832">
        <v>830</v>
      </c>
      <c r="AC832">
        <v>1</v>
      </c>
      <c r="AD832">
        <v>0</v>
      </c>
      <c r="AE832">
        <v>0</v>
      </c>
      <c r="AF832">
        <v>0</v>
      </c>
      <c r="AG832">
        <v>0</v>
      </c>
      <c r="AH832" s="1">
        <v>120</v>
      </c>
      <c r="AI832">
        <v>830</v>
      </c>
      <c r="AJ832">
        <v>0</v>
      </c>
      <c r="AK832">
        <v>0</v>
      </c>
      <c r="AL832">
        <v>0</v>
      </c>
      <c r="AM832">
        <v>0</v>
      </c>
      <c r="AN832">
        <v>0</v>
      </c>
      <c r="AO832" s="1">
        <v>0</v>
      </c>
    </row>
    <row r="833" spans="7:41" x14ac:dyDescent="0.35">
      <c r="G833">
        <v>831</v>
      </c>
      <c r="H833">
        <v>1</v>
      </c>
      <c r="I833">
        <v>0</v>
      </c>
      <c r="J833">
        <v>0</v>
      </c>
      <c r="K833">
        <v>0</v>
      </c>
      <c r="L833">
        <v>2</v>
      </c>
      <c r="M833" s="1">
        <v>180</v>
      </c>
      <c r="N833">
        <v>831</v>
      </c>
      <c r="O833">
        <v>0</v>
      </c>
      <c r="P833">
        <v>1</v>
      </c>
      <c r="Q833">
        <v>3</v>
      </c>
      <c r="R833">
        <v>0</v>
      </c>
      <c r="S833">
        <v>0</v>
      </c>
      <c r="T833" s="1">
        <v>320</v>
      </c>
      <c r="U833">
        <v>831</v>
      </c>
      <c r="V833">
        <v>0</v>
      </c>
      <c r="W833">
        <v>0</v>
      </c>
      <c r="X833">
        <v>0</v>
      </c>
      <c r="Y833">
        <v>0</v>
      </c>
      <c r="Z833">
        <v>0</v>
      </c>
      <c r="AA833" s="1">
        <v>0</v>
      </c>
      <c r="AB833">
        <v>831</v>
      </c>
      <c r="AC833">
        <v>0</v>
      </c>
      <c r="AD833">
        <v>0</v>
      </c>
      <c r="AE833">
        <v>0</v>
      </c>
      <c r="AF833">
        <v>1</v>
      </c>
      <c r="AG833">
        <v>0</v>
      </c>
      <c r="AH833" s="1">
        <v>120</v>
      </c>
      <c r="AI833">
        <v>831</v>
      </c>
      <c r="AJ833">
        <v>0</v>
      </c>
      <c r="AK833">
        <v>0</v>
      </c>
      <c r="AL833">
        <v>1</v>
      </c>
      <c r="AM833">
        <v>0</v>
      </c>
      <c r="AN833">
        <v>0</v>
      </c>
      <c r="AO833" s="1">
        <v>150</v>
      </c>
    </row>
    <row r="834" spans="7:41" x14ac:dyDescent="0.35">
      <c r="G834">
        <v>832</v>
      </c>
      <c r="H834">
        <v>1</v>
      </c>
      <c r="I834">
        <v>0</v>
      </c>
      <c r="J834">
        <v>1</v>
      </c>
      <c r="K834">
        <v>0</v>
      </c>
      <c r="L834">
        <v>0</v>
      </c>
      <c r="M834" s="1">
        <v>120</v>
      </c>
      <c r="N834">
        <v>832</v>
      </c>
      <c r="O834">
        <v>1</v>
      </c>
      <c r="P834">
        <v>0</v>
      </c>
      <c r="Q834">
        <v>0</v>
      </c>
      <c r="R834">
        <v>0</v>
      </c>
      <c r="S834">
        <v>1</v>
      </c>
      <c r="T834" s="1">
        <v>160</v>
      </c>
      <c r="U834">
        <v>832</v>
      </c>
      <c r="V834">
        <v>0</v>
      </c>
      <c r="W834">
        <v>1</v>
      </c>
      <c r="X834">
        <v>0</v>
      </c>
      <c r="Y834">
        <v>0</v>
      </c>
      <c r="Z834">
        <v>1</v>
      </c>
      <c r="AA834" s="1">
        <v>200</v>
      </c>
      <c r="AB834">
        <v>832</v>
      </c>
      <c r="AC834">
        <v>0</v>
      </c>
      <c r="AD834">
        <v>0</v>
      </c>
      <c r="AE834">
        <v>0</v>
      </c>
      <c r="AF834">
        <v>0</v>
      </c>
      <c r="AG834">
        <v>0</v>
      </c>
      <c r="AH834" s="1">
        <v>0</v>
      </c>
      <c r="AI834">
        <v>832</v>
      </c>
      <c r="AJ834">
        <v>0</v>
      </c>
      <c r="AK834">
        <v>0</v>
      </c>
      <c r="AL834">
        <v>0</v>
      </c>
      <c r="AM834">
        <v>0</v>
      </c>
      <c r="AN834">
        <v>0</v>
      </c>
      <c r="AO834" s="1">
        <v>0</v>
      </c>
    </row>
    <row r="835" spans="7:41" x14ac:dyDescent="0.35">
      <c r="G835">
        <v>833</v>
      </c>
      <c r="H835">
        <v>1</v>
      </c>
      <c r="I835">
        <v>0</v>
      </c>
      <c r="J835">
        <v>0</v>
      </c>
      <c r="K835">
        <v>0</v>
      </c>
      <c r="L835">
        <v>0</v>
      </c>
      <c r="M835" s="1">
        <v>60</v>
      </c>
      <c r="N835">
        <v>833</v>
      </c>
      <c r="O835">
        <v>0</v>
      </c>
      <c r="P835">
        <v>0</v>
      </c>
      <c r="Q835">
        <v>1</v>
      </c>
      <c r="R835">
        <v>0</v>
      </c>
      <c r="S835">
        <v>1</v>
      </c>
      <c r="T835" s="1">
        <v>160</v>
      </c>
      <c r="U835">
        <v>833</v>
      </c>
      <c r="V835">
        <v>0</v>
      </c>
      <c r="W835">
        <v>1</v>
      </c>
      <c r="X835">
        <v>0</v>
      </c>
      <c r="Y835">
        <v>0</v>
      </c>
      <c r="Z835">
        <v>1</v>
      </c>
      <c r="AA835" s="1">
        <v>200</v>
      </c>
      <c r="AB835">
        <v>833</v>
      </c>
      <c r="AC835">
        <v>0</v>
      </c>
      <c r="AD835">
        <v>0</v>
      </c>
      <c r="AE835">
        <v>0</v>
      </c>
      <c r="AF835">
        <v>0</v>
      </c>
      <c r="AG835">
        <v>0</v>
      </c>
      <c r="AH835" s="1">
        <v>0</v>
      </c>
      <c r="AI835">
        <v>833</v>
      </c>
      <c r="AJ835">
        <v>0</v>
      </c>
      <c r="AK835">
        <v>0</v>
      </c>
      <c r="AL835">
        <v>1</v>
      </c>
      <c r="AM835">
        <v>0</v>
      </c>
      <c r="AN835">
        <v>0</v>
      </c>
      <c r="AO835" s="1">
        <v>150</v>
      </c>
    </row>
    <row r="836" spans="7:41" x14ac:dyDescent="0.35">
      <c r="G836">
        <v>834</v>
      </c>
      <c r="H836">
        <v>0</v>
      </c>
      <c r="I836">
        <v>1</v>
      </c>
      <c r="J836">
        <v>0</v>
      </c>
      <c r="K836">
        <v>2</v>
      </c>
      <c r="L836">
        <v>0</v>
      </c>
      <c r="M836" s="1">
        <v>180</v>
      </c>
      <c r="N836">
        <v>834</v>
      </c>
      <c r="O836">
        <v>1</v>
      </c>
      <c r="P836">
        <v>1</v>
      </c>
      <c r="Q836">
        <v>2</v>
      </c>
      <c r="R836">
        <v>1</v>
      </c>
      <c r="S836">
        <v>0</v>
      </c>
      <c r="T836" s="1">
        <v>400</v>
      </c>
      <c r="U836">
        <v>834</v>
      </c>
      <c r="V836">
        <v>0</v>
      </c>
      <c r="W836">
        <v>0</v>
      </c>
      <c r="X836">
        <v>0</v>
      </c>
      <c r="Y836">
        <v>0</v>
      </c>
      <c r="Z836">
        <v>0</v>
      </c>
      <c r="AA836" s="1">
        <v>0</v>
      </c>
      <c r="AB836">
        <v>834</v>
      </c>
      <c r="AC836">
        <v>0</v>
      </c>
      <c r="AD836">
        <v>0</v>
      </c>
      <c r="AE836">
        <v>0</v>
      </c>
      <c r="AF836">
        <v>0</v>
      </c>
      <c r="AG836">
        <v>0</v>
      </c>
      <c r="AH836" s="1">
        <v>0</v>
      </c>
      <c r="AI836">
        <v>834</v>
      </c>
      <c r="AJ836">
        <v>0</v>
      </c>
      <c r="AK836">
        <v>0</v>
      </c>
      <c r="AL836">
        <v>3</v>
      </c>
      <c r="AM836">
        <v>0</v>
      </c>
      <c r="AN836">
        <v>0</v>
      </c>
      <c r="AO836" s="1">
        <v>450</v>
      </c>
    </row>
    <row r="837" spans="7:41" x14ac:dyDescent="0.35">
      <c r="G837">
        <v>835</v>
      </c>
      <c r="H837">
        <v>0</v>
      </c>
      <c r="I837">
        <v>1</v>
      </c>
      <c r="J837">
        <v>1</v>
      </c>
      <c r="K837">
        <v>0</v>
      </c>
      <c r="L837">
        <v>0</v>
      </c>
      <c r="M837" s="1">
        <v>120</v>
      </c>
      <c r="N837">
        <v>835</v>
      </c>
      <c r="O837">
        <v>0</v>
      </c>
      <c r="P837">
        <v>0</v>
      </c>
      <c r="Q837">
        <v>0</v>
      </c>
      <c r="R837">
        <v>0</v>
      </c>
      <c r="S837">
        <v>0</v>
      </c>
      <c r="T837" s="1">
        <v>0</v>
      </c>
      <c r="U837">
        <v>835</v>
      </c>
      <c r="V837">
        <v>0</v>
      </c>
      <c r="W837">
        <v>0</v>
      </c>
      <c r="X837">
        <v>0</v>
      </c>
      <c r="Y837">
        <v>0</v>
      </c>
      <c r="Z837">
        <v>0</v>
      </c>
      <c r="AA837" s="1">
        <v>0</v>
      </c>
      <c r="AB837">
        <v>835</v>
      </c>
      <c r="AC837">
        <v>0</v>
      </c>
      <c r="AD837">
        <v>0</v>
      </c>
      <c r="AE837">
        <v>0</v>
      </c>
      <c r="AF837">
        <v>0</v>
      </c>
      <c r="AG837">
        <v>0</v>
      </c>
      <c r="AH837" s="1">
        <v>0</v>
      </c>
      <c r="AI837">
        <v>835</v>
      </c>
      <c r="AJ837">
        <v>0</v>
      </c>
      <c r="AK837">
        <v>0</v>
      </c>
      <c r="AL837">
        <v>0</v>
      </c>
      <c r="AM837">
        <v>0</v>
      </c>
      <c r="AN837">
        <v>0</v>
      </c>
      <c r="AO837" s="1">
        <v>0</v>
      </c>
    </row>
    <row r="838" spans="7:41" x14ac:dyDescent="0.35">
      <c r="G838">
        <v>836</v>
      </c>
      <c r="H838">
        <v>2</v>
      </c>
      <c r="I838">
        <v>3</v>
      </c>
      <c r="J838">
        <v>0</v>
      </c>
      <c r="K838">
        <v>3</v>
      </c>
      <c r="L838">
        <v>0</v>
      </c>
      <c r="M838" s="1">
        <v>480</v>
      </c>
      <c r="N838">
        <v>836</v>
      </c>
      <c r="O838">
        <v>3</v>
      </c>
      <c r="P838">
        <v>1</v>
      </c>
      <c r="Q838">
        <v>0</v>
      </c>
      <c r="R838">
        <v>0</v>
      </c>
      <c r="S838">
        <v>0</v>
      </c>
      <c r="T838" s="1">
        <v>320</v>
      </c>
      <c r="U838">
        <v>836</v>
      </c>
      <c r="V838">
        <v>0</v>
      </c>
      <c r="W838">
        <v>0</v>
      </c>
      <c r="X838">
        <v>0</v>
      </c>
      <c r="Y838">
        <v>0</v>
      </c>
      <c r="Z838">
        <v>0</v>
      </c>
      <c r="AA838" s="1">
        <v>0</v>
      </c>
      <c r="AB838">
        <v>836</v>
      </c>
      <c r="AC838">
        <v>0</v>
      </c>
      <c r="AD838">
        <v>0</v>
      </c>
      <c r="AE838">
        <v>0</v>
      </c>
      <c r="AF838">
        <v>1</v>
      </c>
      <c r="AG838">
        <v>0</v>
      </c>
      <c r="AH838" s="1">
        <v>120</v>
      </c>
      <c r="AI838">
        <v>836</v>
      </c>
      <c r="AJ838">
        <v>0</v>
      </c>
      <c r="AK838">
        <v>0</v>
      </c>
      <c r="AL838">
        <v>1</v>
      </c>
      <c r="AM838">
        <v>0</v>
      </c>
      <c r="AN838">
        <v>0</v>
      </c>
      <c r="AO838" s="1">
        <v>150</v>
      </c>
    </row>
    <row r="839" spans="7:41" x14ac:dyDescent="0.35">
      <c r="G839">
        <v>837</v>
      </c>
      <c r="H839">
        <v>0</v>
      </c>
      <c r="I839">
        <v>1</v>
      </c>
      <c r="J839">
        <v>0</v>
      </c>
      <c r="K839">
        <v>3</v>
      </c>
      <c r="L839">
        <v>0</v>
      </c>
      <c r="M839" s="1">
        <v>240</v>
      </c>
      <c r="N839">
        <v>837</v>
      </c>
      <c r="O839">
        <v>1</v>
      </c>
      <c r="P839">
        <v>1</v>
      </c>
      <c r="Q839">
        <v>0</v>
      </c>
      <c r="R839">
        <v>0</v>
      </c>
      <c r="S839">
        <v>0</v>
      </c>
      <c r="T839" s="1">
        <v>160</v>
      </c>
      <c r="U839">
        <v>837</v>
      </c>
      <c r="V839">
        <v>0</v>
      </c>
      <c r="W839">
        <v>0</v>
      </c>
      <c r="X839">
        <v>0</v>
      </c>
      <c r="Y839">
        <v>0</v>
      </c>
      <c r="Z839">
        <v>0</v>
      </c>
      <c r="AA839" s="1">
        <v>0</v>
      </c>
      <c r="AB839">
        <v>837</v>
      </c>
      <c r="AC839">
        <v>0</v>
      </c>
      <c r="AD839">
        <v>0</v>
      </c>
      <c r="AE839">
        <v>0</v>
      </c>
      <c r="AF839">
        <v>0</v>
      </c>
      <c r="AG839">
        <v>1</v>
      </c>
      <c r="AH839" s="1">
        <v>120</v>
      </c>
      <c r="AI839">
        <v>837</v>
      </c>
      <c r="AJ839">
        <v>0</v>
      </c>
      <c r="AK839">
        <v>0</v>
      </c>
      <c r="AL839">
        <v>0</v>
      </c>
      <c r="AM839">
        <v>0</v>
      </c>
      <c r="AN839">
        <v>1</v>
      </c>
      <c r="AO839" s="1">
        <v>150</v>
      </c>
    </row>
    <row r="840" spans="7:41" x14ac:dyDescent="0.35">
      <c r="G840">
        <v>838</v>
      </c>
      <c r="H840">
        <v>0</v>
      </c>
      <c r="I840">
        <v>0</v>
      </c>
      <c r="J840">
        <v>0</v>
      </c>
      <c r="K840">
        <v>0</v>
      </c>
      <c r="L840">
        <v>2</v>
      </c>
      <c r="M840" s="1">
        <v>120</v>
      </c>
      <c r="N840">
        <v>838</v>
      </c>
      <c r="O840">
        <v>2</v>
      </c>
      <c r="P840">
        <v>1</v>
      </c>
      <c r="Q840">
        <v>1</v>
      </c>
      <c r="R840">
        <v>0</v>
      </c>
      <c r="S840">
        <v>0</v>
      </c>
      <c r="T840" s="1">
        <v>320</v>
      </c>
      <c r="U840">
        <v>838</v>
      </c>
      <c r="V840">
        <v>0</v>
      </c>
      <c r="W840">
        <v>0</v>
      </c>
      <c r="X840">
        <v>0</v>
      </c>
      <c r="Y840">
        <v>0</v>
      </c>
      <c r="Z840">
        <v>0</v>
      </c>
      <c r="AA840" s="1">
        <v>0</v>
      </c>
      <c r="AB840">
        <v>838</v>
      </c>
      <c r="AC840">
        <v>0</v>
      </c>
      <c r="AD840">
        <v>0</v>
      </c>
      <c r="AE840">
        <v>0</v>
      </c>
      <c r="AF840">
        <v>0</v>
      </c>
      <c r="AG840">
        <v>1</v>
      </c>
      <c r="AH840" s="1">
        <v>120</v>
      </c>
      <c r="AI840">
        <v>838</v>
      </c>
      <c r="AJ840">
        <v>0</v>
      </c>
      <c r="AK840">
        <v>0</v>
      </c>
      <c r="AL840">
        <v>1</v>
      </c>
      <c r="AM840">
        <v>0</v>
      </c>
      <c r="AN840">
        <v>0</v>
      </c>
      <c r="AO840" s="1">
        <v>150</v>
      </c>
    </row>
    <row r="841" spans="7:41" x14ac:dyDescent="0.35">
      <c r="G841">
        <v>839</v>
      </c>
      <c r="H841">
        <v>0</v>
      </c>
      <c r="I841">
        <v>1</v>
      </c>
      <c r="J841">
        <v>2</v>
      </c>
      <c r="K841">
        <v>0</v>
      </c>
      <c r="L841">
        <v>0</v>
      </c>
      <c r="M841" s="1">
        <v>180</v>
      </c>
      <c r="N841">
        <v>839</v>
      </c>
      <c r="O841">
        <v>1</v>
      </c>
      <c r="P841">
        <v>1</v>
      </c>
      <c r="Q841">
        <v>0</v>
      </c>
      <c r="R841">
        <v>1</v>
      </c>
      <c r="S841">
        <v>0</v>
      </c>
      <c r="T841" s="1">
        <v>240</v>
      </c>
      <c r="U841">
        <v>839</v>
      </c>
      <c r="V841">
        <v>0</v>
      </c>
      <c r="W841">
        <v>0</v>
      </c>
      <c r="X841">
        <v>0</v>
      </c>
      <c r="Y841">
        <v>1</v>
      </c>
      <c r="Z841">
        <v>0</v>
      </c>
      <c r="AA841" s="1">
        <v>100</v>
      </c>
      <c r="AB841">
        <v>839</v>
      </c>
      <c r="AC841">
        <v>0</v>
      </c>
      <c r="AD841">
        <v>0</v>
      </c>
      <c r="AE841">
        <v>0</v>
      </c>
      <c r="AF841">
        <v>0</v>
      </c>
      <c r="AG841">
        <v>0</v>
      </c>
      <c r="AH841" s="1">
        <v>0</v>
      </c>
      <c r="AI841">
        <v>839</v>
      </c>
      <c r="AJ841">
        <v>0</v>
      </c>
      <c r="AK841">
        <v>0</v>
      </c>
      <c r="AL841">
        <v>1</v>
      </c>
      <c r="AM841">
        <v>0</v>
      </c>
      <c r="AN841">
        <v>0</v>
      </c>
      <c r="AO841" s="1">
        <v>150</v>
      </c>
    </row>
    <row r="842" spans="7:41" x14ac:dyDescent="0.35">
      <c r="G842">
        <v>840</v>
      </c>
      <c r="H842">
        <v>0</v>
      </c>
      <c r="I842">
        <v>0</v>
      </c>
      <c r="J842">
        <v>0</v>
      </c>
      <c r="K842">
        <v>4</v>
      </c>
      <c r="L842">
        <v>2</v>
      </c>
      <c r="M842" s="1">
        <v>360</v>
      </c>
      <c r="N842">
        <v>840</v>
      </c>
      <c r="O842">
        <v>0</v>
      </c>
      <c r="P842">
        <v>0</v>
      </c>
      <c r="Q842">
        <v>0</v>
      </c>
      <c r="R842">
        <v>0</v>
      </c>
      <c r="S842">
        <v>0</v>
      </c>
      <c r="T842" s="1">
        <v>0</v>
      </c>
      <c r="U842">
        <v>840</v>
      </c>
      <c r="V842">
        <v>0</v>
      </c>
      <c r="W842">
        <v>1</v>
      </c>
      <c r="X842">
        <v>1</v>
      </c>
      <c r="Y842">
        <v>0</v>
      </c>
      <c r="Z842">
        <v>0</v>
      </c>
      <c r="AA842" s="1">
        <v>200</v>
      </c>
      <c r="AB842">
        <v>840</v>
      </c>
      <c r="AC842">
        <v>0</v>
      </c>
      <c r="AD842">
        <v>0</v>
      </c>
      <c r="AE842">
        <v>0</v>
      </c>
      <c r="AF842">
        <v>0</v>
      </c>
      <c r="AG842">
        <v>1</v>
      </c>
      <c r="AH842" s="1">
        <v>120</v>
      </c>
      <c r="AI842">
        <v>840</v>
      </c>
      <c r="AJ842">
        <v>0</v>
      </c>
      <c r="AK842">
        <v>0</v>
      </c>
      <c r="AL842">
        <v>2</v>
      </c>
      <c r="AM842">
        <v>0</v>
      </c>
      <c r="AN842">
        <v>0</v>
      </c>
      <c r="AO842" s="1">
        <v>300</v>
      </c>
    </row>
    <row r="843" spans="7:41" x14ac:dyDescent="0.35">
      <c r="G843">
        <v>841</v>
      </c>
      <c r="H843">
        <v>1</v>
      </c>
      <c r="I843">
        <v>0</v>
      </c>
      <c r="J843">
        <v>1</v>
      </c>
      <c r="K843">
        <v>4</v>
      </c>
      <c r="L843">
        <v>0</v>
      </c>
      <c r="M843" s="1">
        <v>360</v>
      </c>
      <c r="N843">
        <v>841</v>
      </c>
      <c r="O843">
        <v>0</v>
      </c>
      <c r="P843">
        <v>0</v>
      </c>
      <c r="Q843">
        <v>2</v>
      </c>
      <c r="R843">
        <v>0</v>
      </c>
      <c r="S843">
        <v>0</v>
      </c>
      <c r="T843" s="1">
        <v>160</v>
      </c>
      <c r="U843">
        <v>841</v>
      </c>
      <c r="V843">
        <v>0</v>
      </c>
      <c r="W843">
        <v>0</v>
      </c>
      <c r="X843">
        <v>1</v>
      </c>
      <c r="Y843">
        <v>0</v>
      </c>
      <c r="Z843">
        <v>0</v>
      </c>
      <c r="AA843" s="1">
        <v>100</v>
      </c>
      <c r="AB843">
        <v>841</v>
      </c>
      <c r="AC843">
        <v>0</v>
      </c>
      <c r="AD843">
        <v>0</v>
      </c>
      <c r="AE843">
        <v>0</v>
      </c>
      <c r="AF843">
        <v>0</v>
      </c>
      <c r="AG843">
        <v>0</v>
      </c>
      <c r="AH843" s="1">
        <v>0</v>
      </c>
      <c r="AI843">
        <v>841</v>
      </c>
      <c r="AJ843">
        <v>0</v>
      </c>
      <c r="AK843">
        <v>0</v>
      </c>
      <c r="AL843">
        <v>0</v>
      </c>
      <c r="AM843">
        <v>0</v>
      </c>
      <c r="AN843">
        <v>0</v>
      </c>
      <c r="AO843" s="1">
        <v>0</v>
      </c>
    </row>
    <row r="844" spans="7:41" x14ac:dyDescent="0.35">
      <c r="G844">
        <v>842</v>
      </c>
      <c r="H844">
        <v>0</v>
      </c>
      <c r="I844">
        <v>0</v>
      </c>
      <c r="J844">
        <v>3</v>
      </c>
      <c r="K844">
        <v>2</v>
      </c>
      <c r="L844">
        <v>0</v>
      </c>
      <c r="M844" s="1">
        <v>300</v>
      </c>
      <c r="N844">
        <v>842</v>
      </c>
      <c r="O844">
        <v>0</v>
      </c>
      <c r="P844">
        <v>0</v>
      </c>
      <c r="Q844">
        <v>0</v>
      </c>
      <c r="R844">
        <v>1</v>
      </c>
      <c r="S844">
        <v>0</v>
      </c>
      <c r="T844" s="1">
        <v>80</v>
      </c>
      <c r="U844">
        <v>842</v>
      </c>
      <c r="V844">
        <v>0</v>
      </c>
      <c r="W844">
        <v>0</v>
      </c>
      <c r="X844">
        <v>0</v>
      </c>
      <c r="Y844">
        <v>0</v>
      </c>
      <c r="Z844">
        <v>0</v>
      </c>
      <c r="AA844" s="1">
        <v>0</v>
      </c>
      <c r="AB844">
        <v>842</v>
      </c>
      <c r="AC844">
        <v>0</v>
      </c>
      <c r="AD844">
        <v>0</v>
      </c>
      <c r="AE844">
        <v>0</v>
      </c>
      <c r="AF844">
        <v>0</v>
      </c>
      <c r="AG844">
        <v>0</v>
      </c>
      <c r="AH844" s="1">
        <v>0</v>
      </c>
      <c r="AI844">
        <v>842</v>
      </c>
      <c r="AJ844">
        <v>0</v>
      </c>
      <c r="AK844">
        <v>0</v>
      </c>
      <c r="AL844">
        <v>0</v>
      </c>
      <c r="AM844">
        <v>0</v>
      </c>
      <c r="AN844">
        <v>0</v>
      </c>
      <c r="AO844" s="1">
        <v>0</v>
      </c>
    </row>
    <row r="845" spans="7:41" x14ac:dyDescent="0.35">
      <c r="G845">
        <v>843</v>
      </c>
      <c r="H845">
        <v>1</v>
      </c>
      <c r="I845">
        <v>1</v>
      </c>
      <c r="J845">
        <v>0</v>
      </c>
      <c r="K845">
        <v>0</v>
      </c>
      <c r="L845">
        <v>0</v>
      </c>
      <c r="M845" s="1">
        <v>120</v>
      </c>
      <c r="N845">
        <v>843</v>
      </c>
      <c r="O845">
        <v>0</v>
      </c>
      <c r="P845">
        <v>0</v>
      </c>
      <c r="Q845">
        <v>1</v>
      </c>
      <c r="R845">
        <v>2</v>
      </c>
      <c r="S845">
        <v>0</v>
      </c>
      <c r="T845" s="1">
        <v>240</v>
      </c>
      <c r="U845">
        <v>843</v>
      </c>
      <c r="V845">
        <v>0</v>
      </c>
      <c r="W845">
        <v>1</v>
      </c>
      <c r="X845">
        <v>0</v>
      </c>
      <c r="Y845">
        <v>0</v>
      </c>
      <c r="Z845">
        <v>0</v>
      </c>
      <c r="AA845" s="1">
        <v>100</v>
      </c>
      <c r="AB845">
        <v>843</v>
      </c>
      <c r="AC845">
        <v>0</v>
      </c>
      <c r="AD845">
        <v>0</v>
      </c>
      <c r="AE845">
        <v>0</v>
      </c>
      <c r="AF845">
        <v>0</v>
      </c>
      <c r="AG845">
        <v>0</v>
      </c>
      <c r="AH845" s="1">
        <v>0</v>
      </c>
      <c r="AI845">
        <v>843</v>
      </c>
      <c r="AJ845">
        <v>0</v>
      </c>
      <c r="AK845">
        <v>0</v>
      </c>
      <c r="AL845">
        <v>0</v>
      </c>
      <c r="AM845">
        <v>0</v>
      </c>
      <c r="AN845">
        <v>0</v>
      </c>
      <c r="AO845" s="1">
        <v>0</v>
      </c>
    </row>
    <row r="846" spans="7:41" x14ac:dyDescent="0.35">
      <c r="G846">
        <v>844</v>
      </c>
      <c r="H846">
        <v>0</v>
      </c>
      <c r="I846">
        <v>0</v>
      </c>
      <c r="J846">
        <v>1</v>
      </c>
      <c r="K846">
        <v>1</v>
      </c>
      <c r="L846">
        <v>2</v>
      </c>
      <c r="M846" s="1">
        <v>240</v>
      </c>
      <c r="N846">
        <v>844</v>
      </c>
      <c r="O846">
        <v>0</v>
      </c>
      <c r="P846">
        <v>0</v>
      </c>
      <c r="Q846">
        <v>0</v>
      </c>
      <c r="R846">
        <v>0</v>
      </c>
      <c r="S846">
        <v>0</v>
      </c>
      <c r="T846" s="1">
        <v>0</v>
      </c>
      <c r="U846">
        <v>844</v>
      </c>
      <c r="V846">
        <v>0</v>
      </c>
      <c r="W846">
        <v>3</v>
      </c>
      <c r="X846">
        <v>0</v>
      </c>
      <c r="Y846">
        <v>0</v>
      </c>
      <c r="Z846">
        <v>0</v>
      </c>
      <c r="AA846" s="1">
        <v>300</v>
      </c>
      <c r="AB846">
        <v>844</v>
      </c>
      <c r="AC846">
        <v>0</v>
      </c>
      <c r="AD846">
        <v>0</v>
      </c>
      <c r="AE846">
        <v>0</v>
      </c>
      <c r="AF846">
        <v>0</v>
      </c>
      <c r="AG846">
        <v>1</v>
      </c>
      <c r="AH846" s="1">
        <v>120</v>
      </c>
      <c r="AI846">
        <v>844</v>
      </c>
      <c r="AJ846">
        <v>0</v>
      </c>
      <c r="AK846">
        <v>0</v>
      </c>
      <c r="AL846">
        <v>0</v>
      </c>
      <c r="AM846">
        <v>0</v>
      </c>
      <c r="AN846">
        <v>0</v>
      </c>
      <c r="AO846" s="1">
        <v>0</v>
      </c>
    </row>
    <row r="847" spans="7:41" x14ac:dyDescent="0.35">
      <c r="G847">
        <v>845</v>
      </c>
      <c r="H847">
        <v>0</v>
      </c>
      <c r="I847">
        <v>1</v>
      </c>
      <c r="J847">
        <v>1</v>
      </c>
      <c r="K847">
        <v>0</v>
      </c>
      <c r="L847">
        <v>0</v>
      </c>
      <c r="M847" s="1">
        <v>120</v>
      </c>
      <c r="N847">
        <v>845</v>
      </c>
      <c r="O847">
        <v>2</v>
      </c>
      <c r="P847">
        <v>2</v>
      </c>
      <c r="Q847">
        <v>0</v>
      </c>
      <c r="R847">
        <v>1</v>
      </c>
      <c r="S847">
        <v>1</v>
      </c>
      <c r="T847" s="1">
        <v>480</v>
      </c>
      <c r="U847">
        <v>845</v>
      </c>
      <c r="V847">
        <v>0</v>
      </c>
      <c r="W847">
        <v>0</v>
      </c>
      <c r="X847">
        <v>0</v>
      </c>
      <c r="Y847">
        <v>0</v>
      </c>
      <c r="Z847">
        <v>0</v>
      </c>
      <c r="AA847" s="1">
        <v>0</v>
      </c>
      <c r="AB847">
        <v>845</v>
      </c>
      <c r="AC847">
        <v>0</v>
      </c>
      <c r="AD847">
        <v>0</v>
      </c>
      <c r="AE847">
        <v>0</v>
      </c>
      <c r="AF847">
        <v>0</v>
      </c>
      <c r="AG847">
        <v>0</v>
      </c>
      <c r="AH847" s="1">
        <v>0</v>
      </c>
      <c r="AI847">
        <v>845</v>
      </c>
      <c r="AJ847">
        <v>0</v>
      </c>
      <c r="AK847">
        <v>0</v>
      </c>
      <c r="AL847">
        <v>2</v>
      </c>
      <c r="AM847">
        <v>0</v>
      </c>
      <c r="AN847">
        <v>0</v>
      </c>
      <c r="AO847" s="1">
        <v>300</v>
      </c>
    </row>
    <row r="848" spans="7:41" x14ac:dyDescent="0.35">
      <c r="G848">
        <v>846</v>
      </c>
      <c r="H848">
        <v>0</v>
      </c>
      <c r="I848">
        <v>0</v>
      </c>
      <c r="J848">
        <v>2</v>
      </c>
      <c r="K848">
        <v>1</v>
      </c>
      <c r="L848">
        <v>0</v>
      </c>
      <c r="M848" s="1">
        <v>180</v>
      </c>
      <c r="N848">
        <v>846</v>
      </c>
      <c r="O848">
        <v>0</v>
      </c>
      <c r="P848">
        <v>0</v>
      </c>
      <c r="Q848">
        <v>1</v>
      </c>
      <c r="R848">
        <v>0</v>
      </c>
      <c r="S848">
        <v>0</v>
      </c>
      <c r="T848" s="1">
        <v>80</v>
      </c>
      <c r="U848">
        <v>846</v>
      </c>
      <c r="V848">
        <v>0</v>
      </c>
      <c r="W848">
        <v>3</v>
      </c>
      <c r="X848">
        <v>1</v>
      </c>
      <c r="Y848">
        <v>0</v>
      </c>
      <c r="Z848">
        <v>0</v>
      </c>
      <c r="AA848" s="1">
        <v>400</v>
      </c>
      <c r="AB848">
        <v>846</v>
      </c>
      <c r="AC848">
        <v>0</v>
      </c>
      <c r="AD848">
        <v>0</v>
      </c>
      <c r="AE848">
        <v>0</v>
      </c>
      <c r="AF848">
        <v>0</v>
      </c>
      <c r="AG848">
        <v>0</v>
      </c>
      <c r="AH848" s="1">
        <v>0</v>
      </c>
      <c r="AI848">
        <v>846</v>
      </c>
      <c r="AJ848">
        <v>0</v>
      </c>
      <c r="AK848">
        <v>0</v>
      </c>
      <c r="AL848">
        <v>0</v>
      </c>
      <c r="AM848">
        <v>0</v>
      </c>
      <c r="AN848">
        <v>0</v>
      </c>
      <c r="AO848" s="1">
        <v>0</v>
      </c>
    </row>
    <row r="849" spans="7:41" x14ac:dyDescent="0.35">
      <c r="G849">
        <v>847</v>
      </c>
      <c r="H849">
        <v>0</v>
      </c>
      <c r="I849">
        <v>0</v>
      </c>
      <c r="J849">
        <v>0</v>
      </c>
      <c r="K849">
        <v>0</v>
      </c>
      <c r="L849">
        <v>0</v>
      </c>
      <c r="M849" s="1">
        <v>0</v>
      </c>
      <c r="N849">
        <v>847</v>
      </c>
      <c r="O849">
        <v>1</v>
      </c>
      <c r="P849">
        <v>0</v>
      </c>
      <c r="Q849">
        <v>0</v>
      </c>
      <c r="R849">
        <v>0</v>
      </c>
      <c r="S849">
        <v>0</v>
      </c>
      <c r="T849" s="1">
        <v>80</v>
      </c>
      <c r="U849">
        <v>847</v>
      </c>
      <c r="V849">
        <v>0</v>
      </c>
      <c r="W849">
        <v>1</v>
      </c>
      <c r="X849">
        <v>0</v>
      </c>
      <c r="Y849">
        <v>0</v>
      </c>
      <c r="Z849">
        <v>0</v>
      </c>
      <c r="AA849" s="1">
        <v>100</v>
      </c>
      <c r="AB849">
        <v>847</v>
      </c>
      <c r="AC849">
        <v>0</v>
      </c>
      <c r="AD849">
        <v>0</v>
      </c>
      <c r="AE849">
        <v>0</v>
      </c>
      <c r="AF849">
        <v>0</v>
      </c>
      <c r="AG849">
        <v>0</v>
      </c>
      <c r="AH849" s="1">
        <v>0</v>
      </c>
      <c r="AI849">
        <v>847</v>
      </c>
      <c r="AJ849">
        <v>0</v>
      </c>
      <c r="AK849">
        <v>0</v>
      </c>
      <c r="AL849">
        <v>0</v>
      </c>
      <c r="AM849">
        <v>0</v>
      </c>
      <c r="AN849">
        <v>0</v>
      </c>
      <c r="AO849" s="1">
        <v>0</v>
      </c>
    </row>
    <row r="850" spans="7:41" x14ac:dyDescent="0.35">
      <c r="G850">
        <v>848</v>
      </c>
      <c r="H850">
        <v>0</v>
      </c>
      <c r="I850">
        <v>3</v>
      </c>
      <c r="J850">
        <v>0</v>
      </c>
      <c r="K850">
        <v>0</v>
      </c>
      <c r="L850">
        <v>0</v>
      </c>
      <c r="M850" s="1">
        <v>180</v>
      </c>
      <c r="N850">
        <v>848</v>
      </c>
      <c r="O850">
        <v>2</v>
      </c>
      <c r="P850">
        <v>0</v>
      </c>
      <c r="Q850">
        <v>0</v>
      </c>
      <c r="R850">
        <v>0</v>
      </c>
      <c r="S850">
        <v>1</v>
      </c>
      <c r="T850" s="1">
        <v>240</v>
      </c>
      <c r="U850">
        <v>848</v>
      </c>
      <c r="V850">
        <v>0</v>
      </c>
      <c r="W850">
        <v>0</v>
      </c>
      <c r="X850">
        <v>0</v>
      </c>
      <c r="Y850">
        <v>0</v>
      </c>
      <c r="Z850">
        <v>0</v>
      </c>
      <c r="AA850" s="1">
        <v>0</v>
      </c>
      <c r="AB850">
        <v>848</v>
      </c>
      <c r="AC850">
        <v>0</v>
      </c>
      <c r="AD850">
        <v>0</v>
      </c>
      <c r="AE850">
        <v>1</v>
      </c>
      <c r="AF850">
        <v>0</v>
      </c>
      <c r="AG850">
        <v>0</v>
      </c>
      <c r="AH850" s="1">
        <v>120</v>
      </c>
      <c r="AI850">
        <v>848</v>
      </c>
      <c r="AJ850">
        <v>0</v>
      </c>
      <c r="AK850">
        <v>0</v>
      </c>
      <c r="AL850">
        <v>0</v>
      </c>
      <c r="AM850">
        <v>0</v>
      </c>
      <c r="AN850">
        <v>0</v>
      </c>
      <c r="AO850" s="1">
        <v>0</v>
      </c>
    </row>
    <row r="851" spans="7:41" x14ac:dyDescent="0.35">
      <c r="G851">
        <v>849</v>
      </c>
      <c r="H851">
        <v>0</v>
      </c>
      <c r="I851">
        <v>1</v>
      </c>
      <c r="J851">
        <v>0</v>
      </c>
      <c r="K851">
        <v>1</v>
      </c>
      <c r="L851">
        <v>0</v>
      </c>
      <c r="M851" s="1">
        <v>120</v>
      </c>
      <c r="N851">
        <v>849</v>
      </c>
      <c r="O851">
        <v>0</v>
      </c>
      <c r="P851">
        <v>1</v>
      </c>
      <c r="Q851">
        <v>1</v>
      </c>
      <c r="R851">
        <v>0</v>
      </c>
      <c r="S851">
        <v>0</v>
      </c>
      <c r="T851" s="1">
        <v>160</v>
      </c>
      <c r="U851">
        <v>849</v>
      </c>
      <c r="V851">
        <v>0</v>
      </c>
      <c r="W851">
        <v>0</v>
      </c>
      <c r="X851">
        <v>0</v>
      </c>
      <c r="Y851">
        <v>0</v>
      </c>
      <c r="Z851">
        <v>0</v>
      </c>
      <c r="AA851" s="1">
        <v>0</v>
      </c>
      <c r="AB851">
        <v>849</v>
      </c>
      <c r="AC851">
        <v>0</v>
      </c>
      <c r="AD851">
        <v>0</v>
      </c>
      <c r="AE851">
        <v>0</v>
      </c>
      <c r="AF851">
        <v>0</v>
      </c>
      <c r="AG851">
        <v>0</v>
      </c>
      <c r="AH851" s="1">
        <v>0</v>
      </c>
      <c r="AI851">
        <v>849</v>
      </c>
      <c r="AJ851">
        <v>0</v>
      </c>
      <c r="AK851">
        <v>0</v>
      </c>
      <c r="AL851">
        <v>0</v>
      </c>
      <c r="AM851">
        <v>0</v>
      </c>
      <c r="AN851">
        <v>0</v>
      </c>
      <c r="AO851" s="1">
        <v>0</v>
      </c>
    </row>
    <row r="852" spans="7:41" x14ac:dyDescent="0.35">
      <c r="G852">
        <v>850</v>
      </c>
      <c r="H852">
        <v>1</v>
      </c>
      <c r="I852">
        <v>1</v>
      </c>
      <c r="J852">
        <v>0</v>
      </c>
      <c r="K852">
        <v>2</v>
      </c>
      <c r="L852">
        <v>0</v>
      </c>
      <c r="M852" s="1">
        <v>240</v>
      </c>
      <c r="N852">
        <v>850</v>
      </c>
      <c r="O852">
        <v>0</v>
      </c>
      <c r="P852">
        <v>0</v>
      </c>
      <c r="Q852">
        <v>0</v>
      </c>
      <c r="R852">
        <v>0</v>
      </c>
      <c r="S852">
        <v>0</v>
      </c>
      <c r="T852" s="1">
        <v>0</v>
      </c>
      <c r="U852">
        <v>850</v>
      </c>
      <c r="V852">
        <v>0</v>
      </c>
      <c r="W852">
        <v>1</v>
      </c>
      <c r="X852">
        <v>1</v>
      </c>
      <c r="Y852">
        <v>0</v>
      </c>
      <c r="Z852">
        <v>0</v>
      </c>
      <c r="AA852" s="1">
        <v>200</v>
      </c>
      <c r="AB852">
        <v>850</v>
      </c>
      <c r="AC852">
        <v>0</v>
      </c>
      <c r="AD852">
        <v>0</v>
      </c>
      <c r="AE852">
        <v>0</v>
      </c>
      <c r="AF852">
        <v>0</v>
      </c>
      <c r="AG852">
        <v>0</v>
      </c>
      <c r="AH852" s="1">
        <v>0</v>
      </c>
      <c r="AI852">
        <v>850</v>
      </c>
      <c r="AJ852">
        <v>0</v>
      </c>
      <c r="AK852">
        <v>0</v>
      </c>
      <c r="AL852">
        <v>0</v>
      </c>
      <c r="AM852">
        <v>0</v>
      </c>
      <c r="AN852">
        <v>0</v>
      </c>
      <c r="AO852" s="1">
        <v>0</v>
      </c>
    </row>
    <row r="853" spans="7:41" x14ac:dyDescent="0.35">
      <c r="G853">
        <v>851</v>
      </c>
      <c r="H853">
        <v>0</v>
      </c>
      <c r="I853">
        <v>0</v>
      </c>
      <c r="J853">
        <v>3</v>
      </c>
      <c r="K853">
        <v>2</v>
      </c>
      <c r="L853">
        <v>0</v>
      </c>
      <c r="M853" s="1">
        <v>300</v>
      </c>
      <c r="N853">
        <v>851</v>
      </c>
      <c r="O853">
        <v>0</v>
      </c>
      <c r="P853">
        <v>0</v>
      </c>
      <c r="Q853">
        <v>3</v>
      </c>
      <c r="R853">
        <v>0</v>
      </c>
      <c r="S853">
        <v>1</v>
      </c>
      <c r="T853" s="1">
        <v>320</v>
      </c>
      <c r="U853">
        <v>851</v>
      </c>
      <c r="V853">
        <v>0</v>
      </c>
      <c r="W853">
        <v>0</v>
      </c>
      <c r="X853">
        <v>0</v>
      </c>
      <c r="Y853">
        <v>0</v>
      </c>
      <c r="Z853">
        <v>0</v>
      </c>
      <c r="AA853" s="1">
        <v>0</v>
      </c>
      <c r="AB853">
        <v>851</v>
      </c>
      <c r="AC853">
        <v>0</v>
      </c>
      <c r="AD853">
        <v>0</v>
      </c>
      <c r="AE853">
        <v>0</v>
      </c>
      <c r="AF853">
        <v>0</v>
      </c>
      <c r="AG853">
        <v>0</v>
      </c>
      <c r="AH853" s="1">
        <v>0</v>
      </c>
      <c r="AI853">
        <v>851</v>
      </c>
      <c r="AJ853">
        <v>0</v>
      </c>
      <c r="AK853">
        <v>0</v>
      </c>
      <c r="AL853">
        <v>2</v>
      </c>
      <c r="AM853">
        <v>0</v>
      </c>
      <c r="AN853">
        <v>0</v>
      </c>
      <c r="AO853" s="1">
        <v>300</v>
      </c>
    </row>
    <row r="854" spans="7:41" x14ac:dyDescent="0.35">
      <c r="G854">
        <v>852</v>
      </c>
      <c r="H854">
        <v>0</v>
      </c>
      <c r="I854">
        <v>0</v>
      </c>
      <c r="J854">
        <v>2</v>
      </c>
      <c r="K854">
        <v>0</v>
      </c>
      <c r="L854">
        <v>4</v>
      </c>
      <c r="M854" s="1">
        <v>360</v>
      </c>
      <c r="N854">
        <v>852</v>
      </c>
      <c r="O854">
        <v>0</v>
      </c>
      <c r="P854">
        <v>0</v>
      </c>
      <c r="Q854">
        <v>0</v>
      </c>
      <c r="R854">
        <v>0</v>
      </c>
      <c r="S854">
        <v>1</v>
      </c>
      <c r="T854" s="1">
        <v>80</v>
      </c>
      <c r="U854">
        <v>852</v>
      </c>
      <c r="V854">
        <v>0</v>
      </c>
      <c r="W854">
        <v>0</v>
      </c>
      <c r="X854">
        <v>0</v>
      </c>
      <c r="Y854">
        <v>0</v>
      </c>
      <c r="Z854">
        <v>0</v>
      </c>
      <c r="AA854" s="1">
        <v>0</v>
      </c>
      <c r="AB854">
        <v>852</v>
      </c>
      <c r="AC854">
        <v>0</v>
      </c>
      <c r="AD854">
        <v>0</v>
      </c>
      <c r="AE854">
        <v>0</v>
      </c>
      <c r="AF854">
        <v>0</v>
      </c>
      <c r="AG854">
        <v>0</v>
      </c>
      <c r="AH854" s="1">
        <v>0</v>
      </c>
      <c r="AI854">
        <v>852</v>
      </c>
      <c r="AJ854">
        <v>0</v>
      </c>
      <c r="AK854">
        <v>0</v>
      </c>
      <c r="AL854">
        <v>3</v>
      </c>
      <c r="AM854">
        <v>0</v>
      </c>
      <c r="AN854">
        <v>0</v>
      </c>
      <c r="AO854" s="1">
        <v>450</v>
      </c>
    </row>
    <row r="855" spans="7:41" x14ac:dyDescent="0.35">
      <c r="G855">
        <v>853</v>
      </c>
      <c r="H855">
        <v>1</v>
      </c>
      <c r="I855">
        <v>3</v>
      </c>
      <c r="J855">
        <v>0</v>
      </c>
      <c r="K855">
        <v>3</v>
      </c>
      <c r="L855">
        <v>2</v>
      </c>
      <c r="M855" s="1">
        <v>540</v>
      </c>
      <c r="N855">
        <v>853</v>
      </c>
      <c r="O855">
        <v>0</v>
      </c>
      <c r="P855">
        <v>0</v>
      </c>
      <c r="Q855">
        <v>0</v>
      </c>
      <c r="R855">
        <v>0</v>
      </c>
      <c r="S855">
        <v>1</v>
      </c>
      <c r="T855" s="1">
        <v>80</v>
      </c>
      <c r="U855">
        <v>853</v>
      </c>
      <c r="V855">
        <v>0</v>
      </c>
      <c r="W855">
        <v>0</v>
      </c>
      <c r="X855">
        <v>0</v>
      </c>
      <c r="Y855">
        <v>0</v>
      </c>
      <c r="Z855">
        <v>0</v>
      </c>
      <c r="AA855" s="1">
        <v>0</v>
      </c>
      <c r="AB855">
        <v>853</v>
      </c>
      <c r="AC855">
        <v>0</v>
      </c>
      <c r="AD855">
        <v>0</v>
      </c>
      <c r="AE855">
        <v>0</v>
      </c>
      <c r="AF855">
        <v>0</v>
      </c>
      <c r="AG855">
        <v>0</v>
      </c>
      <c r="AH855" s="1">
        <v>0</v>
      </c>
      <c r="AI855">
        <v>853</v>
      </c>
      <c r="AJ855">
        <v>0</v>
      </c>
      <c r="AK855">
        <v>0</v>
      </c>
      <c r="AL855">
        <v>0</v>
      </c>
      <c r="AM855">
        <v>0</v>
      </c>
      <c r="AN855">
        <v>0</v>
      </c>
      <c r="AO855" s="1">
        <v>0</v>
      </c>
    </row>
    <row r="856" spans="7:41" x14ac:dyDescent="0.35">
      <c r="G856">
        <v>854</v>
      </c>
      <c r="H856">
        <v>4</v>
      </c>
      <c r="I856">
        <v>0</v>
      </c>
      <c r="J856">
        <v>2</v>
      </c>
      <c r="K856">
        <v>0</v>
      </c>
      <c r="L856">
        <v>2</v>
      </c>
      <c r="M856" s="1">
        <v>480</v>
      </c>
      <c r="N856">
        <v>854</v>
      </c>
      <c r="O856">
        <v>0</v>
      </c>
      <c r="P856">
        <v>0</v>
      </c>
      <c r="Q856">
        <v>2</v>
      </c>
      <c r="R856">
        <v>0</v>
      </c>
      <c r="S856">
        <v>0</v>
      </c>
      <c r="T856" s="1">
        <v>160</v>
      </c>
      <c r="U856">
        <v>854</v>
      </c>
      <c r="V856">
        <v>0</v>
      </c>
      <c r="W856">
        <v>0</v>
      </c>
      <c r="X856">
        <v>0</v>
      </c>
      <c r="Y856">
        <v>0</v>
      </c>
      <c r="Z856">
        <v>0</v>
      </c>
      <c r="AA856" s="1">
        <v>0</v>
      </c>
      <c r="AB856">
        <v>854</v>
      </c>
      <c r="AC856">
        <v>0</v>
      </c>
      <c r="AD856">
        <v>0</v>
      </c>
      <c r="AE856">
        <v>0</v>
      </c>
      <c r="AF856">
        <v>0</v>
      </c>
      <c r="AG856">
        <v>1</v>
      </c>
      <c r="AH856" s="1">
        <v>120</v>
      </c>
      <c r="AI856">
        <v>854</v>
      </c>
      <c r="AJ856">
        <v>0</v>
      </c>
      <c r="AK856">
        <v>0</v>
      </c>
      <c r="AL856">
        <v>0</v>
      </c>
      <c r="AM856">
        <v>0</v>
      </c>
      <c r="AN856">
        <v>0</v>
      </c>
      <c r="AO856" s="1">
        <v>0</v>
      </c>
    </row>
    <row r="857" spans="7:41" x14ac:dyDescent="0.35">
      <c r="G857">
        <v>855</v>
      </c>
      <c r="H857">
        <v>0</v>
      </c>
      <c r="I857">
        <v>0</v>
      </c>
      <c r="J857">
        <v>1</v>
      </c>
      <c r="K857">
        <v>0</v>
      </c>
      <c r="L857">
        <v>1</v>
      </c>
      <c r="M857" s="1">
        <v>120</v>
      </c>
      <c r="N857">
        <v>855</v>
      </c>
      <c r="O857">
        <v>0</v>
      </c>
      <c r="P857">
        <v>0</v>
      </c>
      <c r="Q857">
        <v>0</v>
      </c>
      <c r="R857">
        <v>0</v>
      </c>
      <c r="S857">
        <v>0</v>
      </c>
      <c r="T857" s="1">
        <v>0</v>
      </c>
      <c r="U857">
        <v>855</v>
      </c>
      <c r="V857">
        <v>0</v>
      </c>
      <c r="W857">
        <v>2</v>
      </c>
      <c r="X857">
        <v>0</v>
      </c>
      <c r="Y857">
        <v>0</v>
      </c>
      <c r="Z857">
        <v>0</v>
      </c>
      <c r="AA857" s="1">
        <v>200</v>
      </c>
      <c r="AB857">
        <v>855</v>
      </c>
      <c r="AC857">
        <v>0</v>
      </c>
      <c r="AD857">
        <v>0</v>
      </c>
      <c r="AE857">
        <v>0</v>
      </c>
      <c r="AF857">
        <v>0</v>
      </c>
      <c r="AG857">
        <v>0</v>
      </c>
      <c r="AH857" s="1">
        <v>0</v>
      </c>
      <c r="AI857">
        <v>855</v>
      </c>
      <c r="AJ857">
        <v>0</v>
      </c>
      <c r="AK857">
        <v>0</v>
      </c>
      <c r="AL857">
        <v>0</v>
      </c>
      <c r="AM857">
        <v>0</v>
      </c>
      <c r="AN857">
        <v>0</v>
      </c>
      <c r="AO857" s="1">
        <v>0</v>
      </c>
    </row>
    <row r="858" spans="7:41" x14ac:dyDescent="0.35">
      <c r="G858">
        <v>856</v>
      </c>
      <c r="H858">
        <v>1</v>
      </c>
      <c r="I858">
        <v>2</v>
      </c>
      <c r="J858">
        <v>0</v>
      </c>
      <c r="K858">
        <v>0</v>
      </c>
      <c r="L858">
        <v>1</v>
      </c>
      <c r="M858" s="1">
        <v>240</v>
      </c>
      <c r="N858">
        <v>856</v>
      </c>
      <c r="O858">
        <v>0</v>
      </c>
      <c r="P858">
        <v>0</v>
      </c>
      <c r="Q858">
        <v>0</v>
      </c>
      <c r="R858">
        <v>0</v>
      </c>
      <c r="S858">
        <v>0</v>
      </c>
      <c r="T858" s="1">
        <v>0</v>
      </c>
      <c r="U858">
        <v>856</v>
      </c>
      <c r="V858">
        <v>1</v>
      </c>
      <c r="W858">
        <v>0</v>
      </c>
      <c r="X858">
        <v>0</v>
      </c>
      <c r="Y858">
        <v>0</v>
      </c>
      <c r="Z858">
        <v>0</v>
      </c>
      <c r="AA858" s="1">
        <v>100</v>
      </c>
      <c r="AB858">
        <v>856</v>
      </c>
      <c r="AC858">
        <v>0</v>
      </c>
      <c r="AD858">
        <v>0</v>
      </c>
      <c r="AE858">
        <v>0</v>
      </c>
      <c r="AF858">
        <v>0</v>
      </c>
      <c r="AG858">
        <v>0</v>
      </c>
      <c r="AH858" s="1">
        <v>0</v>
      </c>
      <c r="AI858">
        <v>856</v>
      </c>
      <c r="AJ858">
        <v>0</v>
      </c>
      <c r="AK858">
        <v>0</v>
      </c>
      <c r="AL858">
        <v>0</v>
      </c>
      <c r="AM858">
        <v>0</v>
      </c>
      <c r="AN858">
        <v>0</v>
      </c>
      <c r="AO858" s="1">
        <v>0</v>
      </c>
    </row>
    <row r="859" spans="7:41" x14ac:dyDescent="0.35">
      <c r="G859">
        <v>857</v>
      </c>
      <c r="H859">
        <v>1</v>
      </c>
      <c r="I859">
        <v>0</v>
      </c>
      <c r="J859">
        <v>2</v>
      </c>
      <c r="K859">
        <v>4</v>
      </c>
      <c r="L859">
        <v>2</v>
      </c>
      <c r="M859" s="1">
        <v>540</v>
      </c>
      <c r="N859">
        <v>857</v>
      </c>
      <c r="O859">
        <v>0</v>
      </c>
      <c r="P859">
        <v>0</v>
      </c>
      <c r="Q859">
        <v>1</v>
      </c>
      <c r="R859">
        <v>0</v>
      </c>
      <c r="S859">
        <v>0</v>
      </c>
      <c r="T859" s="1">
        <v>80</v>
      </c>
      <c r="U859">
        <v>857</v>
      </c>
      <c r="V859">
        <v>0</v>
      </c>
      <c r="W859">
        <v>1</v>
      </c>
      <c r="X859">
        <v>0</v>
      </c>
      <c r="Y859">
        <v>0</v>
      </c>
      <c r="Z859">
        <v>0</v>
      </c>
      <c r="AA859" s="1">
        <v>100</v>
      </c>
      <c r="AB859">
        <v>857</v>
      </c>
      <c r="AC859">
        <v>0</v>
      </c>
      <c r="AD859">
        <v>0</v>
      </c>
      <c r="AE859">
        <v>0</v>
      </c>
      <c r="AF859">
        <v>0</v>
      </c>
      <c r="AG859">
        <v>1</v>
      </c>
      <c r="AH859" s="1">
        <v>120</v>
      </c>
      <c r="AI859">
        <v>857</v>
      </c>
      <c r="AJ859">
        <v>0</v>
      </c>
      <c r="AK859">
        <v>0</v>
      </c>
      <c r="AL859">
        <v>0</v>
      </c>
      <c r="AM859">
        <v>0</v>
      </c>
      <c r="AN859">
        <v>0</v>
      </c>
      <c r="AO859" s="1">
        <v>0</v>
      </c>
    </row>
    <row r="860" spans="7:41" x14ac:dyDescent="0.35">
      <c r="G860">
        <v>858</v>
      </c>
      <c r="H860">
        <v>2</v>
      </c>
      <c r="I860">
        <v>0</v>
      </c>
      <c r="J860">
        <v>1</v>
      </c>
      <c r="K860">
        <v>0</v>
      </c>
      <c r="L860">
        <v>2</v>
      </c>
      <c r="M860" s="1">
        <v>300</v>
      </c>
      <c r="N860">
        <v>858</v>
      </c>
      <c r="O860">
        <v>0</v>
      </c>
      <c r="P860">
        <v>0</v>
      </c>
      <c r="Q860">
        <v>2</v>
      </c>
      <c r="R860">
        <v>0</v>
      </c>
      <c r="S860">
        <v>0</v>
      </c>
      <c r="T860" s="1">
        <v>160</v>
      </c>
      <c r="U860">
        <v>858</v>
      </c>
      <c r="V860">
        <v>0</v>
      </c>
      <c r="W860">
        <v>0</v>
      </c>
      <c r="X860">
        <v>0</v>
      </c>
      <c r="Y860">
        <v>0</v>
      </c>
      <c r="Z860">
        <v>0</v>
      </c>
      <c r="AA860" s="1">
        <v>0</v>
      </c>
      <c r="AB860">
        <v>858</v>
      </c>
      <c r="AC860">
        <v>0</v>
      </c>
      <c r="AD860">
        <v>0</v>
      </c>
      <c r="AE860">
        <v>0</v>
      </c>
      <c r="AF860">
        <v>0</v>
      </c>
      <c r="AG860">
        <v>0</v>
      </c>
      <c r="AH860" s="1">
        <v>0</v>
      </c>
      <c r="AI860">
        <v>858</v>
      </c>
      <c r="AJ860">
        <v>0</v>
      </c>
      <c r="AK860">
        <v>0</v>
      </c>
      <c r="AL860">
        <v>0</v>
      </c>
      <c r="AM860">
        <v>0</v>
      </c>
      <c r="AN860">
        <v>0</v>
      </c>
      <c r="AO860" s="1">
        <v>0</v>
      </c>
    </row>
    <row r="861" spans="7:41" x14ac:dyDescent="0.35">
      <c r="G861">
        <v>859</v>
      </c>
      <c r="H861">
        <v>0</v>
      </c>
      <c r="I861">
        <v>0</v>
      </c>
      <c r="J861">
        <v>3</v>
      </c>
      <c r="K861">
        <v>1</v>
      </c>
      <c r="L861">
        <v>0</v>
      </c>
      <c r="M861" s="1">
        <v>240</v>
      </c>
      <c r="N861">
        <v>859</v>
      </c>
      <c r="O861">
        <v>0</v>
      </c>
      <c r="P861">
        <v>0</v>
      </c>
      <c r="Q861">
        <v>0</v>
      </c>
      <c r="R861">
        <v>1</v>
      </c>
      <c r="S861">
        <v>0</v>
      </c>
      <c r="T861" s="1">
        <v>80</v>
      </c>
      <c r="U861">
        <v>859</v>
      </c>
      <c r="V861">
        <v>0</v>
      </c>
      <c r="W861">
        <v>0</v>
      </c>
      <c r="X861">
        <v>1</v>
      </c>
      <c r="Y861">
        <v>0</v>
      </c>
      <c r="Z861">
        <v>0</v>
      </c>
      <c r="AA861" s="1">
        <v>100</v>
      </c>
      <c r="AB861">
        <v>859</v>
      </c>
      <c r="AC861">
        <v>0</v>
      </c>
      <c r="AD861">
        <v>0</v>
      </c>
      <c r="AE861">
        <v>0</v>
      </c>
      <c r="AF861">
        <v>0</v>
      </c>
      <c r="AG861">
        <v>0</v>
      </c>
      <c r="AH861" s="1">
        <v>0</v>
      </c>
      <c r="AI861">
        <v>859</v>
      </c>
      <c r="AJ861">
        <v>0</v>
      </c>
      <c r="AK861">
        <v>0</v>
      </c>
      <c r="AL861">
        <v>2</v>
      </c>
      <c r="AM861">
        <v>0</v>
      </c>
      <c r="AN861">
        <v>0</v>
      </c>
      <c r="AO861" s="1">
        <v>300</v>
      </c>
    </row>
    <row r="862" spans="7:41" x14ac:dyDescent="0.35">
      <c r="G862">
        <v>860</v>
      </c>
      <c r="H862">
        <v>0</v>
      </c>
      <c r="I862">
        <v>2</v>
      </c>
      <c r="J862">
        <v>0</v>
      </c>
      <c r="K862">
        <v>4</v>
      </c>
      <c r="L862">
        <v>0</v>
      </c>
      <c r="M862" s="1">
        <v>360</v>
      </c>
      <c r="N862">
        <v>860</v>
      </c>
      <c r="O862">
        <v>1</v>
      </c>
      <c r="P862">
        <v>0</v>
      </c>
      <c r="Q862">
        <v>3</v>
      </c>
      <c r="R862">
        <v>1</v>
      </c>
      <c r="S862">
        <v>1</v>
      </c>
      <c r="T862" s="1">
        <v>480</v>
      </c>
      <c r="U862">
        <v>860</v>
      </c>
      <c r="V862">
        <v>1</v>
      </c>
      <c r="W862">
        <v>0</v>
      </c>
      <c r="X862">
        <v>0</v>
      </c>
      <c r="Y862">
        <v>1</v>
      </c>
      <c r="Z862">
        <v>1</v>
      </c>
      <c r="AA862" s="1">
        <v>300</v>
      </c>
      <c r="AB862">
        <v>860</v>
      </c>
      <c r="AC862">
        <v>0</v>
      </c>
      <c r="AD862">
        <v>0</v>
      </c>
      <c r="AE862">
        <v>0</v>
      </c>
      <c r="AF862">
        <v>0</v>
      </c>
      <c r="AG862">
        <v>0</v>
      </c>
      <c r="AH862" s="1">
        <v>0</v>
      </c>
      <c r="AI862">
        <v>860</v>
      </c>
      <c r="AJ862">
        <v>0</v>
      </c>
      <c r="AK862">
        <v>0</v>
      </c>
      <c r="AL862">
        <v>3</v>
      </c>
      <c r="AM862">
        <v>0</v>
      </c>
      <c r="AN862">
        <v>0</v>
      </c>
      <c r="AO862" s="1">
        <v>450</v>
      </c>
    </row>
    <row r="863" spans="7:41" x14ac:dyDescent="0.35">
      <c r="G863">
        <v>861</v>
      </c>
      <c r="H863">
        <v>0</v>
      </c>
      <c r="I863">
        <v>0</v>
      </c>
      <c r="J863">
        <v>0</v>
      </c>
      <c r="K863">
        <v>4</v>
      </c>
      <c r="L863">
        <v>0</v>
      </c>
      <c r="M863" s="1">
        <v>240</v>
      </c>
      <c r="N863">
        <v>861</v>
      </c>
      <c r="O863">
        <v>3</v>
      </c>
      <c r="P863">
        <v>1</v>
      </c>
      <c r="Q863">
        <v>0</v>
      </c>
      <c r="R863">
        <v>0</v>
      </c>
      <c r="S863">
        <v>0</v>
      </c>
      <c r="T863" s="1">
        <v>320</v>
      </c>
      <c r="U863">
        <v>861</v>
      </c>
      <c r="V863">
        <v>0</v>
      </c>
      <c r="W863">
        <v>1</v>
      </c>
      <c r="X863">
        <v>0</v>
      </c>
      <c r="Y863">
        <v>0</v>
      </c>
      <c r="Z863">
        <v>0</v>
      </c>
      <c r="AA863" s="1">
        <v>100</v>
      </c>
      <c r="AB863">
        <v>861</v>
      </c>
      <c r="AC863">
        <v>0</v>
      </c>
      <c r="AD863">
        <v>0</v>
      </c>
      <c r="AE863">
        <v>0</v>
      </c>
      <c r="AF863">
        <v>0</v>
      </c>
      <c r="AG863">
        <v>0</v>
      </c>
      <c r="AH863" s="1">
        <v>0</v>
      </c>
      <c r="AI863">
        <v>861</v>
      </c>
      <c r="AJ863">
        <v>0</v>
      </c>
      <c r="AK863">
        <v>0</v>
      </c>
      <c r="AL863">
        <v>0</v>
      </c>
      <c r="AM863">
        <v>0</v>
      </c>
      <c r="AN863">
        <v>0</v>
      </c>
      <c r="AO863" s="1">
        <v>0</v>
      </c>
    </row>
    <row r="864" spans="7:41" x14ac:dyDescent="0.35">
      <c r="G864">
        <v>862</v>
      </c>
      <c r="H864">
        <v>0</v>
      </c>
      <c r="I864">
        <v>0</v>
      </c>
      <c r="J864">
        <v>3</v>
      </c>
      <c r="K864">
        <v>3</v>
      </c>
      <c r="L864">
        <v>1</v>
      </c>
      <c r="M864" s="1">
        <v>420</v>
      </c>
      <c r="N864">
        <v>862</v>
      </c>
      <c r="O864">
        <v>0</v>
      </c>
      <c r="P864">
        <v>0</v>
      </c>
      <c r="Q864">
        <v>0</v>
      </c>
      <c r="R864">
        <v>0</v>
      </c>
      <c r="S864">
        <v>0</v>
      </c>
      <c r="T864" s="1">
        <v>0</v>
      </c>
      <c r="U864">
        <v>862</v>
      </c>
      <c r="V864">
        <v>0</v>
      </c>
      <c r="W864">
        <v>0</v>
      </c>
      <c r="X864">
        <v>0</v>
      </c>
      <c r="Y864">
        <v>0</v>
      </c>
      <c r="Z864">
        <v>0</v>
      </c>
      <c r="AA864" s="1">
        <v>0</v>
      </c>
      <c r="AB864">
        <v>862</v>
      </c>
      <c r="AC864">
        <v>0</v>
      </c>
      <c r="AD864">
        <v>0</v>
      </c>
      <c r="AE864">
        <v>0</v>
      </c>
      <c r="AF864">
        <v>0</v>
      </c>
      <c r="AG864">
        <v>0</v>
      </c>
      <c r="AH864" s="1">
        <v>0</v>
      </c>
      <c r="AI864">
        <v>862</v>
      </c>
      <c r="AJ864">
        <v>0</v>
      </c>
      <c r="AK864">
        <v>0</v>
      </c>
      <c r="AL864">
        <v>1</v>
      </c>
      <c r="AM864">
        <v>0</v>
      </c>
      <c r="AN864">
        <v>0</v>
      </c>
      <c r="AO864" s="1">
        <v>150</v>
      </c>
    </row>
    <row r="865" spans="7:41" x14ac:dyDescent="0.35">
      <c r="G865">
        <v>863</v>
      </c>
      <c r="H865">
        <v>0</v>
      </c>
      <c r="I865">
        <v>0</v>
      </c>
      <c r="J865">
        <v>0</v>
      </c>
      <c r="K865">
        <v>3</v>
      </c>
      <c r="L865">
        <v>1</v>
      </c>
      <c r="M865" s="1">
        <v>240</v>
      </c>
      <c r="N865">
        <v>863</v>
      </c>
      <c r="O865">
        <v>0</v>
      </c>
      <c r="P865">
        <v>0</v>
      </c>
      <c r="Q865">
        <v>0</v>
      </c>
      <c r="R865">
        <v>0</v>
      </c>
      <c r="S865">
        <v>0</v>
      </c>
      <c r="T865" s="1">
        <v>0</v>
      </c>
      <c r="U865">
        <v>863</v>
      </c>
      <c r="V865">
        <v>0</v>
      </c>
      <c r="W865">
        <v>2</v>
      </c>
      <c r="X865">
        <v>0</v>
      </c>
      <c r="Y865">
        <v>0</v>
      </c>
      <c r="Z865">
        <v>0</v>
      </c>
      <c r="AA865" s="1">
        <v>200</v>
      </c>
      <c r="AB865">
        <v>863</v>
      </c>
      <c r="AC865">
        <v>0</v>
      </c>
      <c r="AD865">
        <v>0</v>
      </c>
      <c r="AE865">
        <v>1</v>
      </c>
      <c r="AF865">
        <v>0</v>
      </c>
      <c r="AG865">
        <v>0</v>
      </c>
      <c r="AH865" s="1">
        <v>120</v>
      </c>
      <c r="AI865">
        <v>863</v>
      </c>
      <c r="AJ865">
        <v>0</v>
      </c>
      <c r="AK865">
        <v>0</v>
      </c>
      <c r="AL865">
        <v>0</v>
      </c>
      <c r="AM865">
        <v>0</v>
      </c>
      <c r="AN865">
        <v>0</v>
      </c>
      <c r="AO865" s="1">
        <v>0</v>
      </c>
    </row>
    <row r="866" spans="7:41" x14ac:dyDescent="0.35">
      <c r="G866">
        <v>864</v>
      </c>
      <c r="H866">
        <v>0</v>
      </c>
      <c r="I866">
        <v>0</v>
      </c>
      <c r="J866">
        <v>0</v>
      </c>
      <c r="K866">
        <v>4</v>
      </c>
      <c r="L866">
        <v>0</v>
      </c>
      <c r="M866" s="1">
        <v>240</v>
      </c>
      <c r="N866">
        <v>864</v>
      </c>
      <c r="O866">
        <v>1</v>
      </c>
      <c r="P866">
        <v>0</v>
      </c>
      <c r="Q866">
        <v>0</v>
      </c>
      <c r="R866">
        <v>0</v>
      </c>
      <c r="S866">
        <v>0</v>
      </c>
      <c r="T866" s="1">
        <v>80</v>
      </c>
      <c r="U866">
        <v>864</v>
      </c>
      <c r="V866">
        <v>0</v>
      </c>
      <c r="W866">
        <v>0</v>
      </c>
      <c r="X866">
        <v>0</v>
      </c>
      <c r="Y866">
        <v>0</v>
      </c>
      <c r="Z866">
        <v>0</v>
      </c>
      <c r="AA866" s="1">
        <v>0</v>
      </c>
      <c r="AB866">
        <v>864</v>
      </c>
      <c r="AC866">
        <v>0</v>
      </c>
      <c r="AD866">
        <v>0</v>
      </c>
      <c r="AE866">
        <v>0</v>
      </c>
      <c r="AF866">
        <v>0</v>
      </c>
      <c r="AG866">
        <v>0</v>
      </c>
      <c r="AH866" s="1">
        <v>0</v>
      </c>
      <c r="AI866">
        <v>864</v>
      </c>
      <c r="AJ866">
        <v>0</v>
      </c>
      <c r="AK866">
        <v>0</v>
      </c>
      <c r="AL866">
        <v>0</v>
      </c>
      <c r="AM866">
        <v>0</v>
      </c>
      <c r="AN866">
        <v>0</v>
      </c>
      <c r="AO866" s="1">
        <v>0</v>
      </c>
    </row>
    <row r="867" spans="7:41" x14ac:dyDescent="0.35">
      <c r="G867">
        <v>865</v>
      </c>
      <c r="H867">
        <v>1</v>
      </c>
      <c r="I867">
        <v>0</v>
      </c>
      <c r="J867">
        <v>2</v>
      </c>
      <c r="K867">
        <v>2</v>
      </c>
      <c r="L867">
        <v>0</v>
      </c>
      <c r="M867" s="1">
        <v>300</v>
      </c>
      <c r="N867">
        <v>865</v>
      </c>
      <c r="O867">
        <v>0</v>
      </c>
      <c r="P867">
        <v>1</v>
      </c>
      <c r="Q867">
        <v>2</v>
      </c>
      <c r="R867">
        <v>0</v>
      </c>
      <c r="S867">
        <v>0</v>
      </c>
      <c r="T867" s="1">
        <v>240</v>
      </c>
      <c r="U867">
        <v>865</v>
      </c>
      <c r="V867">
        <v>0</v>
      </c>
      <c r="W867">
        <v>0</v>
      </c>
      <c r="X867">
        <v>1</v>
      </c>
      <c r="Y867">
        <v>0</v>
      </c>
      <c r="Z867">
        <v>0</v>
      </c>
      <c r="AA867" s="1">
        <v>100</v>
      </c>
      <c r="AB867">
        <v>865</v>
      </c>
      <c r="AC867">
        <v>0</v>
      </c>
      <c r="AD867">
        <v>0</v>
      </c>
      <c r="AE867">
        <v>0</v>
      </c>
      <c r="AF867">
        <v>0</v>
      </c>
      <c r="AG867">
        <v>0</v>
      </c>
      <c r="AH867" s="1">
        <v>0</v>
      </c>
      <c r="AI867">
        <v>865</v>
      </c>
      <c r="AJ867">
        <v>0</v>
      </c>
      <c r="AK867">
        <v>0</v>
      </c>
      <c r="AL867">
        <v>1</v>
      </c>
      <c r="AM867">
        <v>0</v>
      </c>
      <c r="AN867">
        <v>0</v>
      </c>
      <c r="AO867" s="1">
        <v>150</v>
      </c>
    </row>
    <row r="868" spans="7:41" x14ac:dyDescent="0.35">
      <c r="G868">
        <v>866</v>
      </c>
      <c r="H868">
        <v>0</v>
      </c>
      <c r="I868">
        <v>1</v>
      </c>
      <c r="J868">
        <v>0</v>
      </c>
      <c r="K868">
        <v>2</v>
      </c>
      <c r="L868">
        <v>3</v>
      </c>
      <c r="M868" s="1">
        <v>360</v>
      </c>
      <c r="N868">
        <v>866</v>
      </c>
      <c r="O868">
        <v>0</v>
      </c>
      <c r="P868">
        <v>1</v>
      </c>
      <c r="Q868">
        <v>0</v>
      </c>
      <c r="R868">
        <v>0</v>
      </c>
      <c r="S868">
        <v>1</v>
      </c>
      <c r="T868" s="1">
        <v>160</v>
      </c>
      <c r="U868">
        <v>866</v>
      </c>
      <c r="V868">
        <v>0</v>
      </c>
      <c r="W868">
        <v>0</v>
      </c>
      <c r="X868">
        <v>0</v>
      </c>
      <c r="Y868">
        <v>0</v>
      </c>
      <c r="Z868">
        <v>1</v>
      </c>
      <c r="AA868" s="1">
        <v>100</v>
      </c>
      <c r="AB868">
        <v>866</v>
      </c>
      <c r="AC868">
        <v>0</v>
      </c>
      <c r="AD868">
        <v>0</v>
      </c>
      <c r="AE868">
        <v>0</v>
      </c>
      <c r="AF868">
        <v>0</v>
      </c>
      <c r="AG868">
        <v>0</v>
      </c>
      <c r="AH868" s="1">
        <v>0</v>
      </c>
      <c r="AI868">
        <v>866</v>
      </c>
      <c r="AJ868">
        <v>0</v>
      </c>
      <c r="AK868">
        <v>0</v>
      </c>
      <c r="AL868">
        <v>3</v>
      </c>
      <c r="AM868">
        <v>0</v>
      </c>
      <c r="AN868">
        <v>0</v>
      </c>
      <c r="AO868" s="1">
        <v>450</v>
      </c>
    </row>
    <row r="869" spans="7:41" x14ac:dyDescent="0.35">
      <c r="G869">
        <v>867</v>
      </c>
      <c r="H869">
        <v>1</v>
      </c>
      <c r="I869">
        <v>0</v>
      </c>
      <c r="J869">
        <v>1</v>
      </c>
      <c r="K869">
        <v>3</v>
      </c>
      <c r="L869">
        <v>2</v>
      </c>
      <c r="M869" s="1">
        <v>420</v>
      </c>
      <c r="N869">
        <v>867</v>
      </c>
      <c r="O869">
        <v>0</v>
      </c>
      <c r="P869">
        <v>0</v>
      </c>
      <c r="Q869">
        <v>1</v>
      </c>
      <c r="R869">
        <v>0</v>
      </c>
      <c r="S869">
        <v>0</v>
      </c>
      <c r="T869" s="1">
        <v>80</v>
      </c>
      <c r="U869">
        <v>867</v>
      </c>
      <c r="V869">
        <v>0</v>
      </c>
      <c r="W869">
        <v>0</v>
      </c>
      <c r="X869">
        <v>1</v>
      </c>
      <c r="Y869">
        <v>0</v>
      </c>
      <c r="Z869">
        <v>0</v>
      </c>
      <c r="AA869" s="1">
        <v>100</v>
      </c>
      <c r="AB869">
        <v>867</v>
      </c>
      <c r="AC869">
        <v>0</v>
      </c>
      <c r="AD869">
        <v>0</v>
      </c>
      <c r="AE869">
        <v>0</v>
      </c>
      <c r="AF869">
        <v>0</v>
      </c>
      <c r="AG869">
        <v>0</v>
      </c>
      <c r="AH869" s="1">
        <v>0</v>
      </c>
      <c r="AI869">
        <v>867</v>
      </c>
      <c r="AJ869">
        <v>0</v>
      </c>
      <c r="AK869">
        <v>0</v>
      </c>
      <c r="AL869">
        <v>0</v>
      </c>
      <c r="AM869">
        <v>0</v>
      </c>
      <c r="AN869">
        <v>0</v>
      </c>
      <c r="AO869" s="1">
        <v>0</v>
      </c>
    </row>
    <row r="870" spans="7:41" x14ac:dyDescent="0.35">
      <c r="G870">
        <v>868</v>
      </c>
      <c r="H870">
        <v>1</v>
      </c>
      <c r="I870">
        <v>0</v>
      </c>
      <c r="J870">
        <v>0</v>
      </c>
      <c r="K870">
        <v>0</v>
      </c>
      <c r="L870">
        <v>0</v>
      </c>
      <c r="M870" s="1">
        <v>60</v>
      </c>
      <c r="N870">
        <v>868</v>
      </c>
      <c r="O870">
        <v>0</v>
      </c>
      <c r="P870">
        <v>0</v>
      </c>
      <c r="Q870">
        <v>1</v>
      </c>
      <c r="R870">
        <v>0</v>
      </c>
      <c r="S870">
        <v>1</v>
      </c>
      <c r="T870" s="1">
        <v>160</v>
      </c>
      <c r="U870">
        <v>868</v>
      </c>
      <c r="V870">
        <v>0</v>
      </c>
      <c r="W870">
        <v>1</v>
      </c>
      <c r="X870">
        <v>0</v>
      </c>
      <c r="Y870">
        <v>0</v>
      </c>
      <c r="Z870">
        <v>0</v>
      </c>
      <c r="AA870" s="1">
        <v>100</v>
      </c>
      <c r="AB870">
        <v>868</v>
      </c>
      <c r="AC870">
        <v>0</v>
      </c>
      <c r="AD870">
        <v>0</v>
      </c>
      <c r="AE870">
        <v>0</v>
      </c>
      <c r="AF870">
        <v>0</v>
      </c>
      <c r="AG870">
        <v>1</v>
      </c>
      <c r="AH870" s="1">
        <v>120</v>
      </c>
      <c r="AI870">
        <v>868</v>
      </c>
      <c r="AJ870">
        <v>0</v>
      </c>
      <c r="AK870">
        <v>0</v>
      </c>
      <c r="AL870">
        <v>0</v>
      </c>
      <c r="AM870">
        <v>0</v>
      </c>
      <c r="AN870">
        <v>1</v>
      </c>
      <c r="AO870" s="1">
        <v>150</v>
      </c>
    </row>
    <row r="871" spans="7:41" x14ac:dyDescent="0.35">
      <c r="G871">
        <v>869</v>
      </c>
      <c r="H871">
        <v>0</v>
      </c>
      <c r="I871">
        <v>0</v>
      </c>
      <c r="J871">
        <v>0</v>
      </c>
      <c r="K871">
        <v>4</v>
      </c>
      <c r="L871">
        <v>0</v>
      </c>
      <c r="M871" s="1">
        <v>240</v>
      </c>
      <c r="N871">
        <v>869</v>
      </c>
      <c r="O871">
        <v>0</v>
      </c>
      <c r="P871">
        <v>0</v>
      </c>
      <c r="Q871">
        <v>0</v>
      </c>
      <c r="R871">
        <v>0</v>
      </c>
      <c r="S871">
        <v>0</v>
      </c>
      <c r="T871" s="1">
        <v>0</v>
      </c>
      <c r="U871">
        <v>869</v>
      </c>
      <c r="V871">
        <v>0</v>
      </c>
      <c r="W871">
        <v>2</v>
      </c>
      <c r="X871">
        <v>0</v>
      </c>
      <c r="Y871">
        <v>0</v>
      </c>
      <c r="Z871">
        <v>0</v>
      </c>
      <c r="AA871" s="1">
        <v>200</v>
      </c>
      <c r="AB871">
        <v>869</v>
      </c>
      <c r="AC871">
        <v>1</v>
      </c>
      <c r="AD871">
        <v>0</v>
      </c>
      <c r="AE871">
        <v>0</v>
      </c>
      <c r="AF871">
        <v>0</v>
      </c>
      <c r="AG871">
        <v>0</v>
      </c>
      <c r="AH871" s="1">
        <v>120</v>
      </c>
      <c r="AI871">
        <v>869</v>
      </c>
      <c r="AJ871">
        <v>0</v>
      </c>
      <c r="AK871">
        <v>0</v>
      </c>
      <c r="AL871">
        <v>3</v>
      </c>
      <c r="AM871">
        <v>0</v>
      </c>
      <c r="AN871">
        <v>0</v>
      </c>
      <c r="AO871" s="1">
        <v>450</v>
      </c>
    </row>
    <row r="872" spans="7:41" x14ac:dyDescent="0.35">
      <c r="G872">
        <v>870</v>
      </c>
      <c r="H872">
        <v>0</v>
      </c>
      <c r="I872">
        <v>2</v>
      </c>
      <c r="J872">
        <v>1</v>
      </c>
      <c r="K872">
        <v>4</v>
      </c>
      <c r="L872">
        <v>0</v>
      </c>
      <c r="M872" s="1">
        <v>420</v>
      </c>
      <c r="N872">
        <v>870</v>
      </c>
      <c r="O872">
        <v>0</v>
      </c>
      <c r="P872">
        <v>0</v>
      </c>
      <c r="Q872">
        <v>1</v>
      </c>
      <c r="R872">
        <v>0</v>
      </c>
      <c r="S872">
        <v>0</v>
      </c>
      <c r="T872" s="1">
        <v>80</v>
      </c>
      <c r="U872">
        <v>870</v>
      </c>
      <c r="V872">
        <v>0</v>
      </c>
      <c r="W872">
        <v>0</v>
      </c>
      <c r="X872">
        <v>0</v>
      </c>
      <c r="Y872">
        <v>0</v>
      </c>
      <c r="Z872">
        <v>1</v>
      </c>
      <c r="AA872" s="1">
        <v>100</v>
      </c>
      <c r="AB872">
        <v>870</v>
      </c>
      <c r="AC872">
        <v>0</v>
      </c>
      <c r="AD872">
        <v>0</v>
      </c>
      <c r="AE872">
        <v>0</v>
      </c>
      <c r="AF872">
        <v>0</v>
      </c>
      <c r="AG872">
        <v>0</v>
      </c>
      <c r="AH872" s="1">
        <v>0</v>
      </c>
      <c r="AI872">
        <v>870</v>
      </c>
      <c r="AJ872">
        <v>0</v>
      </c>
      <c r="AK872">
        <v>0</v>
      </c>
      <c r="AL872">
        <v>3</v>
      </c>
      <c r="AM872">
        <v>0</v>
      </c>
      <c r="AN872">
        <v>0</v>
      </c>
      <c r="AO872" s="1">
        <v>450</v>
      </c>
    </row>
    <row r="873" spans="7:41" x14ac:dyDescent="0.35">
      <c r="G873">
        <v>871</v>
      </c>
      <c r="H873">
        <v>0</v>
      </c>
      <c r="I873">
        <v>0</v>
      </c>
      <c r="J873">
        <v>1</v>
      </c>
      <c r="K873">
        <v>0</v>
      </c>
      <c r="L873">
        <v>0</v>
      </c>
      <c r="M873" s="1">
        <v>60</v>
      </c>
      <c r="N873">
        <v>871</v>
      </c>
      <c r="O873">
        <v>0</v>
      </c>
      <c r="P873">
        <v>1</v>
      </c>
      <c r="Q873">
        <v>0</v>
      </c>
      <c r="R873">
        <v>0</v>
      </c>
      <c r="S873">
        <v>0</v>
      </c>
      <c r="T873" s="1">
        <v>80</v>
      </c>
      <c r="U873">
        <v>871</v>
      </c>
      <c r="V873">
        <v>0</v>
      </c>
      <c r="W873">
        <v>0</v>
      </c>
      <c r="X873">
        <v>0</v>
      </c>
      <c r="Y873">
        <v>0</v>
      </c>
      <c r="Z873">
        <v>0</v>
      </c>
      <c r="AA873" s="1">
        <v>0</v>
      </c>
      <c r="AB873">
        <v>871</v>
      </c>
      <c r="AC873">
        <v>0</v>
      </c>
      <c r="AD873">
        <v>0</v>
      </c>
      <c r="AE873">
        <v>0</v>
      </c>
      <c r="AF873">
        <v>1</v>
      </c>
      <c r="AG873">
        <v>0</v>
      </c>
      <c r="AH873" s="1">
        <v>120</v>
      </c>
      <c r="AI873">
        <v>871</v>
      </c>
      <c r="AJ873">
        <v>0</v>
      </c>
      <c r="AK873">
        <v>0</v>
      </c>
      <c r="AL873">
        <v>2</v>
      </c>
      <c r="AM873">
        <v>0</v>
      </c>
      <c r="AN873">
        <v>0</v>
      </c>
      <c r="AO873" s="1">
        <v>300</v>
      </c>
    </row>
    <row r="874" spans="7:41" x14ac:dyDescent="0.35">
      <c r="G874">
        <v>872</v>
      </c>
      <c r="H874">
        <v>0</v>
      </c>
      <c r="I874">
        <v>0</v>
      </c>
      <c r="J874">
        <v>1</v>
      </c>
      <c r="K874">
        <v>2</v>
      </c>
      <c r="L874">
        <v>0</v>
      </c>
      <c r="M874" s="1">
        <v>180</v>
      </c>
      <c r="N874">
        <v>872</v>
      </c>
      <c r="O874">
        <v>0</v>
      </c>
      <c r="P874">
        <v>0</v>
      </c>
      <c r="Q874">
        <v>1</v>
      </c>
      <c r="R874">
        <v>3</v>
      </c>
      <c r="S874">
        <v>0</v>
      </c>
      <c r="T874" s="1">
        <v>320</v>
      </c>
      <c r="U874">
        <v>872</v>
      </c>
      <c r="V874">
        <v>0</v>
      </c>
      <c r="W874">
        <v>1</v>
      </c>
      <c r="X874">
        <v>1</v>
      </c>
      <c r="Y874">
        <v>0</v>
      </c>
      <c r="Z874">
        <v>0</v>
      </c>
      <c r="AA874" s="1">
        <v>200</v>
      </c>
      <c r="AB874">
        <v>872</v>
      </c>
      <c r="AC874">
        <v>0</v>
      </c>
      <c r="AD874">
        <v>0</v>
      </c>
      <c r="AE874">
        <v>0</v>
      </c>
      <c r="AF874">
        <v>0</v>
      </c>
      <c r="AG874">
        <v>1</v>
      </c>
      <c r="AH874" s="1">
        <v>120</v>
      </c>
      <c r="AI874">
        <v>872</v>
      </c>
      <c r="AJ874">
        <v>0</v>
      </c>
      <c r="AK874">
        <v>0</v>
      </c>
      <c r="AL874">
        <v>1</v>
      </c>
      <c r="AM874">
        <v>0</v>
      </c>
      <c r="AN874">
        <v>0</v>
      </c>
      <c r="AO874" s="1">
        <v>150</v>
      </c>
    </row>
    <row r="875" spans="7:41" x14ac:dyDescent="0.35">
      <c r="G875">
        <v>873</v>
      </c>
      <c r="H875">
        <v>0</v>
      </c>
      <c r="I875">
        <v>2</v>
      </c>
      <c r="J875">
        <v>1</v>
      </c>
      <c r="K875">
        <v>2</v>
      </c>
      <c r="L875">
        <v>1</v>
      </c>
      <c r="M875" s="1">
        <v>360</v>
      </c>
      <c r="N875">
        <v>873</v>
      </c>
      <c r="O875">
        <v>0</v>
      </c>
      <c r="P875">
        <v>0</v>
      </c>
      <c r="Q875">
        <v>3</v>
      </c>
      <c r="R875">
        <v>0</v>
      </c>
      <c r="S875">
        <v>1</v>
      </c>
      <c r="T875" s="1">
        <v>320</v>
      </c>
      <c r="U875">
        <v>873</v>
      </c>
      <c r="V875">
        <v>0</v>
      </c>
      <c r="W875">
        <v>0</v>
      </c>
      <c r="X875">
        <v>0</v>
      </c>
      <c r="Y875">
        <v>0</v>
      </c>
      <c r="Z875">
        <v>0</v>
      </c>
      <c r="AA875" s="1">
        <v>0</v>
      </c>
      <c r="AB875">
        <v>873</v>
      </c>
      <c r="AC875">
        <v>0</v>
      </c>
      <c r="AD875">
        <v>0</v>
      </c>
      <c r="AE875">
        <v>0</v>
      </c>
      <c r="AF875">
        <v>0</v>
      </c>
      <c r="AG875">
        <v>0</v>
      </c>
      <c r="AH875" s="1">
        <v>0</v>
      </c>
      <c r="AI875">
        <v>873</v>
      </c>
      <c r="AJ875">
        <v>0</v>
      </c>
      <c r="AK875">
        <v>0</v>
      </c>
      <c r="AL875">
        <v>3</v>
      </c>
      <c r="AM875">
        <v>0</v>
      </c>
      <c r="AN875">
        <v>0</v>
      </c>
      <c r="AO875" s="1">
        <v>450</v>
      </c>
    </row>
    <row r="876" spans="7:41" x14ac:dyDescent="0.35">
      <c r="G876">
        <v>874</v>
      </c>
      <c r="H876">
        <v>0</v>
      </c>
      <c r="I876">
        <v>1</v>
      </c>
      <c r="J876">
        <v>2</v>
      </c>
      <c r="K876">
        <v>4</v>
      </c>
      <c r="L876">
        <v>1</v>
      </c>
      <c r="M876" s="1">
        <v>480</v>
      </c>
      <c r="N876">
        <v>874</v>
      </c>
      <c r="O876">
        <v>0</v>
      </c>
      <c r="P876">
        <v>1</v>
      </c>
      <c r="Q876">
        <v>2</v>
      </c>
      <c r="R876">
        <v>0</v>
      </c>
      <c r="S876">
        <v>0</v>
      </c>
      <c r="T876" s="1">
        <v>240</v>
      </c>
      <c r="U876">
        <v>874</v>
      </c>
      <c r="V876">
        <v>0</v>
      </c>
      <c r="W876">
        <v>0</v>
      </c>
      <c r="X876">
        <v>0</v>
      </c>
      <c r="Y876">
        <v>0</v>
      </c>
      <c r="Z876">
        <v>0</v>
      </c>
      <c r="AA876" s="1">
        <v>0</v>
      </c>
      <c r="AB876">
        <v>874</v>
      </c>
      <c r="AC876">
        <v>0</v>
      </c>
      <c r="AD876">
        <v>1</v>
      </c>
      <c r="AE876">
        <v>0</v>
      </c>
      <c r="AF876">
        <v>0</v>
      </c>
      <c r="AG876">
        <v>0</v>
      </c>
      <c r="AH876" s="1">
        <v>120</v>
      </c>
      <c r="AI876">
        <v>874</v>
      </c>
      <c r="AJ876">
        <v>0</v>
      </c>
      <c r="AK876">
        <v>0</v>
      </c>
      <c r="AL876">
        <v>0</v>
      </c>
      <c r="AM876">
        <v>0</v>
      </c>
      <c r="AN876">
        <v>0</v>
      </c>
      <c r="AO876" s="1">
        <v>0</v>
      </c>
    </row>
    <row r="877" spans="7:41" x14ac:dyDescent="0.35">
      <c r="G877">
        <v>875</v>
      </c>
      <c r="H877">
        <v>1</v>
      </c>
      <c r="I877">
        <v>0</v>
      </c>
      <c r="J877">
        <v>0</v>
      </c>
      <c r="K877">
        <v>2</v>
      </c>
      <c r="L877">
        <v>0</v>
      </c>
      <c r="M877" s="1">
        <v>180</v>
      </c>
      <c r="N877">
        <v>875</v>
      </c>
      <c r="O877">
        <v>0</v>
      </c>
      <c r="P877">
        <v>0</v>
      </c>
      <c r="Q877">
        <v>0</v>
      </c>
      <c r="R877">
        <v>1</v>
      </c>
      <c r="S877">
        <v>1</v>
      </c>
      <c r="T877" s="1">
        <v>160</v>
      </c>
      <c r="U877">
        <v>875</v>
      </c>
      <c r="V877">
        <v>0</v>
      </c>
      <c r="W877">
        <v>0</v>
      </c>
      <c r="X877">
        <v>0</v>
      </c>
      <c r="Y877">
        <v>0</v>
      </c>
      <c r="Z877">
        <v>0</v>
      </c>
      <c r="AA877" s="1">
        <v>0</v>
      </c>
      <c r="AB877">
        <v>875</v>
      </c>
      <c r="AC877">
        <v>0</v>
      </c>
      <c r="AD877">
        <v>0</v>
      </c>
      <c r="AE877">
        <v>0</v>
      </c>
      <c r="AF877">
        <v>0</v>
      </c>
      <c r="AG877">
        <v>0</v>
      </c>
      <c r="AH877" s="1">
        <v>0</v>
      </c>
      <c r="AI877">
        <v>875</v>
      </c>
      <c r="AJ877">
        <v>0</v>
      </c>
      <c r="AK877">
        <v>0</v>
      </c>
      <c r="AL877">
        <v>2</v>
      </c>
      <c r="AM877">
        <v>0</v>
      </c>
      <c r="AN877">
        <v>0</v>
      </c>
      <c r="AO877" s="1">
        <v>300</v>
      </c>
    </row>
    <row r="878" spans="7:41" x14ac:dyDescent="0.35">
      <c r="G878">
        <v>876</v>
      </c>
      <c r="H878">
        <v>0</v>
      </c>
      <c r="I878">
        <v>0</v>
      </c>
      <c r="J878">
        <v>0</v>
      </c>
      <c r="K878">
        <v>2</v>
      </c>
      <c r="L878">
        <v>1</v>
      </c>
      <c r="M878" s="1">
        <v>180</v>
      </c>
      <c r="N878">
        <v>876</v>
      </c>
      <c r="O878">
        <v>0</v>
      </c>
      <c r="P878">
        <v>0</v>
      </c>
      <c r="Q878">
        <v>2</v>
      </c>
      <c r="R878">
        <v>0</v>
      </c>
      <c r="S878">
        <v>0</v>
      </c>
      <c r="T878" s="1">
        <v>160</v>
      </c>
      <c r="U878">
        <v>876</v>
      </c>
      <c r="V878">
        <v>0</v>
      </c>
      <c r="W878">
        <v>0</v>
      </c>
      <c r="X878">
        <v>0</v>
      </c>
      <c r="Y878">
        <v>0</v>
      </c>
      <c r="Z878">
        <v>0</v>
      </c>
      <c r="AA878" s="1">
        <v>0</v>
      </c>
      <c r="AB878">
        <v>876</v>
      </c>
      <c r="AC878">
        <v>0</v>
      </c>
      <c r="AD878">
        <v>0</v>
      </c>
      <c r="AE878">
        <v>0</v>
      </c>
      <c r="AF878">
        <v>0</v>
      </c>
      <c r="AG878">
        <v>0</v>
      </c>
      <c r="AH878" s="1">
        <v>0</v>
      </c>
      <c r="AI878">
        <v>876</v>
      </c>
      <c r="AJ878">
        <v>0</v>
      </c>
      <c r="AK878">
        <v>0</v>
      </c>
      <c r="AL878">
        <v>1</v>
      </c>
      <c r="AM878">
        <v>0</v>
      </c>
      <c r="AN878">
        <v>0</v>
      </c>
      <c r="AO878" s="1">
        <v>150</v>
      </c>
    </row>
    <row r="879" spans="7:41" x14ac:dyDescent="0.35">
      <c r="G879">
        <v>877</v>
      </c>
      <c r="H879">
        <v>0</v>
      </c>
      <c r="I879">
        <v>1</v>
      </c>
      <c r="J879">
        <v>1</v>
      </c>
      <c r="K879">
        <v>2</v>
      </c>
      <c r="L879">
        <v>1</v>
      </c>
      <c r="M879" s="1">
        <v>300</v>
      </c>
      <c r="N879">
        <v>877</v>
      </c>
      <c r="O879">
        <v>0</v>
      </c>
      <c r="P879">
        <v>0</v>
      </c>
      <c r="Q879">
        <v>0</v>
      </c>
      <c r="R879">
        <v>0</v>
      </c>
      <c r="S879">
        <v>0</v>
      </c>
      <c r="T879" s="1">
        <v>0</v>
      </c>
      <c r="U879">
        <v>877</v>
      </c>
      <c r="V879">
        <v>1</v>
      </c>
      <c r="W879">
        <v>0</v>
      </c>
      <c r="X879">
        <v>0</v>
      </c>
      <c r="Y879">
        <v>0</v>
      </c>
      <c r="Z879">
        <v>0</v>
      </c>
      <c r="AA879" s="1">
        <v>100</v>
      </c>
      <c r="AB879">
        <v>877</v>
      </c>
      <c r="AC879">
        <v>0</v>
      </c>
      <c r="AD879">
        <v>0</v>
      </c>
      <c r="AE879">
        <v>0</v>
      </c>
      <c r="AF879">
        <v>0</v>
      </c>
      <c r="AG879">
        <v>1</v>
      </c>
      <c r="AH879" s="1">
        <v>120</v>
      </c>
      <c r="AI879">
        <v>877</v>
      </c>
      <c r="AJ879">
        <v>0</v>
      </c>
      <c r="AK879">
        <v>0</v>
      </c>
      <c r="AL879">
        <v>0</v>
      </c>
      <c r="AM879">
        <v>0</v>
      </c>
      <c r="AN879">
        <v>0</v>
      </c>
      <c r="AO879" s="1">
        <v>0</v>
      </c>
    </row>
    <row r="880" spans="7:41" x14ac:dyDescent="0.35">
      <c r="G880">
        <v>878</v>
      </c>
      <c r="H880">
        <v>0</v>
      </c>
      <c r="I880">
        <v>0</v>
      </c>
      <c r="J880">
        <v>2</v>
      </c>
      <c r="K880">
        <v>2</v>
      </c>
      <c r="L880">
        <v>0</v>
      </c>
      <c r="M880" s="1">
        <v>240</v>
      </c>
      <c r="N880">
        <v>878</v>
      </c>
      <c r="O880">
        <v>0</v>
      </c>
      <c r="P880">
        <v>0</v>
      </c>
      <c r="Q880">
        <v>3</v>
      </c>
      <c r="R880">
        <v>0</v>
      </c>
      <c r="S880">
        <v>1</v>
      </c>
      <c r="T880" s="1">
        <v>320</v>
      </c>
      <c r="U880">
        <v>878</v>
      </c>
      <c r="V880">
        <v>0</v>
      </c>
      <c r="W880">
        <v>1</v>
      </c>
      <c r="X880">
        <v>0</v>
      </c>
      <c r="Y880">
        <v>0</v>
      </c>
      <c r="Z880">
        <v>0</v>
      </c>
      <c r="AA880" s="1">
        <v>100</v>
      </c>
      <c r="AB880">
        <v>878</v>
      </c>
      <c r="AC880">
        <v>0</v>
      </c>
      <c r="AD880">
        <v>0</v>
      </c>
      <c r="AE880">
        <v>0</v>
      </c>
      <c r="AF880">
        <v>0</v>
      </c>
      <c r="AG880">
        <v>0</v>
      </c>
      <c r="AH880" s="1">
        <v>0</v>
      </c>
      <c r="AI880">
        <v>878</v>
      </c>
      <c r="AJ880">
        <v>0</v>
      </c>
      <c r="AK880">
        <v>0</v>
      </c>
      <c r="AL880">
        <v>1</v>
      </c>
      <c r="AM880">
        <v>0</v>
      </c>
      <c r="AN880">
        <v>0</v>
      </c>
      <c r="AO880" s="1">
        <v>150</v>
      </c>
    </row>
    <row r="881" spans="7:41" x14ac:dyDescent="0.35">
      <c r="G881">
        <v>879</v>
      </c>
      <c r="H881">
        <v>0</v>
      </c>
      <c r="I881">
        <v>0</v>
      </c>
      <c r="J881">
        <v>2</v>
      </c>
      <c r="K881">
        <v>3</v>
      </c>
      <c r="L881">
        <v>0</v>
      </c>
      <c r="M881" s="1">
        <v>300</v>
      </c>
      <c r="N881">
        <v>879</v>
      </c>
      <c r="O881">
        <v>0</v>
      </c>
      <c r="P881">
        <v>0</v>
      </c>
      <c r="Q881">
        <v>0</v>
      </c>
      <c r="R881">
        <v>0</v>
      </c>
      <c r="S881">
        <v>0</v>
      </c>
      <c r="T881" s="1">
        <v>0</v>
      </c>
      <c r="U881">
        <v>879</v>
      </c>
      <c r="V881">
        <v>0</v>
      </c>
      <c r="W881">
        <v>0</v>
      </c>
      <c r="X881">
        <v>0</v>
      </c>
      <c r="Y881">
        <v>0</v>
      </c>
      <c r="Z881">
        <v>0</v>
      </c>
      <c r="AA881" s="1">
        <v>0</v>
      </c>
      <c r="AB881">
        <v>879</v>
      </c>
      <c r="AC881">
        <v>0</v>
      </c>
      <c r="AD881">
        <v>0</v>
      </c>
      <c r="AE881">
        <v>0</v>
      </c>
      <c r="AF881">
        <v>0</v>
      </c>
      <c r="AG881">
        <v>0</v>
      </c>
      <c r="AH881" s="1">
        <v>0</v>
      </c>
      <c r="AI881">
        <v>879</v>
      </c>
      <c r="AJ881">
        <v>0</v>
      </c>
      <c r="AK881">
        <v>0</v>
      </c>
      <c r="AL881">
        <v>1</v>
      </c>
      <c r="AM881">
        <v>0</v>
      </c>
      <c r="AN881">
        <v>0</v>
      </c>
      <c r="AO881" s="1">
        <v>150</v>
      </c>
    </row>
    <row r="882" spans="7:41" x14ac:dyDescent="0.35">
      <c r="G882">
        <v>880</v>
      </c>
      <c r="H882">
        <v>0</v>
      </c>
      <c r="I882">
        <v>0</v>
      </c>
      <c r="J882">
        <v>0</v>
      </c>
      <c r="K882">
        <v>2</v>
      </c>
      <c r="L882">
        <v>2</v>
      </c>
      <c r="M882" s="1">
        <v>240</v>
      </c>
      <c r="N882">
        <v>880</v>
      </c>
      <c r="O882">
        <v>0</v>
      </c>
      <c r="P882">
        <v>0</v>
      </c>
      <c r="Q882">
        <v>3</v>
      </c>
      <c r="R882">
        <v>0</v>
      </c>
      <c r="S882">
        <v>0</v>
      </c>
      <c r="T882" s="1">
        <v>240</v>
      </c>
      <c r="U882">
        <v>880</v>
      </c>
      <c r="V882">
        <v>0</v>
      </c>
      <c r="W882">
        <v>2</v>
      </c>
      <c r="X882">
        <v>0</v>
      </c>
      <c r="Y882">
        <v>0</v>
      </c>
      <c r="Z882">
        <v>0</v>
      </c>
      <c r="AA882" s="1">
        <v>200</v>
      </c>
      <c r="AB882">
        <v>880</v>
      </c>
      <c r="AC882">
        <v>0</v>
      </c>
      <c r="AD882">
        <v>0</v>
      </c>
      <c r="AE882">
        <v>0</v>
      </c>
      <c r="AF882">
        <v>0</v>
      </c>
      <c r="AG882">
        <v>0</v>
      </c>
      <c r="AH882" s="1">
        <v>0</v>
      </c>
      <c r="AI882">
        <v>880</v>
      </c>
      <c r="AJ882">
        <v>0</v>
      </c>
      <c r="AK882">
        <v>0</v>
      </c>
      <c r="AL882">
        <v>2</v>
      </c>
      <c r="AM882">
        <v>0</v>
      </c>
      <c r="AN882">
        <v>0</v>
      </c>
      <c r="AO882" s="1">
        <v>300</v>
      </c>
    </row>
    <row r="883" spans="7:41" x14ac:dyDescent="0.35">
      <c r="G883">
        <v>881</v>
      </c>
      <c r="H883">
        <v>0</v>
      </c>
      <c r="I883">
        <v>2</v>
      </c>
      <c r="J883">
        <v>0</v>
      </c>
      <c r="K883">
        <v>2</v>
      </c>
      <c r="L883">
        <v>0</v>
      </c>
      <c r="M883" s="1">
        <v>240</v>
      </c>
      <c r="N883">
        <v>881</v>
      </c>
      <c r="O883">
        <v>0</v>
      </c>
      <c r="P883">
        <v>1</v>
      </c>
      <c r="Q883">
        <v>0</v>
      </c>
      <c r="R883">
        <v>0</v>
      </c>
      <c r="S883">
        <v>0</v>
      </c>
      <c r="T883" s="1">
        <v>80</v>
      </c>
      <c r="U883">
        <v>881</v>
      </c>
      <c r="V883">
        <v>1</v>
      </c>
      <c r="W883">
        <v>2</v>
      </c>
      <c r="X883">
        <v>0</v>
      </c>
      <c r="Y883">
        <v>1</v>
      </c>
      <c r="Z883">
        <v>0</v>
      </c>
      <c r="AA883" s="1">
        <v>400</v>
      </c>
      <c r="AB883">
        <v>881</v>
      </c>
      <c r="AC883">
        <v>0</v>
      </c>
      <c r="AD883">
        <v>1</v>
      </c>
      <c r="AE883">
        <v>0</v>
      </c>
      <c r="AF883">
        <v>0</v>
      </c>
      <c r="AG883">
        <v>0</v>
      </c>
      <c r="AH883" s="1">
        <v>120</v>
      </c>
      <c r="AI883">
        <v>881</v>
      </c>
      <c r="AJ883">
        <v>0</v>
      </c>
      <c r="AK883">
        <v>0</v>
      </c>
      <c r="AL883">
        <v>0</v>
      </c>
      <c r="AM883">
        <v>0</v>
      </c>
      <c r="AN883">
        <v>0</v>
      </c>
      <c r="AO883" s="1">
        <v>0</v>
      </c>
    </row>
    <row r="884" spans="7:41" x14ac:dyDescent="0.35">
      <c r="G884">
        <v>882</v>
      </c>
      <c r="H884">
        <v>0</v>
      </c>
      <c r="I884">
        <v>5</v>
      </c>
      <c r="J884">
        <v>0</v>
      </c>
      <c r="K884">
        <v>0</v>
      </c>
      <c r="L884">
        <v>0</v>
      </c>
      <c r="M884" s="1">
        <v>300</v>
      </c>
      <c r="N884">
        <v>882</v>
      </c>
      <c r="O884">
        <v>0</v>
      </c>
      <c r="P884">
        <v>0</v>
      </c>
      <c r="Q884">
        <v>0</v>
      </c>
      <c r="R884">
        <v>3</v>
      </c>
      <c r="S884">
        <v>0</v>
      </c>
      <c r="T884" s="1">
        <v>240</v>
      </c>
      <c r="U884">
        <v>882</v>
      </c>
      <c r="V884">
        <v>0</v>
      </c>
      <c r="W884">
        <v>1</v>
      </c>
      <c r="X884">
        <v>1</v>
      </c>
      <c r="Y884">
        <v>0</v>
      </c>
      <c r="Z884">
        <v>0</v>
      </c>
      <c r="AA884" s="1">
        <v>200</v>
      </c>
      <c r="AB884">
        <v>882</v>
      </c>
      <c r="AC884">
        <v>0</v>
      </c>
      <c r="AD884">
        <v>0</v>
      </c>
      <c r="AE884">
        <v>0</v>
      </c>
      <c r="AF884">
        <v>0</v>
      </c>
      <c r="AG884">
        <v>0</v>
      </c>
      <c r="AH884" s="1">
        <v>0</v>
      </c>
      <c r="AI884">
        <v>882</v>
      </c>
      <c r="AJ884">
        <v>0</v>
      </c>
      <c r="AK884">
        <v>0</v>
      </c>
      <c r="AL884">
        <v>1</v>
      </c>
      <c r="AM884">
        <v>0</v>
      </c>
      <c r="AN884">
        <v>0</v>
      </c>
      <c r="AO884" s="1">
        <v>150</v>
      </c>
    </row>
    <row r="885" spans="7:41" x14ac:dyDescent="0.35">
      <c r="G885">
        <v>883</v>
      </c>
      <c r="H885">
        <v>1</v>
      </c>
      <c r="I885">
        <v>1</v>
      </c>
      <c r="J885">
        <v>2</v>
      </c>
      <c r="K885">
        <v>3</v>
      </c>
      <c r="L885">
        <v>1</v>
      </c>
      <c r="M885" s="1">
        <v>480</v>
      </c>
      <c r="N885">
        <v>883</v>
      </c>
      <c r="O885">
        <v>0</v>
      </c>
      <c r="P885">
        <v>1</v>
      </c>
      <c r="Q885">
        <v>0</v>
      </c>
      <c r="R885">
        <v>0</v>
      </c>
      <c r="S885">
        <v>0</v>
      </c>
      <c r="T885" s="1">
        <v>80</v>
      </c>
      <c r="U885">
        <v>883</v>
      </c>
      <c r="V885">
        <v>0</v>
      </c>
      <c r="W885">
        <v>0</v>
      </c>
      <c r="X885">
        <v>0</v>
      </c>
      <c r="Y885">
        <v>0</v>
      </c>
      <c r="Z885">
        <v>1</v>
      </c>
      <c r="AA885" s="1">
        <v>100</v>
      </c>
      <c r="AB885">
        <v>883</v>
      </c>
      <c r="AC885">
        <v>0</v>
      </c>
      <c r="AD885">
        <v>0</v>
      </c>
      <c r="AE885">
        <v>0</v>
      </c>
      <c r="AF885">
        <v>1</v>
      </c>
      <c r="AG885">
        <v>0</v>
      </c>
      <c r="AH885" s="1">
        <v>120</v>
      </c>
      <c r="AI885">
        <v>883</v>
      </c>
      <c r="AJ885">
        <v>0</v>
      </c>
      <c r="AK885">
        <v>0</v>
      </c>
      <c r="AL885">
        <v>3</v>
      </c>
      <c r="AM885">
        <v>0</v>
      </c>
      <c r="AN885">
        <v>0</v>
      </c>
      <c r="AO885" s="1">
        <v>450</v>
      </c>
    </row>
    <row r="886" spans="7:41" x14ac:dyDescent="0.35">
      <c r="G886">
        <v>884</v>
      </c>
      <c r="H886">
        <v>0</v>
      </c>
      <c r="I886">
        <v>1</v>
      </c>
      <c r="J886">
        <v>2</v>
      </c>
      <c r="K886">
        <v>3</v>
      </c>
      <c r="L886">
        <v>0</v>
      </c>
      <c r="M886" s="1">
        <v>360</v>
      </c>
      <c r="N886">
        <v>884</v>
      </c>
      <c r="O886">
        <v>0</v>
      </c>
      <c r="P886">
        <v>0</v>
      </c>
      <c r="Q886">
        <v>0</v>
      </c>
      <c r="R886">
        <v>0</v>
      </c>
      <c r="S886">
        <v>0</v>
      </c>
      <c r="T886" s="1">
        <v>0</v>
      </c>
      <c r="U886">
        <v>884</v>
      </c>
      <c r="V886">
        <v>0</v>
      </c>
      <c r="W886">
        <v>0</v>
      </c>
      <c r="X886">
        <v>0</v>
      </c>
      <c r="Y886">
        <v>0</v>
      </c>
      <c r="Z886">
        <v>0</v>
      </c>
      <c r="AA886" s="1">
        <v>0</v>
      </c>
      <c r="AB886">
        <v>884</v>
      </c>
      <c r="AC886">
        <v>0</v>
      </c>
      <c r="AD886">
        <v>0</v>
      </c>
      <c r="AE886">
        <v>0</v>
      </c>
      <c r="AF886">
        <v>0</v>
      </c>
      <c r="AG886">
        <v>0</v>
      </c>
      <c r="AH886" s="1">
        <v>0</v>
      </c>
      <c r="AI886">
        <v>884</v>
      </c>
      <c r="AJ886">
        <v>0</v>
      </c>
      <c r="AK886">
        <v>0</v>
      </c>
      <c r="AL886">
        <v>0</v>
      </c>
      <c r="AM886">
        <v>0</v>
      </c>
      <c r="AN886">
        <v>0</v>
      </c>
      <c r="AO886" s="1">
        <v>0</v>
      </c>
    </row>
    <row r="887" spans="7:41" x14ac:dyDescent="0.35">
      <c r="G887">
        <v>885</v>
      </c>
      <c r="H887">
        <v>0</v>
      </c>
      <c r="I887">
        <v>0</v>
      </c>
      <c r="J887">
        <v>0</v>
      </c>
      <c r="K887">
        <v>0</v>
      </c>
      <c r="L887">
        <v>0</v>
      </c>
      <c r="M887" s="1">
        <v>0</v>
      </c>
      <c r="N887">
        <v>885</v>
      </c>
      <c r="O887">
        <v>0</v>
      </c>
      <c r="P887">
        <v>0</v>
      </c>
      <c r="Q887">
        <v>2</v>
      </c>
      <c r="R887">
        <v>0</v>
      </c>
      <c r="S887">
        <v>0</v>
      </c>
      <c r="T887" s="1">
        <v>160</v>
      </c>
      <c r="U887">
        <v>885</v>
      </c>
      <c r="V887">
        <v>0</v>
      </c>
      <c r="W887">
        <v>2</v>
      </c>
      <c r="X887">
        <v>0</v>
      </c>
      <c r="Y887">
        <v>0</v>
      </c>
      <c r="Z887">
        <v>0</v>
      </c>
      <c r="AA887" s="1">
        <v>200</v>
      </c>
      <c r="AB887">
        <v>885</v>
      </c>
      <c r="AC887">
        <v>0</v>
      </c>
      <c r="AD887">
        <v>0</v>
      </c>
      <c r="AE887">
        <v>0</v>
      </c>
      <c r="AF887">
        <v>0</v>
      </c>
      <c r="AG887">
        <v>0</v>
      </c>
      <c r="AH887" s="1">
        <v>0</v>
      </c>
      <c r="AI887">
        <v>885</v>
      </c>
      <c r="AJ887">
        <v>0</v>
      </c>
      <c r="AK887">
        <v>0</v>
      </c>
      <c r="AL887">
        <v>0</v>
      </c>
      <c r="AM887">
        <v>0</v>
      </c>
      <c r="AN887">
        <v>0</v>
      </c>
      <c r="AO887" s="1">
        <v>0</v>
      </c>
    </row>
    <row r="888" spans="7:41" x14ac:dyDescent="0.35">
      <c r="G888">
        <v>886</v>
      </c>
      <c r="H888">
        <v>0</v>
      </c>
      <c r="I888">
        <v>1</v>
      </c>
      <c r="J888">
        <v>3</v>
      </c>
      <c r="K888">
        <v>0</v>
      </c>
      <c r="L888">
        <v>2</v>
      </c>
      <c r="M888" s="1">
        <v>360</v>
      </c>
      <c r="N888">
        <v>886</v>
      </c>
      <c r="O888">
        <v>0</v>
      </c>
      <c r="P888">
        <v>0</v>
      </c>
      <c r="Q888">
        <v>1</v>
      </c>
      <c r="R888">
        <v>0</v>
      </c>
      <c r="S888">
        <v>0</v>
      </c>
      <c r="T888" s="1">
        <v>80</v>
      </c>
      <c r="U888">
        <v>886</v>
      </c>
      <c r="V888">
        <v>0</v>
      </c>
      <c r="W888">
        <v>0</v>
      </c>
      <c r="X888">
        <v>1</v>
      </c>
      <c r="Y888">
        <v>0</v>
      </c>
      <c r="Z888">
        <v>0</v>
      </c>
      <c r="AA888" s="1">
        <v>100</v>
      </c>
      <c r="AB888">
        <v>886</v>
      </c>
      <c r="AC888">
        <v>0</v>
      </c>
      <c r="AD888">
        <v>0</v>
      </c>
      <c r="AE888">
        <v>0</v>
      </c>
      <c r="AF888">
        <v>0</v>
      </c>
      <c r="AG888">
        <v>0</v>
      </c>
      <c r="AH888" s="1">
        <v>0</v>
      </c>
      <c r="AI888">
        <v>886</v>
      </c>
      <c r="AJ888">
        <v>0</v>
      </c>
      <c r="AK888">
        <v>0</v>
      </c>
      <c r="AL888">
        <v>0</v>
      </c>
      <c r="AM888">
        <v>0</v>
      </c>
      <c r="AN888">
        <v>0</v>
      </c>
      <c r="AO888" s="1">
        <v>0</v>
      </c>
    </row>
    <row r="889" spans="7:41" x14ac:dyDescent="0.35">
      <c r="G889">
        <v>887</v>
      </c>
      <c r="H889">
        <v>0</v>
      </c>
      <c r="I889">
        <v>0</v>
      </c>
      <c r="J889">
        <v>1</v>
      </c>
      <c r="K889">
        <v>0</v>
      </c>
      <c r="L889">
        <v>0</v>
      </c>
      <c r="M889" s="1">
        <v>60</v>
      </c>
      <c r="N889">
        <v>887</v>
      </c>
      <c r="O889">
        <v>0</v>
      </c>
      <c r="P889">
        <v>0</v>
      </c>
      <c r="Q889">
        <v>0</v>
      </c>
      <c r="R889">
        <v>0</v>
      </c>
      <c r="S889">
        <v>0</v>
      </c>
      <c r="T889" s="1">
        <v>0</v>
      </c>
      <c r="U889">
        <v>887</v>
      </c>
      <c r="V889">
        <v>0</v>
      </c>
      <c r="W889">
        <v>0</v>
      </c>
      <c r="X889">
        <v>0</v>
      </c>
      <c r="Y889">
        <v>0</v>
      </c>
      <c r="Z889">
        <v>0</v>
      </c>
      <c r="AA889" s="1">
        <v>0</v>
      </c>
      <c r="AB889">
        <v>887</v>
      </c>
      <c r="AC889">
        <v>0</v>
      </c>
      <c r="AD889">
        <v>0</v>
      </c>
      <c r="AE889">
        <v>0</v>
      </c>
      <c r="AF889">
        <v>0</v>
      </c>
      <c r="AG889">
        <v>0</v>
      </c>
      <c r="AH889" s="1">
        <v>0</v>
      </c>
      <c r="AI889">
        <v>887</v>
      </c>
      <c r="AJ889">
        <v>0</v>
      </c>
      <c r="AK889">
        <v>0</v>
      </c>
      <c r="AL889">
        <v>1</v>
      </c>
      <c r="AM889">
        <v>0</v>
      </c>
      <c r="AN889">
        <v>0</v>
      </c>
      <c r="AO889" s="1">
        <v>150</v>
      </c>
    </row>
    <row r="890" spans="7:41" x14ac:dyDescent="0.35">
      <c r="G890">
        <v>888</v>
      </c>
      <c r="H890">
        <v>0</v>
      </c>
      <c r="I890">
        <v>0</v>
      </c>
      <c r="J890">
        <v>1</v>
      </c>
      <c r="K890">
        <v>0</v>
      </c>
      <c r="L890">
        <v>2</v>
      </c>
      <c r="M890" s="1">
        <v>180</v>
      </c>
      <c r="N890">
        <v>888</v>
      </c>
      <c r="O890">
        <v>0</v>
      </c>
      <c r="P890">
        <v>1</v>
      </c>
      <c r="Q890">
        <v>0</v>
      </c>
      <c r="R890">
        <v>0</v>
      </c>
      <c r="S890">
        <v>0</v>
      </c>
      <c r="T890" s="1">
        <v>80</v>
      </c>
      <c r="U890">
        <v>888</v>
      </c>
      <c r="V890">
        <v>0</v>
      </c>
      <c r="W890">
        <v>2</v>
      </c>
      <c r="X890">
        <v>1</v>
      </c>
      <c r="Y890">
        <v>0</v>
      </c>
      <c r="Z890">
        <v>1</v>
      </c>
      <c r="AA890" s="1">
        <v>400</v>
      </c>
      <c r="AB890">
        <v>888</v>
      </c>
      <c r="AC890">
        <v>0</v>
      </c>
      <c r="AD890">
        <v>0</v>
      </c>
      <c r="AE890">
        <v>0</v>
      </c>
      <c r="AF890">
        <v>0</v>
      </c>
      <c r="AG890">
        <v>0</v>
      </c>
      <c r="AH890" s="1">
        <v>0</v>
      </c>
      <c r="AI890">
        <v>888</v>
      </c>
      <c r="AJ890">
        <v>0</v>
      </c>
      <c r="AK890">
        <v>0</v>
      </c>
      <c r="AL890">
        <v>0</v>
      </c>
      <c r="AM890">
        <v>0</v>
      </c>
      <c r="AN890">
        <v>0</v>
      </c>
      <c r="AO890" s="1">
        <v>0</v>
      </c>
    </row>
    <row r="891" spans="7:41" x14ac:dyDescent="0.35">
      <c r="G891">
        <v>889</v>
      </c>
      <c r="H891">
        <v>0</v>
      </c>
      <c r="I891">
        <v>5</v>
      </c>
      <c r="J891">
        <v>0</v>
      </c>
      <c r="K891">
        <v>0</v>
      </c>
      <c r="L891">
        <v>0</v>
      </c>
      <c r="M891" s="1">
        <v>300</v>
      </c>
      <c r="N891">
        <v>889</v>
      </c>
      <c r="O891">
        <v>1</v>
      </c>
      <c r="P891">
        <v>0</v>
      </c>
      <c r="Q891">
        <v>1</v>
      </c>
      <c r="R891">
        <v>1</v>
      </c>
      <c r="S891">
        <v>1</v>
      </c>
      <c r="T891" s="1">
        <v>320</v>
      </c>
      <c r="U891">
        <v>889</v>
      </c>
      <c r="V891">
        <v>0</v>
      </c>
      <c r="W891">
        <v>0</v>
      </c>
      <c r="X891">
        <v>0</v>
      </c>
      <c r="Y891">
        <v>0</v>
      </c>
      <c r="Z891">
        <v>0</v>
      </c>
      <c r="AA891" s="1">
        <v>0</v>
      </c>
      <c r="AB891">
        <v>889</v>
      </c>
      <c r="AC891">
        <v>0</v>
      </c>
      <c r="AD891">
        <v>0</v>
      </c>
      <c r="AE891">
        <v>0</v>
      </c>
      <c r="AF891">
        <v>0</v>
      </c>
      <c r="AG891">
        <v>1</v>
      </c>
      <c r="AH891" s="1">
        <v>120</v>
      </c>
      <c r="AI891">
        <v>889</v>
      </c>
      <c r="AJ891">
        <v>0</v>
      </c>
      <c r="AK891">
        <v>0</v>
      </c>
      <c r="AL891">
        <v>1</v>
      </c>
      <c r="AM891">
        <v>0</v>
      </c>
      <c r="AN891">
        <v>0</v>
      </c>
      <c r="AO891" s="1">
        <v>150</v>
      </c>
    </row>
    <row r="892" spans="7:41" x14ac:dyDescent="0.35">
      <c r="G892">
        <v>890</v>
      </c>
      <c r="H892">
        <v>0</v>
      </c>
      <c r="I892">
        <v>0</v>
      </c>
      <c r="J892">
        <v>1</v>
      </c>
      <c r="K892">
        <v>0</v>
      </c>
      <c r="L892">
        <v>1</v>
      </c>
      <c r="M892" s="1">
        <v>120</v>
      </c>
      <c r="N892">
        <v>890</v>
      </c>
      <c r="O892">
        <v>0</v>
      </c>
      <c r="P892">
        <v>0</v>
      </c>
      <c r="Q892">
        <v>0</v>
      </c>
      <c r="R892">
        <v>2</v>
      </c>
      <c r="S892">
        <v>0</v>
      </c>
      <c r="T892" s="1">
        <v>160</v>
      </c>
      <c r="U892">
        <v>890</v>
      </c>
      <c r="V892">
        <v>0</v>
      </c>
      <c r="W892">
        <v>0</v>
      </c>
      <c r="X892">
        <v>0</v>
      </c>
      <c r="Y892">
        <v>0</v>
      </c>
      <c r="Z892">
        <v>0</v>
      </c>
      <c r="AA892" s="1">
        <v>0</v>
      </c>
      <c r="AB892">
        <v>890</v>
      </c>
      <c r="AC892">
        <v>0</v>
      </c>
      <c r="AD892">
        <v>0</v>
      </c>
      <c r="AE892">
        <v>0</v>
      </c>
      <c r="AF892">
        <v>0</v>
      </c>
      <c r="AG892">
        <v>0</v>
      </c>
      <c r="AH892" s="1">
        <v>0</v>
      </c>
      <c r="AI892">
        <v>890</v>
      </c>
      <c r="AJ892">
        <v>0</v>
      </c>
      <c r="AK892">
        <v>0</v>
      </c>
      <c r="AL892">
        <v>1</v>
      </c>
      <c r="AM892">
        <v>0</v>
      </c>
      <c r="AN892">
        <v>0</v>
      </c>
      <c r="AO892" s="1">
        <v>150</v>
      </c>
    </row>
    <row r="893" spans="7:41" x14ac:dyDescent="0.35">
      <c r="G893">
        <v>891</v>
      </c>
      <c r="H893">
        <v>0</v>
      </c>
      <c r="I893">
        <v>0</v>
      </c>
      <c r="J893">
        <v>1</v>
      </c>
      <c r="K893">
        <v>3</v>
      </c>
      <c r="L893">
        <v>2</v>
      </c>
      <c r="M893" s="1">
        <v>360</v>
      </c>
      <c r="N893">
        <v>891</v>
      </c>
      <c r="O893">
        <v>1</v>
      </c>
      <c r="P893">
        <v>2</v>
      </c>
      <c r="Q893">
        <v>2</v>
      </c>
      <c r="R893">
        <v>0</v>
      </c>
      <c r="S893">
        <v>0</v>
      </c>
      <c r="T893" s="1">
        <v>400</v>
      </c>
      <c r="U893">
        <v>891</v>
      </c>
      <c r="V893">
        <v>0</v>
      </c>
      <c r="W893">
        <v>0</v>
      </c>
      <c r="X893">
        <v>0</v>
      </c>
      <c r="Y893">
        <v>0</v>
      </c>
      <c r="Z893">
        <v>0</v>
      </c>
      <c r="AA893" s="1">
        <v>0</v>
      </c>
      <c r="AB893">
        <v>891</v>
      </c>
      <c r="AC893">
        <v>0</v>
      </c>
      <c r="AD893">
        <v>0</v>
      </c>
      <c r="AE893">
        <v>0</v>
      </c>
      <c r="AF893">
        <v>0</v>
      </c>
      <c r="AG893">
        <v>0</v>
      </c>
      <c r="AH893" s="1">
        <v>0</v>
      </c>
      <c r="AI893">
        <v>891</v>
      </c>
      <c r="AJ893">
        <v>0</v>
      </c>
      <c r="AK893">
        <v>0</v>
      </c>
      <c r="AL893">
        <v>1</v>
      </c>
      <c r="AM893">
        <v>0</v>
      </c>
      <c r="AN893">
        <v>0</v>
      </c>
      <c r="AO893" s="1">
        <v>150</v>
      </c>
    </row>
    <row r="894" spans="7:41" x14ac:dyDescent="0.35">
      <c r="G894">
        <v>892</v>
      </c>
      <c r="H894">
        <v>0</v>
      </c>
      <c r="I894">
        <v>1</v>
      </c>
      <c r="J894">
        <v>2</v>
      </c>
      <c r="K894">
        <v>2</v>
      </c>
      <c r="L894">
        <v>2</v>
      </c>
      <c r="M894" s="1">
        <v>420</v>
      </c>
      <c r="N894">
        <v>892</v>
      </c>
      <c r="O894">
        <v>0</v>
      </c>
      <c r="P894">
        <v>1</v>
      </c>
      <c r="Q894">
        <v>0</v>
      </c>
      <c r="R894">
        <v>0</v>
      </c>
      <c r="S894">
        <v>1</v>
      </c>
      <c r="T894" s="1">
        <v>160</v>
      </c>
      <c r="U894">
        <v>892</v>
      </c>
      <c r="V894">
        <v>0</v>
      </c>
      <c r="W894">
        <v>0</v>
      </c>
      <c r="X894">
        <v>1</v>
      </c>
      <c r="Y894">
        <v>0</v>
      </c>
      <c r="Z894">
        <v>0</v>
      </c>
      <c r="AA894" s="1">
        <v>100</v>
      </c>
      <c r="AB894">
        <v>892</v>
      </c>
      <c r="AC894">
        <v>0</v>
      </c>
      <c r="AD894">
        <v>0</v>
      </c>
      <c r="AE894">
        <v>0</v>
      </c>
      <c r="AF894">
        <v>0</v>
      </c>
      <c r="AG894">
        <v>0</v>
      </c>
      <c r="AH894" s="1">
        <v>0</v>
      </c>
      <c r="AI894">
        <v>892</v>
      </c>
      <c r="AJ894">
        <v>0</v>
      </c>
      <c r="AK894">
        <v>0</v>
      </c>
      <c r="AL894">
        <v>0</v>
      </c>
      <c r="AM894">
        <v>0</v>
      </c>
      <c r="AN894">
        <v>0</v>
      </c>
      <c r="AO894" s="1">
        <v>0</v>
      </c>
    </row>
    <row r="895" spans="7:41" x14ac:dyDescent="0.35">
      <c r="G895">
        <v>893</v>
      </c>
      <c r="H895">
        <v>2</v>
      </c>
      <c r="I895">
        <v>1</v>
      </c>
      <c r="J895">
        <v>0</v>
      </c>
      <c r="K895">
        <v>0</v>
      </c>
      <c r="L895">
        <v>0</v>
      </c>
      <c r="M895" s="1">
        <v>180</v>
      </c>
      <c r="N895">
        <v>893</v>
      </c>
      <c r="O895">
        <v>0</v>
      </c>
      <c r="P895">
        <v>1</v>
      </c>
      <c r="Q895">
        <v>0</v>
      </c>
      <c r="R895">
        <v>0</v>
      </c>
      <c r="S895">
        <v>0</v>
      </c>
      <c r="T895" s="1">
        <v>80</v>
      </c>
      <c r="U895">
        <v>893</v>
      </c>
      <c r="V895">
        <v>0</v>
      </c>
      <c r="W895">
        <v>1</v>
      </c>
      <c r="X895">
        <v>0</v>
      </c>
      <c r="Y895">
        <v>0</v>
      </c>
      <c r="Z895">
        <v>0</v>
      </c>
      <c r="AA895" s="1">
        <v>100</v>
      </c>
      <c r="AB895">
        <v>893</v>
      </c>
      <c r="AC895">
        <v>0</v>
      </c>
      <c r="AD895">
        <v>0</v>
      </c>
      <c r="AE895">
        <v>0</v>
      </c>
      <c r="AF895">
        <v>0</v>
      </c>
      <c r="AG895">
        <v>0</v>
      </c>
      <c r="AH895" s="1">
        <v>0</v>
      </c>
      <c r="AI895">
        <v>893</v>
      </c>
      <c r="AJ895">
        <v>0</v>
      </c>
      <c r="AK895">
        <v>0</v>
      </c>
      <c r="AL895">
        <v>2</v>
      </c>
      <c r="AM895">
        <v>0</v>
      </c>
      <c r="AN895">
        <v>0</v>
      </c>
      <c r="AO895" s="1">
        <v>300</v>
      </c>
    </row>
    <row r="896" spans="7:41" x14ac:dyDescent="0.35">
      <c r="G896">
        <v>894</v>
      </c>
      <c r="H896">
        <v>1</v>
      </c>
      <c r="I896">
        <v>0</v>
      </c>
      <c r="J896">
        <v>0</v>
      </c>
      <c r="K896">
        <v>4</v>
      </c>
      <c r="L896">
        <v>0</v>
      </c>
      <c r="M896" s="1">
        <v>300</v>
      </c>
      <c r="N896">
        <v>894</v>
      </c>
      <c r="O896">
        <v>0</v>
      </c>
      <c r="P896">
        <v>1</v>
      </c>
      <c r="Q896">
        <v>0</v>
      </c>
      <c r="R896">
        <v>1</v>
      </c>
      <c r="S896">
        <v>0</v>
      </c>
      <c r="T896" s="1">
        <v>160</v>
      </c>
      <c r="U896">
        <v>894</v>
      </c>
      <c r="V896">
        <v>0</v>
      </c>
      <c r="W896">
        <v>0</v>
      </c>
      <c r="X896">
        <v>0</v>
      </c>
      <c r="Y896">
        <v>1</v>
      </c>
      <c r="Z896">
        <v>0</v>
      </c>
      <c r="AA896" s="1">
        <v>100</v>
      </c>
      <c r="AB896">
        <v>894</v>
      </c>
      <c r="AC896">
        <v>0</v>
      </c>
      <c r="AD896">
        <v>0</v>
      </c>
      <c r="AE896">
        <v>0</v>
      </c>
      <c r="AF896">
        <v>0</v>
      </c>
      <c r="AG896">
        <v>0</v>
      </c>
      <c r="AH896" s="1">
        <v>0</v>
      </c>
      <c r="AI896">
        <v>894</v>
      </c>
      <c r="AJ896">
        <v>0</v>
      </c>
      <c r="AK896">
        <v>0</v>
      </c>
      <c r="AL896">
        <v>0</v>
      </c>
      <c r="AM896">
        <v>0</v>
      </c>
      <c r="AN896">
        <v>0</v>
      </c>
      <c r="AO896" s="1">
        <v>0</v>
      </c>
    </row>
    <row r="897" spans="7:41" x14ac:dyDescent="0.35">
      <c r="G897">
        <v>895</v>
      </c>
      <c r="H897">
        <v>1</v>
      </c>
      <c r="I897">
        <v>0</v>
      </c>
      <c r="J897">
        <v>0</v>
      </c>
      <c r="K897">
        <v>0</v>
      </c>
      <c r="L897">
        <v>2</v>
      </c>
      <c r="M897" s="1">
        <v>180</v>
      </c>
      <c r="N897">
        <v>895</v>
      </c>
      <c r="O897">
        <v>0</v>
      </c>
      <c r="P897">
        <v>0</v>
      </c>
      <c r="Q897">
        <v>0</v>
      </c>
      <c r="R897">
        <v>0</v>
      </c>
      <c r="S897">
        <v>1</v>
      </c>
      <c r="T897" s="1">
        <v>80</v>
      </c>
      <c r="U897">
        <v>895</v>
      </c>
      <c r="V897">
        <v>0</v>
      </c>
      <c r="W897">
        <v>1</v>
      </c>
      <c r="X897">
        <v>0</v>
      </c>
      <c r="Y897">
        <v>0</v>
      </c>
      <c r="Z897">
        <v>0</v>
      </c>
      <c r="AA897" s="1">
        <v>100</v>
      </c>
      <c r="AB897">
        <v>895</v>
      </c>
      <c r="AC897">
        <v>0</v>
      </c>
      <c r="AD897">
        <v>0</v>
      </c>
      <c r="AE897">
        <v>1</v>
      </c>
      <c r="AF897">
        <v>1</v>
      </c>
      <c r="AG897">
        <v>0</v>
      </c>
      <c r="AH897" s="1">
        <v>240</v>
      </c>
      <c r="AI897">
        <v>895</v>
      </c>
      <c r="AJ897">
        <v>0</v>
      </c>
      <c r="AK897">
        <v>0</v>
      </c>
      <c r="AL897">
        <v>0</v>
      </c>
      <c r="AM897">
        <v>0</v>
      </c>
      <c r="AN897">
        <v>0</v>
      </c>
      <c r="AO897" s="1">
        <v>0</v>
      </c>
    </row>
    <row r="898" spans="7:41" x14ac:dyDescent="0.35">
      <c r="G898">
        <v>896</v>
      </c>
      <c r="H898">
        <v>2</v>
      </c>
      <c r="I898">
        <v>1</v>
      </c>
      <c r="J898">
        <v>1</v>
      </c>
      <c r="K898">
        <v>2</v>
      </c>
      <c r="L898">
        <v>0</v>
      </c>
      <c r="M898" s="1">
        <v>360</v>
      </c>
      <c r="N898">
        <v>896</v>
      </c>
      <c r="O898">
        <v>0</v>
      </c>
      <c r="P898">
        <v>0</v>
      </c>
      <c r="Q898">
        <v>0</v>
      </c>
      <c r="R898">
        <v>0</v>
      </c>
      <c r="S898">
        <v>0</v>
      </c>
      <c r="T898" s="1">
        <v>0</v>
      </c>
      <c r="U898">
        <v>896</v>
      </c>
      <c r="V898">
        <v>0</v>
      </c>
      <c r="W898">
        <v>0</v>
      </c>
      <c r="X898">
        <v>0</v>
      </c>
      <c r="Y898">
        <v>0</v>
      </c>
      <c r="Z898">
        <v>0</v>
      </c>
      <c r="AA898" s="1">
        <v>0</v>
      </c>
      <c r="AB898">
        <v>896</v>
      </c>
      <c r="AC898">
        <v>0</v>
      </c>
      <c r="AD898">
        <v>0</v>
      </c>
      <c r="AE898">
        <v>0</v>
      </c>
      <c r="AF898">
        <v>0</v>
      </c>
      <c r="AG898">
        <v>1</v>
      </c>
      <c r="AH898" s="1">
        <v>120</v>
      </c>
      <c r="AI898">
        <v>896</v>
      </c>
      <c r="AJ898">
        <v>0</v>
      </c>
      <c r="AK898">
        <v>0</v>
      </c>
      <c r="AL898">
        <v>0</v>
      </c>
      <c r="AM898">
        <v>0</v>
      </c>
      <c r="AN898">
        <v>0</v>
      </c>
      <c r="AO898" s="1">
        <v>0</v>
      </c>
    </row>
    <row r="899" spans="7:41" x14ac:dyDescent="0.35">
      <c r="G899">
        <v>897</v>
      </c>
      <c r="H899">
        <v>2</v>
      </c>
      <c r="I899">
        <v>0</v>
      </c>
      <c r="J899">
        <v>2</v>
      </c>
      <c r="K899">
        <v>0</v>
      </c>
      <c r="L899">
        <v>0</v>
      </c>
      <c r="M899" s="1">
        <v>240</v>
      </c>
      <c r="N899">
        <v>897</v>
      </c>
      <c r="O899">
        <v>0</v>
      </c>
      <c r="P899">
        <v>2</v>
      </c>
      <c r="Q899">
        <v>0</v>
      </c>
      <c r="R899">
        <v>0</v>
      </c>
      <c r="S899">
        <v>0</v>
      </c>
      <c r="T899" s="1">
        <v>160</v>
      </c>
      <c r="U899">
        <v>897</v>
      </c>
      <c r="V899">
        <v>0</v>
      </c>
      <c r="W899">
        <v>1</v>
      </c>
      <c r="X899">
        <v>0</v>
      </c>
      <c r="Y899">
        <v>0</v>
      </c>
      <c r="Z899">
        <v>0</v>
      </c>
      <c r="AA899" s="1">
        <v>100</v>
      </c>
      <c r="AB899">
        <v>897</v>
      </c>
      <c r="AC899">
        <v>1</v>
      </c>
      <c r="AD899">
        <v>0</v>
      </c>
      <c r="AE899">
        <v>0</v>
      </c>
      <c r="AF899">
        <v>0</v>
      </c>
      <c r="AG899">
        <v>0</v>
      </c>
      <c r="AH899" s="1">
        <v>120</v>
      </c>
      <c r="AI899">
        <v>897</v>
      </c>
      <c r="AJ899">
        <v>0</v>
      </c>
      <c r="AK899">
        <v>0</v>
      </c>
      <c r="AL899">
        <v>1</v>
      </c>
      <c r="AM899">
        <v>0</v>
      </c>
      <c r="AN899">
        <v>0</v>
      </c>
      <c r="AO899" s="1">
        <v>150</v>
      </c>
    </row>
    <row r="900" spans="7:41" x14ac:dyDescent="0.35">
      <c r="G900">
        <v>898</v>
      </c>
      <c r="H900">
        <v>0</v>
      </c>
      <c r="I900">
        <v>1</v>
      </c>
      <c r="J900">
        <v>0</v>
      </c>
      <c r="K900">
        <v>0</v>
      </c>
      <c r="L900">
        <v>1</v>
      </c>
      <c r="M900" s="1">
        <v>120</v>
      </c>
      <c r="N900">
        <v>898</v>
      </c>
      <c r="O900">
        <v>0</v>
      </c>
      <c r="P900">
        <v>1</v>
      </c>
      <c r="Q900">
        <v>0</v>
      </c>
      <c r="R900">
        <v>0</v>
      </c>
      <c r="S900">
        <v>0</v>
      </c>
      <c r="T900" s="1">
        <v>80</v>
      </c>
      <c r="U900">
        <v>898</v>
      </c>
      <c r="V900">
        <v>0</v>
      </c>
      <c r="W900">
        <v>3</v>
      </c>
      <c r="X900">
        <v>0</v>
      </c>
      <c r="Y900">
        <v>1</v>
      </c>
      <c r="Z900">
        <v>1</v>
      </c>
      <c r="AA900" s="1">
        <v>500</v>
      </c>
      <c r="AB900">
        <v>898</v>
      </c>
      <c r="AC900">
        <v>1</v>
      </c>
      <c r="AD900">
        <v>0</v>
      </c>
      <c r="AE900">
        <v>0</v>
      </c>
      <c r="AF900">
        <v>0</v>
      </c>
      <c r="AG900">
        <v>1</v>
      </c>
      <c r="AH900" s="1">
        <v>240</v>
      </c>
      <c r="AI900">
        <v>898</v>
      </c>
      <c r="AJ900">
        <v>0</v>
      </c>
      <c r="AK900">
        <v>0</v>
      </c>
      <c r="AL900">
        <v>3</v>
      </c>
      <c r="AM900">
        <v>0</v>
      </c>
      <c r="AN900">
        <v>1</v>
      </c>
      <c r="AO900" s="1">
        <v>600</v>
      </c>
    </row>
    <row r="901" spans="7:41" x14ac:dyDescent="0.35">
      <c r="G901">
        <v>899</v>
      </c>
      <c r="H901">
        <v>0</v>
      </c>
      <c r="I901">
        <v>2</v>
      </c>
      <c r="J901">
        <v>0</v>
      </c>
      <c r="K901">
        <v>0</v>
      </c>
      <c r="L901">
        <v>1</v>
      </c>
      <c r="M901" s="1">
        <v>180</v>
      </c>
      <c r="N901">
        <v>899</v>
      </c>
      <c r="O901">
        <v>2</v>
      </c>
      <c r="P901">
        <v>0</v>
      </c>
      <c r="Q901">
        <v>2</v>
      </c>
      <c r="R901">
        <v>1</v>
      </c>
      <c r="S901">
        <v>0</v>
      </c>
      <c r="T901" s="1">
        <v>400</v>
      </c>
      <c r="U901">
        <v>899</v>
      </c>
      <c r="V901">
        <v>0</v>
      </c>
      <c r="W901">
        <v>0</v>
      </c>
      <c r="X901">
        <v>0</v>
      </c>
      <c r="Y901">
        <v>0</v>
      </c>
      <c r="Z901">
        <v>0</v>
      </c>
      <c r="AA901" s="1">
        <v>0</v>
      </c>
      <c r="AB901">
        <v>899</v>
      </c>
      <c r="AC901">
        <v>0</v>
      </c>
      <c r="AD901">
        <v>0</v>
      </c>
      <c r="AE901">
        <v>0</v>
      </c>
      <c r="AF901">
        <v>0</v>
      </c>
      <c r="AG901">
        <v>0</v>
      </c>
      <c r="AH901" s="1">
        <v>0</v>
      </c>
      <c r="AI901">
        <v>899</v>
      </c>
      <c r="AJ901">
        <v>0</v>
      </c>
      <c r="AK901">
        <v>0</v>
      </c>
      <c r="AL901">
        <v>2</v>
      </c>
      <c r="AM901">
        <v>0</v>
      </c>
      <c r="AN901">
        <v>0</v>
      </c>
      <c r="AO901" s="1">
        <v>300</v>
      </c>
    </row>
    <row r="902" spans="7:41" x14ac:dyDescent="0.35">
      <c r="G902">
        <v>900</v>
      </c>
      <c r="H902">
        <v>0</v>
      </c>
      <c r="I902">
        <v>1</v>
      </c>
      <c r="J902">
        <v>0</v>
      </c>
      <c r="K902">
        <v>1</v>
      </c>
      <c r="L902">
        <v>1</v>
      </c>
      <c r="M902" s="1">
        <v>180</v>
      </c>
      <c r="N902">
        <v>900</v>
      </c>
      <c r="O902">
        <v>2</v>
      </c>
      <c r="P902">
        <v>1</v>
      </c>
      <c r="Q902">
        <v>3</v>
      </c>
      <c r="R902">
        <v>0</v>
      </c>
      <c r="S902">
        <v>1</v>
      </c>
      <c r="T902" s="1">
        <v>560</v>
      </c>
      <c r="U902">
        <v>900</v>
      </c>
      <c r="V902">
        <v>0</v>
      </c>
      <c r="W902">
        <v>1</v>
      </c>
      <c r="X902">
        <v>0</v>
      </c>
      <c r="Y902">
        <v>0</v>
      </c>
      <c r="Z902">
        <v>0</v>
      </c>
      <c r="AA902" s="1">
        <v>100</v>
      </c>
      <c r="AB902">
        <v>900</v>
      </c>
      <c r="AC902">
        <v>0</v>
      </c>
      <c r="AD902">
        <v>0</v>
      </c>
      <c r="AE902">
        <v>0</v>
      </c>
      <c r="AF902">
        <v>0</v>
      </c>
      <c r="AG902">
        <v>0</v>
      </c>
      <c r="AH902" s="1">
        <v>0</v>
      </c>
      <c r="AI902">
        <v>900</v>
      </c>
      <c r="AJ902">
        <v>0</v>
      </c>
      <c r="AK902">
        <v>0</v>
      </c>
      <c r="AL902">
        <v>0</v>
      </c>
      <c r="AM902">
        <v>0</v>
      </c>
      <c r="AN902">
        <v>0</v>
      </c>
      <c r="AO902" s="1">
        <v>0</v>
      </c>
    </row>
    <row r="903" spans="7:41" x14ac:dyDescent="0.35">
      <c r="G903">
        <v>901</v>
      </c>
      <c r="H903">
        <v>0</v>
      </c>
      <c r="I903">
        <v>0</v>
      </c>
      <c r="J903">
        <v>1</v>
      </c>
      <c r="K903">
        <v>1</v>
      </c>
      <c r="L903">
        <v>0</v>
      </c>
      <c r="M903" s="1">
        <v>120</v>
      </c>
      <c r="N903">
        <v>901</v>
      </c>
      <c r="O903">
        <v>0</v>
      </c>
      <c r="P903">
        <v>0</v>
      </c>
      <c r="Q903">
        <v>2</v>
      </c>
      <c r="R903">
        <v>0</v>
      </c>
      <c r="S903">
        <v>0</v>
      </c>
      <c r="T903" s="1">
        <v>160</v>
      </c>
      <c r="U903">
        <v>901</v>
      </c>
      <c r="V903">
        <v>0</v>
      </c>
      <c r="W903">
        <v>0</v>
      </c>
      <c r="X903">
        <v>0</v>
      </c>
      <c r="Y903">
        <v>0</v>
      </c>
      <c r="Z903">
        <v>1</v>
      </c>
      <c r="AA903" s="1">
        <v>100</v>
      </c>
      <c r="AB903">
        <v>901</v>
      </c>
      <c r="AC903">
        <v>0</v>
      </c>
      <c r="AD903">
        <v>0</v>
      </c>
      <c r="AE903">
        <v>0</v>
      </c>
      <c r="AF903">
        <v>0</v>
      </c>
      <c r="AG903">
        <v>1</v>
      </c>
      <c r="AH903" s="1">
        <v>120</v>
      </c>
      <c r="AI903">
        <v>901</v>
      </c>
      <c r="AJ903">
        <v>0</v>
      </c>
      <c r="AK903">
        <v>0</v>
      </c>
      <c r="AL903">
        <v>1</v>
      </c>
      <c r="AM903">
        <v>0</v>
      </c>
      <c r="AN903">
        <v>0</v>
      </c>
      <c r="AO903" s="1">
        <v>150</v>
      </c>
    </row>
    <row r="904" spans="7:41" x14ac:dyDescent="0.35">
      <c r="G904">
        <v>902</v>
      </c>
      <c r="H904">
        <v>0</v>
      </c>
      <c r="I904">
        <v>2</v>
      </c>
      <c r="J904">
        <v>0</v>
      </c>
      <c r="K904">
        <v>0</v>
      </c>
      <c r="L904">
        <v>0</v>
      </c>
      <c r="M904" s="1">
        <v>120</v>
      </c>
      <c r="N904">
        <v>902</v>
      </c>
      <c r="O904">
        <v>0</v>
      </c>
      <c r="P904">
        <v>0</v>
      </c>
      <c r="Q904">
        <v>0</v>
      </c>
      <c r="R904">
        <v>0</v>
      </c>
      <c r="S904">
        <v>0</v>
      </c>
      <c r="T904" s="1">
        <v>0</v>
      </c>
      <c r="U904">
        <v>902</v>
      </c>
      <c r="V904">
        <v>0</v>
      </c>
      <c r="W904">
        <v>0</v>
      </c>
      <c r="X904">
        <v>1</v>
      </c>
      <c r="Y904">
        <v>0</v>
      </c>
      <c r="Z904">
        <v>0</v>
      </c>
      <c r="AA904" s="1">
        <v>100</v>
      </c>
      <c r="AB904">
        <v>902</v>
      </c>
      <c r="AC904">
        <v>0</v>
      </c>
      <c r="AD904">
        <v>0</v>
      </c>
      <c r="AE904">
        <v>0</v>
      </c>
      <c r="AF904">
        <v>1</v>
      </c>
      <c r="AG904">
        <v>0</v>
      </c>
      <c r="AH904" s="1">
        <v>120</v>
      </c>
      <c r="AI904">
        <v>902</v>
      </c>
      <c r="AJ904">
        <v>0</v>
      </c>
      <c r="AK904">
        <v>0</v>
      </c>
      <c r="AL904">
        <v>1</v>
      </c>
      <c r="AM904">
        <v>0</v>
      </c>
      <c r="AN904">
        <v>0</v>
      </c>
      <c r="AO904" s="1">
        <v>150</v>
      </c>
    </row>
    <row r="905" spans="7:41" x14ac:dyDescent="0.35">
      <c r="G905">
        <v>903</v>
      </c>
      <c r="H905">
        <v>0</v>
      </c>
      <c r="I905">
        <v>0</v>
      </c>
      <c r="J905">
        <v>0</v>
      </c>
      <c r="K905">
        <v>0</v>
      </c>
      <c r="L905">
        <v>1</v>
      </c>
      <c r="M905" s="1">
        <v>60</v>
      </c>
      <c r="N905">
        <v>903</v>
      </c>
      <c r="O905">
        <v>2</v>
      </c>
      <c r="P905">
        <v>1</v>
      </c>
      <c r="Q905">
        <v>0</v>
      </c>
      <c r="R905">
        <v>1</v>
      </c>
      <c r="S905">
        <v>0</v>
      </c>
      <c r="T905" s="1">
        <v>320</v>
      </c>
      <c r="U905">
        <v>903</v>
      </c>
      <c r="V905">
        <v>0</v>
      </c>
      <c r="W905">
        <v>1</v>
      </c>
      <c r="X905">
        <v>0</v>
      </c>
      <c r="Y905">
        <v>0</v>
      </c>
      <c r="Z905">
        <v>0</v>
      </c>
      <c r="AA905" s="1">
        <v>100</v>
      </c>
      <c r="AB905">
        <v>903</v>
      </c>
      <c r="AC905">
        <v>0</v>
      </c>
      <c r="AD905">
        <v>0</v>
      </c>
      <c r="AE905">
        <v>0</v>
      </c>
      <c r="AF905">
        <v>0</v>
      </c>
      <c r="AG905">
        <v>0</v>
      </c>
      <c r="AH905" s="1">
        <v>0</v>
      </c>
      <c r="AI905">
        <v>903</v>
      </c>
      <c r="AJ905">
        <v>0</v>
      </c>
      <c r="AK905">
        <v>0</v>
      </c>
      <c r="AL905">
        <v>1</v>
      </c>
      <c r="AM905">
        <v>0</v>
      </c>
      <c r="AN905">
        <v>0</v>
      </c>
      <c r="AO905" s="1">
        <v>150</v>
      </c>
    </row>
    <row r="906" spans="7:41" x14ac:dyDescent="0.35">
      <c r="G906">
        <v>904</v>
      </c>
      <c r="H906">
        <v>0</v>
      </c>
      <c r="I906">
        <v>2</v>
      </c>
      <c r="J906">
        <v>0</v>
      </c>
      <c r="K906">
        <v>4</v>
      </c>
      <c r="L906">
        <v>2</v>
      </c>
      <c r="M906" s="1">
        <v>480</v>
      </c>
      <c r="N906">
        <v>904</v>
      </c>
      <c r="O906">
        <v>0</v>
      </c>
      <c r="P906">
        <v>0</v>
      </c>
      <c r="Q906">
        <v>0</v>
      </c>
      <c r="R906">
        <v>0</v>
      </c>
      <c r="S906">
        <v>0</v>
      </c>
      <c r="T906" s="1">
        <v>0</v>
      </c>
      <c r="U906">
        <v>904</v>
      </c>
      <c r="V906">
        <v>0</v>
      </c>
      <c r="W906">
        <v>1</v>
      </c>
      <c r="X906">
        <v>0</v>
      </c>
      <c r="Y906">
        <v>0</v>
      </c>
      <c r="Z906">
        <v>0</v>
      </c>
      <c r="AA906" s="1">
        <v>100</v>
      </c>
      <c r="AB906">
        <v>904</v>
      </c>
      <c r="AC906">
        <v>0</v>
      </c>
      <c r="AD906">
        <v>0</v>
      </c>
      <c r="AE906">
        <v>0</v>
      </c>
      <c r="AF906">
        <v>0</v>
      </c>
      <c r="AG906">
        <v>0</v>
      </c>
      <c r="AH906" s="1">
        <v>0</v>
      </c>
      <c r="AI906">
        <v>904</v>
      </c>
      <c r="AJ906">
        <v>0</v>
      </c>
      <c r="AK906">
        <v>0</v>
      </c>
      <c r="AL906">
        <v>0</v>
      </c>
      <c r="AM906">
        <v>0</v>
      </c>
      <c r="AN906">
        <v>0</v>
      </c>
      <c r="AO906" s="1">
        <v>0</v>
      </c>
    </row>
    <row r="907" spans="7:41" x14ac:dyDescent="0.35">
      <c r="G907">
        <v>905</v>
      </c>
      <c r="H907">
        <v>0</v>
      </c>
      <c r="I907">
        <v>1</v>
      </c>
      <c r="J907">
        <v>0</v>
      </c>
      <c r="K907">
        <v>4</v>
      </c>
      <c r="L907">
        <v>1</v>
      </c>
      <c r="M907" s="1">
        <v>360</v>
      </c>
      <c r="N907">
        <v>905</v>
      </c>
      <c r="O907">
        <v>1</v>
      </c>
      <c r="P907">
        <v>0</v>
      </c>
      <c r="Q907">
        <v>1</v>
      </c>
      <c r="R907">
        <v>3</v>
      </c>
      <c r="S907">
        <v>0</v>
      </c>
      <c r="T907" s="1">
        <v>400</v>
      </c>
      <c r="U907">
        <v>905</v>
      </c>
      <c r="V907">
        <v>0</v>
      </c>
      <c r="W907">
        <v>0</v>
      </c>
      <c r="X907">
        <v>0</v>
      </c>
      <c r="Y907">
        <v>0</v>
      </c>
      <c r="Z907">
        <v>1</v>
      </c>
      <c r="AA907" s="1">
        <v>100</v>
      </c>
      <c r="AB907">
        <v>905</v>
      </c>
      <c r="AC907">
        <v>0</v>
      </c>
      <c r="AD907">
        <v>0</v>
      </c>
      <c r="AE907">
        <v>0</v>
      </c>
      <c r="AF907">
        <v>0</v>
      </c>
      <c r="AG907">
        <v>0</v>
      </c>
      <c r="AH907" s="1">
        <v>0</v>
      </c>
      <c r="AI907">
        <v>905</v>
      </c>
      <c r="AJ907">
        <v>0</v>
      </c>
      <c r="AK907">
        <v>0</v>
      </c>
      <c r="AL907">
        <v>0</v>
      </c>
      <c r="AM907">
        <v>0</v>
      </c>
      <c r="AN907">
        <v>0</v>
      </c>
      <c r="AO907" s="1">
        <v>0</v>
      </c>
    </row>
    <row r="908" spans="7:41" x14ac:dyDescent="0.35">
      <c r="G908">
        <v>906</v>
      </c>
      <c r="H908">
        <v>0</v>
      </c>
      <c r="I908">
        <v>1</v>
      </c>
      <c r="J908">
        <v>2</v>
      </c>
      <c r="K908">
        <v>4</v>
      </c>
      <c r="L908">
        <v>1</v>
      </c>
      <c r="M908" s="1">
        <v>480</v>
      </c>
      <c r="N908">
        <v>906</v>
      </c>
      <c r="O908">
        <v>1</v>
      </c>
      <c r="P908">
        <v>1</v>
      </c>
      <c r="Q908">
        <v>0</v>
      </c>
      <c r="R908">
        <v>0</v>
      </c>
      <c r="S908">
        <v>0</v>
      </c>
      <c r="T908" s="1">
        <v>160</v>
      </c>
      <c r="U908">
        <v>906</v>
      </c>
      <c r="V908">
        <v>0</v>
      </c>
      <c r="W908">
        <v>2</v>
      </c>
      <c r="X908">
        <v>0</v>
      </c>
      <c r="Y908">
        <v>0</v>
      </c>
      <c r="Z908">
        <v>0</v>
      </c>
      <c r="AA908" s="1">
        <v>200</v>
      </c>
      <c r="AB908">
        <v>906</v>
      </c>
      <c r="AC908">
        <v>0</v>
      </c>
      <c r="AD908">
        <v>0</v>
      </c>
      <c r="AE908">
        <v>0</v>
      </c>
      <c r="AF908">
        <v>0</v>
      </c>
      <c r="AG908">
        <v>0</v>
      </c>
      <c r="AH908" s="1">
        <v>0</v>
      </c>
      <c r="AI908">
        <v>906</v>
      </c>
      <c r="AJ908">
        <v>0</v>
      </c>
      <c r="AK908">
        <v>0</v>
      </c>
      <c r="AL908">
        <v>0</v>
      </c>
      <c r="AM908">
        <v>0</v>
      </c>
      <c r="AN908">
        <v>0</v>
      </c>
      <c r="AO908" s="1">
        <v>0</v>
      </c>
    </row>
    <row r="909" spans="7:41" x14ac:dyDescent="0.35">
      <c r="G909">
        <v>907</v>
      </c>
      <c r="H909">
        <v>0</v>
      </c>
      <c r="I909">
        <v>2</v>
      </c>
      <c r="J909">
        <v>1</v>
      </c>
      <c r="K909">
        <v>2</v>
      </c>
      <c r="L909">
        <v>2</v>
      </c>
      <c r="M909" s="1">
        <v>420</v>
      </c>
      <c r="N909">
        <v>907</v>
      </c>
      <c r="O909">
        <v>0</v>
      </c>
      <c r="P909">
        <v>0</v>
      </c>
      <c r="Q909">
        <v>0</v>
      </c>
      <c r="R909">
        <v>1</v>
      </c>
      <c r="S909">
        <v>0</v>
      </c>
      <c r="T909" s="1">
        <v>80</v>
      </c>
      <c r="U909">
        <v>907</v>
      </c>
      <c r="V909">
        <v>0</v>
      </c>
      <c r="W909">
        <v>0</v>
      </c>
      <c r="X909">
        <v>0</v>
      </c>
      <c r="Y909">
        <v>0</v>
      </c>
      <c r="Z909">
        <v>0</v>
      </c>
      <c r="AA909" s="1">
        <v>0</v>
      </c>
      <c r="AB909">
        <v>907</v>
      </c>
      <c r="AC909">
        <v>0</v>
      </c>
      <c r="AD909">
        <v>0</v>
      </c>
      <c r="AE909">
        <v>0</v>
      </c>
      <c r="AF909">
        <v>0</v>
      </c>
      <c r="AG909">
        <v>0</v>
      </c>
      <c r="AH909" s="1">
        <v>0</v>
      </c>
      <c r="AI909">
        <v>907</v>
      </c>
      <c r="AJ909">
        <v>0</v>
      </c>
      <c r="AK909">
        <v>0</v>
      </c>
      <c r="AL909">
        <v>0</v>
      </c>
      <c r="AM909">
        <v>0</v>
      </c>
      <c r="AN909">
        <v>2</v>
      </c>
      <c r="AO909" s="1">
        <v>300</v>
      </c>
    </row>
    <row r="910" spans="7:41" x14ac:dyDescent="0.35">
      <c r="G910">
        <v>908</v>
      </c>
      <c r="H910">
        <v>4</v>
      </c>
      <c r="I910">
        <v>3</v>
      </c>
      <c r="J910">
        <v>3</v>
      </c>
      <c r="K910">
        <v>0</v>
      </c>
      <c r="L910">
        <v>2</v>
      </c>
      <c r="M910" s="1">
        <v>720</v>
      </c>
      <c r="N910">
        <v>908</v>
      </c>
      <c r="O910">
        <v>0</v>
      </c>
      <c r="P910">
        <v>0</v>
      </c>
      <c r="Q910">
        <v>2</v>
      </c>
      <c r="R910">
        <v>0</v>
      </c>
      <c r="S910">
        <v>1</v>
      </c>
      <c r="T910" s="1">
        <v>240</v>
      </c>
      <c r="U910">
        <v>908</v>
      </c>
      <c r="V910">
        <v>0</v>
      </c>
      <c r="W910">
        <v>0</v>
      </c>
      <c r="X910">
        <v>0</v>
      </c>
      <c r="Y910">
        <v>0</v>
      </c>
      <c r="Z910">
        <v>0</v>
      </c>
      <c r="AA910" s="1">
        <v>0</v>
      </c>
      <c r="AB910">
        <v>908</v>
      </c>
      <c r="AC910">
        <v>0</v>
      </c>
      <c r="AD910">
        <v>0</v>
      </c>
      <c r="AE910">
        <v>0</v>
      </c>
      <c r="AF910">
        <v>0</v>
      </c>
      <c r="AG910">
        <v>0</v>
      </c>
      <c r="AH910" s="1">
        <v>0</v>
      </c>
      <c r="AI910">
        <v>908</v>
      </c>
      <c r="AJ910">
        <v>0</v>
      </c>
      <c r="AK910">
        <v>0</v>
      </c>
      <c r="AL910">
        <v>0</v>
      </c>
      <c r="AM910">
        <v>0</v>
      </c>
      <c r="AN910">
        <v>0</v>
      </c>
      <c r="AO910" s="1">
        <v>0</v>
      </c>
    </row>
    <row r="911" spans="7:41" x14ac:dyDescent="0.35">
      <c r="G911">
        <v>909</v>
      </c>
      <c r="H911">
        <v>0</v>
      </c>
      <c r="I911">
        <v>0</v>
      </c>
      <c r="J911">
        <v>1</v>
      </c>
      <c r="K911">
        <v>1</v>
      </c>
      <c r="L911">
        <v>0</v>
      </c>
      <c r="M911" s="1">
        <v>120</v>
      </c>
      <c r="N911">
        <v>909</v>
      </c>
      <c r="O911">
        <v>0</v>
      </c>
      <c r="P911">
        <v>0</v>
      </c>
      <c r="Q911">
        <v>2</v>
      </c>
      <c r="R911">
        <v>0</v>
      </c>
      <c r="S911">
        <v>0</v>
      </c>
      <c r="T911" s="1">
        <v>160</v>
      </c>
      <c r="U911">
        <v>909</v>
      </c>
      <c r="V911">
        <v>0</v>
      </c>
      <c r="W911">
        <v>2</v>
      </c>
      <c r="X911">
        <v>0</v>
      </c>
      <c r="Y911">
        <v>0</v>
      </c>
      <c r="Z911">
        <v>0</v>
      </c>
      <c r="AA911" s="1">
        <v>200</v>
      </c>
      <c r="AB911">
        <v>909</v>
      </c>
      <c r="AC911">
        <v>0</v>
      </c>
      <c r="AD911">
        <v>0</v>
      </c>
      <c r="AE911">
        <v>0</v>
      </c>
      <c r="AF911">
        <v>0</v>
      </c>
      <c r="AG911">
        <v>0</v>
      </c>
      <c r="AH911" s="1">
        <v>0</v>
      </c>
      <c r="AI911">
        <v>909</v>
      </c>
      <c r="AJ911">
        <v>0</v>
      </c>
      <c r="AK911">
        <v>0</v>
      </c>
      <c r="AL911">
        <v>2</v>
      </c>
      <c r="AM911">
        <v>0</v>
      </c>
      <c r="AN911">
        <v>0</v>
      </c>
      <c r="AO911" s="1">
        <v>300</v>
      </c>
    </row>
    <row r="912" spans="7:41" x14ac:dyDescent="0.35">
      <c r="G912">
        <v>910</v>
      </c>
      <c r="H912">
        <v>2</v>
      </c>
      <c r="I912">
        <v>1</v>
      </c>
      <c r="J912">
        <v>0</v>
      </c>
      <c r="K912">
        <v>4</v>
      </c>
      <c r="L912">
        <v>0</v>
      </c>
      <c r="M912" s="1">
        <v>420</v>
      </c>
      <c r="N912">
        <v>910</v>
      </c>
      <c r="O912">
        <v>1</v>
      </c>
      <c r="P912">
        <v>0</v>
      </c>
      <c r="Q912">
        <v>0</v>
      </c>
      <c r="R912">
        <v>0</v>
      </c>
      <c r="S912">
        <v>0</v>
      </c>
      <c r="T912" s="1">
        <v>80</v>
      </c>
      <c r="U912">
        <v>910</v>
      </c>
      <c r="V912">
        <v>0</v>
      </c>
      <c r="W912">
        <v>1</v>
      </c>
      <c r="X912">
        <v>0</v>
      </c>
      <c r="Y912">
        <v>0</v>
      </c>
      <c r="Z912">
        <v>0</v>
      </c>
      <c r="AA912" s="1">
        <v>100</v>
      </c>
      <c r="AB912">
        <v>910</v>
      </c>
      <c r="AC912">
        <v>0</v>
      </c>
      <c r="AD912">
        <v>0</v>
      </c>
      <c r="AE912">
        <v>0</v>
      </c>
      <c r="AF912">
        <v>0</v>
      </c>
      <c r="AG912">
        <v>0</v>
      </c>
      <c r="AH912" s="1">
        <v>0</v>
      </c>
      <c r="AI912">
        <v>910</v>
      </c>
      <c r="AJ912">
        <v>0</v>
      </c>
      <c r="AK912">
        <v>0</v>
      </c>
      <c r="AL912">
        <v>0</v>
      </c>
      <c r="AM912">
        <v>0</v>
      </c>
      <c r="AN912">
        <v>0</v>
      </c>
      <c r="AO912" s="1">
        <v>0</v>
      </c>
    </row>
    <row r="913" spans="7:41" x14ac:dyDescent="0.35">
      <c r="G913">
        <v>911</v>
      </c>
      <c r="H913">
        <v>0</v>
      </c>
      <c r="I913">
        <v>2</v>
      </c>
      <c r="J913">
        <v>1</v>
      </c>
      <c r="K913">
        <v>3</v>
      </c>
      <c r="L913">
        <v>0</v>
      </c>
      <c r="M913" s="1">
        <v>360</v>
      </c>
      <c r="N913">
        <v>911</v>
      </c>
      <c r="O913">
        <v>1</v>
      </c>
      <c r="P913">
        <v>1</v>
      </c>
      <c r="Q913">
        <v>0</v>
      </c>
      <c r="R913">
        <v>0</v>
      </c>
      <c r="S913">
        <v>0</v>
      </c>
      <c r="T913" s="1">
        <v>160</v>
      </c>
      <c r="U913">
        <v>911</v>
      </c>
      <c r="V913">
        <v>0</v>
      </c>
      <c r="W913">
        <v>3</v>
      </c>
      <c r="X913">
        <v>1</v>
      </c>
      <c r="Y913">
        <v>0</v>
      </c>
      <c r="Z913">
        <v>0</v>
      </c>
      <c r="AA913" s="1">
        <v>400</v>
      </c>
      <c r="AB913">
        <v>911</v>
      </c>
      <c r="AC913">
        <v>0</v>
      </c>
      <c r="AD913">
        <v>0</v>
      </c>
      <c r="AE913">
        <v>0</v>
      </c>
      <c r="AF913">
        <v>0</v>
      </c>
      <c r="AG913">
        <v>1</v>
      </c>
      <c r="AH913" s="1">
        <v>120</v>
      </c>
      <c r="AI913">
        <v>911</v>
      </c>
      <c r="AJ913">
        <v>0</v>
      </c>
      <c r="AK913">
        <v>0</v>
      </c>
      <c r="AL913">
        <v>0</v>
      </c>
      <c r="AM913">
        <v>0</v>
      </c>
      <c r="AN913">
        <v>0</v>
      </c>
      <c r="AO913" s="1">
        <v>0</v>
      </c>
    </row>
    <row r="914" spans="7:41" x14ac:dyDescent="0.35">
      <c r="G914">
        <v>912</v>
      </c>
      <c r="H914">
        <v>0</v>
      </c>
      <c r="I914">
        <v>0</v>
      </c>
      <c r="J914">
        <v>1</v>
      </c>
      <c r="K914">
        <v>1</v>
      </c>
      <c r="L914">
        <v>0</v>
      </c>
      <c r="M914" s="1">
        <v>120</v>
      </c>
      <c r="N914">
        <v>912</v>
      </c>
      <c r="O914">
        <v>0</v>
      </c>
      <c r="P914">
        <v>0</v>
      </c>
      <c r="Q914">
        <v>0</v>
      </c>
      <c r="R914">
        <v>0</v>
      </c>
      <c r="S914">
        <v>1</v>
      </c>
      <c r="T914" s="1">
        <v>80</v>
      </c>
      <c r="U914">
        <v>912</v>
      </c>
      <c r="V914">
        <v>0</v>
      </c>
      <c r="W914">
        <v>0</v>
      </c>
      <c r="X914">
        <v>0</v>
      </c>
      <c r="Y914">
        <v>0</v>
      </c>
      <c r="Z914">
        <v>0</v>
      </c>
      <c r="AA914" s="1">
        <v>0</v>
      </c>
      <c r="AB914">
        <v>912</v>
      </c>
      <c r="AC914">
        <v>0</v>
      </c>
      <c r="AD914">
        <v>0</v>
      </c>
      <c r="AE914">
        <v>0</v>
      </c>
      <c r="AF914">
        <v>0</v>
      </c>
      <c r="AG914">
        <v>0</v>
      </c>
      <c r="AH914" s="1">
        <v>0</v>
      </c>
      <c r="AI914">
        <v>912</v>
      </c>
      <c r="AJ914">
        <v>0</v>
      </c>
      <c r="AK914">
        <v>0</v>
      </c>
      <c r="AL914">
        <v>0</v>
      </c>
      <c r="AM914">
        <v>0</v>
      </c>
      <c r="AN914">
        <v>0</v>
      </c>
      <c r="AO914" s="1">
        <v>0</v>
      </c>
    </row>
    <row r="915" spans="7:41" x14ac:dyDescent="0.35">
      <c r="G915">
        <v>913</v>
      </c>
      <c r="H915">
        <v>1</v>
      </c>
      <c r="I915">
        <v>0</v>
      </c>
      <c r="J915">
        <v>1</v>
      </c>
      <c r="K915">
        <v>4</v>
      </c>
      <c r="L915">
        <v>0</v>
      </c>
      <c r="M915" s="1">
        <v>360</v>
      </c>
      <c r="N915">
        <v>913</v>
      </c>
      <c r="O915">
        <v>0</v>
      </c>
      <c r="P915">
        <v>0</v>
      </c>
      <c r="Q915">
        <v>1</v>
      </c>
      <c r="R915">
        <v>1</v>
      </c>
      <c r="S915">
        <v>0</v>
      </c>
      <c r="T915" s="1">
        <v>160</v>
      </c>
      <c r="U915">
        <v>913</v>
      </c>
      <c r="V915">
        <v>1</v>
      </c>
      <c r="W915">
        <v>0</v>
      </c>
      <c r="X915">
        <v>0</v>
      </c>
      <c r="Y915">
        <v>1</v>
      </c>
      <c r="Z915">
        <v>0</v>
      </c>
      <c r="AA915" s="1">
        <v>200</v>
      </c>
      <c r="AB915">
        <v>913</v>
      </c>
      <c r="AC915">
        <v>0</v>
      </c>
      <c r="AD915">
        <v>0</v>
      </c>
      <c r="AE915">
        <v>0</v>
      </c>
      <c r="AF915">
        <v>0</v>
      </c>
      <c r="AG915">
        <v>0</v>
      </c>
      <c r="AH915" s="1">
        <v>0</v>
      </c>
      <c r="AI915">
        <v>913</v>
      </c>
      <c r="AJ915">
        <v>0</v>
      </c>
      <c r="AK915">
        <v>0</v>
      </c>
      <c r="AL915">
        <v>0</v>
      </c>
      <c r="AM915">
        <v>0</v>
      </c>
      <c r="AN915">
        <v>0</v>
      </c>
      <c r="AO915" s="1">
        <v>0</v>
      </c>
    </row>
    <row r="916" spans="7:41" x14ac:dyDescent="0.35">
      <c r="G916">
        <v>914</v>
      </c>
      <c r="H916">
        <v>1</v>
      </c>
      <c r="I916">
        <v>0</v>
      </c>
      <c r="J916">
        <v>1</v>
      </c>
      <c r="K916">
        <v>0</v>
      </c>
      <c r="L916">
        <v>1</v>
      </c>
      <c r="M916" s="1">
        <v>180</v>
      </c>
      <c r="N916">
        <v>914</v>
      </c>
      <c r="O916">
        <v>0</v>
      </c>
      <c r="P916">
        <v>0</v>
      </c>
      <c r="Q916">
        <v>1</v>
      </c>
      <c r="R916">
        <v>0</v>
      </c>
      <c r="S916">
        <v>0</v>
      </c>
      <c r="T916" s="1">
        <v>80</v>
      </c>
      <c r="U916">
        <v>914</v>
      </c>
      <c r="V916">
        <v>0</v>
      </c>
      <c r="W916">
        <v>0</v>
      </c>
      <c r="X916">
        <v>0</v>
      </c>
      <c r="Y916">
        <v>0</v>
      </c>
      <c r="Z916">
        <v>0</v>
      </c>
      <c r="AA916" s="1">
        <v>0</v>
      </c>
      <c r="AB916">
        <v>914</v>
      </c>
      <c r="AC916">
        <v>0</v>
      </c>
      <c r="AD916">
        <v>0</v>
      </c>
      <c r="AE916">
        <v>0</v>
      </c>
      <c r="AF916">
        <v>0</v>
      </c>
      <c r="AG916">
        <v>0</v>
      </c>
      <c r="AH916" s="1">
        <v>0</v>
      </c>
      <c r="AI916">
        <v>914</v>
      </c>
      <c r="AJ916">
        <v>0</v>
      </c>
      <c r="AK916">
        <v>0</v>
      </c>
      <c r="AL916">
        <v>0</v>
      </c>
      <c r="AM916">
        <v>0</v>
      </c>
      <c r="AN916">
        <v>0</v>
      </c>
      <c r="AO916" s="1">
        <v>0</v>
      </c>
    </row>
    <row r="917" spans="7:41" x14ac:dyDescent="0.35">
      <c r="G917">
        <v>915</v>
      </c>
      <c r="H917">
        <v>0</v>
      </c>
      <c r="I917">
        <v>1</v>
      </c>
      <c r="J917">
        <v>2</v>
      </c>
      <c r="K917">
        <v>2</v>
      </c>
      <c r="L917">
        <v>1</v>
      </c>
      <c r="M917" s="1">
        <v>360</v>
      </c>
      <c r="N917">
        <v>915</v>
      </c>
      <c r="O917">
        <v>0</v>
      </c>
      <c r="P917">
        <v>0</v>
      </c>
      <c r="Q917">
        <v>0</v>
      </c>
      <c r="R917">
        <v>0</v>
      </c>
      <c r="S917">
        <v>0</v>
      </c>
      <c r="T917" s="1">
        <v>0</v>
      </c>
      <c r="U917">
        <v>915</v>
      </c>
      <c r="V917">
        <v>0</v>
      </c>
      <c r="W917">
        <v>0</v>
      </c>
      <c r="X917">
        <v>0</v>
      </c>
      <c r="Y917">
        <v>0</v>
      </c>
      <c r="Z917">
        <v>0</v>
      </c>
      <c r="AA917" s="1">
        <v>0</v>
      </c>
      <c r="AB917">
        <v>915</v>
      </c>
      <c r="AC917">
        <v>0</v>
      </c>
      <c r="AD917">
        <v>0</v>
      </c>
      <c r="AE917">
        <v>0</v>
      </c>
      <c r="AF917">
        <v>0</v>
      </c>
      <c r="AG917">
        <v>0</v>
      </c>
      <c r="AH917" s="1">
        <v>0</v>
      </c>
      <c r="AI917">
        <v>915</v>
      </c>
      <c r="AJ917">
        <v>0</v>
      </c>
      <c r="AK917">
        <v>0</v>
      </c>
      <c r="AL917">
        <v>2</v>
      </c>
      <c r="AM917">
        <v>0</v>
      </c>
      <c r="AN917">
        <v>0</v>
      </c>
      <c r="AO917" s="1">
        <v>300</v>
      </c>
    </row>
    <row r="918" spans="7:41" x14ac:dyDescent="0.35">
      <c r="G918">
        <v>916</v>
      </c>
      <c r="H918">
        <v>1</v>
      </c>
      <c r="I918">
        <v>0</v>
      </c>
      <c r="J918">
        <v>2</v>
      </c>
      <c r="K918">
        <v>3</v>
      </c>
      <c r="L918">
        <v>1</v>
      </c>
      <c r="M918" s="1">
        <v>420</v>
      </c>
      <c r="N918">
        <v>916</v>
      </c>
      <c r="O918">
        <v>2</v>
      </c>
      <c r="P918">
        <v>0</v>
      </c>
      <c r="Q918">
        <v>1</v>
      </c>
      <c r="R918">
        <v>1</v>
      </c>
      <c r="S918">
        <v>1</v>
      </c>
      <c r="T918" s="1">
        <v>400</v>
      </c>
      <c r="U918">
        <v>916</v>
      </c>
      <c r="V918">
        <v>0</v>
      </c>
      <c r="W918">
        <v>2</v>
      </c>
      <c r="X918">
        <v>0</v>
      </c>
      <c r="Y918">
        <v>0</v>
      </c>
      <c r="Z918">
        <v>0</v>
      </c>
      <c r="AA918" s="1">
        <v>200</v>
      </c>
      <c r="AB918">
        <v>916</v>
      </c>
      <c r="AC918">
        <v>0</v>
      </c>
      <c r="AD918">
        <v>0</v>
      </c>
      <c r="AE918">
        <v>0</v>
      </c>
      <c r="AF918">
        <v>0</v>
      </c>
      <c r="AG918">
        <v>0</v>
      </c>
      <c r="AH918" s="1">
        <v>0</v>
      </c>
      <c r="AI918">
        <v>916</v>
      </c>
      <c r="AJ918">
        <v>0</v>
      </c>
      <c r="AK918">
        <v>0</v>
      </c>
      <c r="AL918">
        <v>0</v>
      </c>
      <c r="AM918">
        <v>0</v>
      </c>
      <c r="AN918">
        <v>0</v>
      </c>
      <c r="AO918" s="1">
        <v>0</v>
      </c>
    </row>
    <row r="919" spans="7:41" x14ac:dyDescent="0.35">
      <c r="G919">
        <v>917</v>
      </c>
      <c r="H919">
        <v>0</v>
      </c>
      <c r="I919">
        <v>0</v>
      </c>
      <c r="J919">
        <v>0</v>
      </c>
      <c r="K919">
        <v>2</v>
      </c>
      <c r="L919">
        <v>0</v>
      </c>
      <c r="M919" s="1">
        <v>120</v>
      </c>
      <c r="N919">
        <v>917</v>
      </c>
      <c r="O919">
        <v>0</v>
      </c>
      <c r="P919">
        <v>2</v>
      </c>
      <c r="Q919">
        <v>1</v>
      </c>
      <c r="R919">
        <v>0</v>
      </c>
      <c r="S919">
        <v>0</v>
      </c>
      <c r="T919" s="1">
        <v>240</v>
      </c>
      <c r="U919">
        <v>917</v>
      </c>
      <c r="V919">
        <v>0</v>
      </c>
      <c r="W919">
        <v>0</v>
      </c>
      <c r="X919">
        <v>1</v>
      </c>
      <c r="Y919">
        <v>0</v>
      </c>
      <c r="Z919">
        <v>0</v>
      </c>
      <c r="AA919" s="1">
        <v>100</v>
      </c>
      <c r="AB919">
        <v>917</v>
      </c>
      <c r="AC919">
        <v>0</v>
      </c>
      <c r="AD919">
        <v>0</v>
      </c>
      <c r="AE919">
        <v>0</v>
      </c>
      <c r="AF919">
        <v>0</v>
      </c>
      <c r="AG919">
        <v>0</v>
      </c>
      <c r="AH919" s="1">
        <v>0</v>
      </c>
      <c r="AI919">
        <v>917</v>
      </c>
      <c r="AJ919">
        <v>0</v>
      </c>
      <c r="AK919">
        <v>0</v>
      </c>
      <c r="AL919">
        <v>2</v>
      </c>
      <c r="AM919">
        <v>0</v>
      </c>
      <c r="AN919">
        <v>0</v>
      </c>
      <c r="AO919" s="1">
        <v>300</v>
      </c>
    </row>
    <row r="920" spans="7:41" x14ac:dyDescent="0.35">
      <c r="G920">
        <v>918</v>
      </c>
      <c r="H920">
        <v>0</v>
      </c>
      <c r="I920">
        <v>1</v>
      </c>
      <c r="J920">
        <v>1</v>
      </c>
      <c r="K920">
        <v>0</v>
      </c>
      <c r="L920">
        <v>0</v>
      </c>
      <c r="M920" s="1">
        <v>120</v>
      </c>
      <c r="N920">
        <v>918</v>
      </c>
      <c r="O920">
        <v>0</v>
      </c>
      <c r="P920">
        <v>1</v>
      </c>
      <c r="Q920">
        <v>0</v>
      </c>
      <c r="R920">
        <v>1</v>
      </c>
      <c r="S920">
        <v>0</v>
      </c>
      <c r="T920" s="1">
        <v>160</v>
      </c>
      <c r="U920">
        <v>918</v>
      </c>
      <c r="V920">
        <v>0</v>
      </c>
      <c r="W920">
        <v>1</v>
      </c>
      <c r="X920">
        <v>0</v>
      </c>
      <c r="Y920">
        <v>0</v>
      </c>
      <c r="Z920">
        <v>0</v>
      </c>
      <c r="AA920" s="1">
        <v>100</v>
      </c>
      <c r="AB920">
        <v>918</v>
      </c>
      <c r="AC920">
        <v>0</v>
      </c>
      <c r="AD920">
        <v>0</v>
      </c>
      <c r="AE920">
        <v>0</v>
      </c>
      <c r="AF920">
        <v>0</v>
      </c>
      <c r="AG920">
        <v>0</v>
      </c>
      <c r="AH920" s="1">
        <v>0</v>
      </c>
      <c r="AI920">
        <v>918</v>
      </c>
      <c r="AJ920">
        <v>0</v>
      </c>
      <c r="AK920">
        <v>0</v>
      </c>
      <c r="AL920">
        <v>1</v>
      </c>
      <c r="AM920">
        <v>0</v>
      </c>
      <c r="AN920">
        <v>0</v>
      </c>
      <c r="AO920" s="1">
        <v>150</v>
      </c>
    </row>
    <row r="921" spans="7:41" x14ac:dyDescent="0.35">
      <c r="G921">
        <v>919</v>
      </c>
      <c r="H921">
        <v>0</v>
      </c>
      <c r="I921">
        <v>0</v>
      </c>
      <c r="J921">
        <v>1</v>
      </c>
      <c r="K921">
        <v>1</v>
      </c>
      <c r="L921">
        <v>2</v>
      </c>
      <c r="M921" s="1">
        <v>240</v>
      </c>
      <c r="N921">
        <v>919</v>
      </c>
      <c r="O921">
        <v>0</v>
      </c>
      <c r="P921">
        <v>1</v>
      </c>
      <c r="Q921">
        <v>0</v>
      </c>
      <c r="R921">
        <v>0</v>
      </c>
      <c r="S921">
        <v>0</v>
      </c>
      <c r="T921" s="1">
        <v>80</v>
      </c>
      <c r="U921">
        <v>919</v>
      </c>
      <c r="V921">
        <v>0</v>
      </c>
      <c r="W921">
        <v>1</v>
      </c>
      <c r="X921">
        <v>0</v>
      </c>
      <c r="Y921">
        <v>0</v>
      </c>
      <c r="Z921">
        <v>0</v>
      </c>
      <c r="AA921" s="1">
        <v>100</v>
      </c>
      <c r="AB921">
        <v>919</v>
      </c>
      <c r="AC921">
        <v>0</v>
      </c>
      <c r="AD921">
        <v>0</v>
      </c>
      <c r="AE921">
        <v>0</v>
      </c>
      <c r="AF921">
        <v>0</v>
      </c>
      <c r="AG921">
        <v>0</v>
      </c>
      <c r="AH921" s="1">
        <v>0</v>
      </c>
      <c r="AI921">
        <v>919</v>
      </c>
      <c r="AJ921">
        <v>0</v>
      </c>
      <c r="AK921">
        <v>0</v>
      </c>
      <c r="AL921">
        <v>0</v>
      </c>
      <c r="AM921">
        <v>0</v>
      </c>
      <c r="AN921">
        <v>0</v>
      </c>
      <c r="AO921" s="1">
        <v>0</v>
      </c>
    </row>
    <row r="922" spans="7:41" x14ac:dyDescent="0.35">
      <c r="G922">
        <v>920</v>
      </c>
      <c r="H922">
        <v>1</v>
      </c>
      <c r="I922">
        <v>0</v>
      </c>
      <c r="J922">
        <v>1</v>
      </c>
      <c r="K922">
        <v>0</v>
      </c>
      <c r="L922">
        <v>1</v>
      </c>
      <c r="M922" s="1">
        <v>180</v>
      </c>
      <c r="N922">
        <v>920</v>
      </c>
      <c r="O922">
        <v>2</v>
      </c>
      <c r="P922">
        <v>0</v>
      </c>
      <c r="Q922">
        <v>0</v>
      </c>
      <c r="R922">
        <v>0</v>
      </c>
      <c r="S922">
        <v>0</v>
      </c>
      <c r="T922" s="1">
        <v>160</v>
      </c>
      <c r="U922">
        <v>920</v>
      </c>
      <c r="V922">
        <v>0</v>
      </c>
      <c r="W922">
        <v>0</v>
      </c>
      <c r="X922">
        <v>0</v>
      </c>
      <c r="Y922">
        <v>0</v>
      </c>
      <c r="Z922">
        <v>0</v>
      </c>
      <c r="AA922" s="1">
        <v>0</v>
      </c>
      <c r="AB922">
        <v>920</v>
      </c>
      <c r="AC922">
        <v>0</v>
      </c>
      <c r="AD922">
        <v>0</v>
      </c>
      <c r="AE922">
        <v>0</v>
      </c>
      <c r="AF922">
        <v>0</v>
      </c>
      <c r="AG922">
        <v>0</v>
      </c>
      <c r="AH922" s="1">
        <v>0</v>
      </c>
      <c r="AI922">
        <v>920</v>
      </c>
      <c r="AJ922">
        <v>0</v>
      </c>
      <c r="AK922">
        <v>0</v>
      </c>
      <c r="AL922">
        <v>0</v>
      </c>
      <c r="AM922">
        <v>0</v>
      </c>
      <c r="AN922">
        <v>0</v>
      </c>
      <c r="AO922" s="1">
        <v>0</v>
      </c>
    </row>
    <row r="923" spans="7:41" x14ac:dyDescent="0.35">
      <c r="G923">
        <v>921</v>
      </c>
      <c r="H923">
        <v>1</v>
      </c>
      <c r="I923">
        <v>1</v>
      </c>
      <c r="J923">
        <v>3</v>
      </c>
      <c r="K923">
        <v>1</v>
      </c>
      <c r="L923">
        <v>0</v>
      </c>
      <c r="M923" s="1">
        <v>360</v>
      </c>
      <c r="N923">
        <v>921</v>
      </c>
      <c r="O923">
        <v>0</v>
      </c>
      <c r="P923">
        <v>0</v>
      </c>
      <c r="Q923">
        <v>0</v>
      </c>
      <c r="R923">
        <v>0</v>
      </c>
      <c r="S923">
        <v>0</v>
      </c>
      <c r="T923" s="1">
        <v>0</v>
      </c>
      <c r="U923">
        <v>921</v>
      </c>
      <c r="V923">
        <v>0</v>
      </c>
      <c r="W923">
        <v>1</v>
      </c>
      <c r="X923">
        <v>0</v>
      </c>
      <c r="Y923">
        <v>0</v>
      </c>
      <c r="Z923">
        <v>0</v>
      </c>
      <c r="AA923" s="1">
        <v>100</v>
      </c>
      <c r="AB923">
        <v>921</v>
      </c>
      <c r="AC923">
        <v>0</v>
      </c>
      <c r="AD923">
        <v>0</v>
      </c>
      <c r="AE923">
        <v>0</v>
      </c>
      <c r="AF923">
        <v>0</v>
      </c>
      <c r="AG923">
        <v>0</v>
      </c>
      <c r="AH923" s="1">
        <v>0</v>
      </c>
      <c r="AI923">
        <v>921</v>
      </c>
      <c r="AJ923">
        <v>0</v>
      </c>
      <c r="AK923">
        <v>0</v>
      </c>
      <c r="AL923">
        <v>0</v>
      </c>
      <c r="AM923">
        <v>0</v>
      </c>
      <c r="AN923">
        <v>0</v>
      </c>
      <c r="AO923" s="1">
        <v>0</v>
      </c>
    </row>
    <row r="924" spans="7:41" x14ac:dyDescent="0.35">
      <c r="G924">
        <v>922</v>
      </c>
      <c r="H924">
        <v>0</v>
      </c>
      <c r="I924">
        <v>1</v>
      </c>
      <c r="J924">
        <v>1</v>
      </c>
      <c r="K924">
        <v>2</v>
      </c>
      <c r="L924">
        <v>0</v>
      </c>
      <c r="M924" s="1">
        <v>240</v>
      </c>
      <c r="N924">
        <v>922</v>
      </c>
      <c r="O924">
        <v>0</v>
      </c>
      <c r="P924">
        <v>0</v>
      </c>
      <c r="Q924">
        <v>1</v>
      </c>
      <c r="R924">
        <v>0</v>
      </c>
      <c r="S924">
        <v>1</v>
      </c>
      <c r="T924" s="1">
        <v>160</v>
      </c>
      <c r="U924">
        <v>922</v>
      </c>
      <c r="V924">
        <v>0</v>
      </c>
      <c r="W924">
        <v>0</v>
      </c>
      <c r="X924">
        <v>1</v>
      </c>
      <c r="Y924">
        <v>0</v>
      </c>
      <c r="Z924">
        <v>0</v>
      </c>
      <c r="AA924" s="1">
        <v>100</v>
      </c>
      <c r="AB924">
        <v>922</v>
      </c>
      <c r="AC924">
        <v>0</v>
      </c>
      <c r="AD924">
        <v>0</v>
      </c>
      <c r="AE924">
        <v>1</v>
      </c>
      <c r="AF924">
        <v>0</v>
      </c>
      <c r="AG924">
        <v>0</v>
      </c>
      <c r="AH924" s="1">
        <v>120</v>
      </c>
      <c r="AI924">
        <v>922</v>
      </c>
      <c r="AJ924">
        <v>0</v>
      </c>
      <c r="AK924">
        <v>0</v>
      </c>
      <c r="AL924">
        <v>0</v>
      </c>
      <c r="AM924">
        <v>0</v>
      </c>
      <c r="AN924">
        <v>0</v>
      </c>
      <c r="AO924" s="1">
        <v>0</v>
      </c>
    </row>
    <row r="925" spans="7:41" x14ac:dyDescent="0.35">
      <c r="G925">
        <v>923</v>
      </c>
      <c r="H925">
        <v>0</v>
      </c>
      <c r="I925">
        <v>1</v>
      </c>
      <c r="J925">
        <v>2</v>
      </c>
      <c r="K925">
        <v>0</v>
      </c>
      <c r="L925">
        <v>0</v>
      </c>
      <c r="M925" s="1">
        <v>180</v>
      </c>
      <c r="N925">
        <v>923</v>
      </c>
      <c r="O925">
        <v>0</v>
      </c>
      <c r="P925">
        <v>1</v>
      </c>
      <c r="Q925">
        <v>3</v>
      </c>
      <c r="R925">
        <v>1</v>
      </c>
      <c r="S925">
        <v>0</v>
      </c>
      <c r="T925" s="1">
        <v>400</v>
      </c>
      <c r="U925">
        <v>923</v>
      </c>
      <c r="V925">
        <v>0</v>
      </c>
      <c r="W925">
        <v>1</v>
      </c>
      <c r="X925">
        <v>1</v>
      </c>
      <c r="Y925">
        <v>0</v>
      </c>
      <c r="Z925">
        <v>0</v>
      </c>
      <c r="AA925" s="1">
        <v>200</v>
      </c>
      <c r="AB925">
        <v>923</v>
      </c>
      <c r="AC925">
        <v>0</v>
      </c>
      <c r="AD925">
        <v>0</v>
      </c>
      <c r="AE925">
        <v>0</v>
      </c>
      <c r="AF925">
        <v>0</v>
      </c>
      <c r="AG925">
        <v>0</v>
      </c>
      <c r="AH925" s="1">
        <v>0</v>
      </c>
      <c r="AI925">
        <v>923</v>
      </c>
      <c r="AJ925">
        <v>0</v>
      </c>
      <c r="AK925">
        <v>0</v>
      </c>
      <c r="AL925">
        <v>0</v>
      </c>
      <c r="AM925">
        <v>0</v>
      </c>
      <c r="AN925">
        <v>0</v>
      </c>
      <c r="AO925" s="1">
        <v>0</v>
      </c>
    </row>
    <row r="926" spans="7:41" x14ac:dyDescent="0.35">
      <c r="G926">
        <v>924</v>
      </c>
      <c r="H926">
        <v>0</v>
      </c>
      <c r="I926">
        <v>1</v>
      </c>
      <c r="J926">
        <v>1</v>
      </c>
      <c r="K926">
        <v>4</v>
      </c>
      <c r="L926">
        <v>0</v>
      </c>
      <c r="M926" s="1">
        <v>360</v>
      </c>
      <c r="N926">
        <v>924</v>
      </c>
      <c r="O926">
        <v>0</v>
      </c>
      <c r="P926">
        <v>1</v>
      </c>
      <c r="Q926">
        <v>0</v>
      </c>
      <c r="R926">
        <v>0</v>
      </c>
      <c r="S926">
        <v>0</v>
      </c>
      <c r="T926" s="1">
        <v>80</v>
      </c>
      <c r="U926">
        <v>924</v>
      </c>
      <c r="V926">
        <v>0</v>
      </c>
      <c r="W926">
        <v>0</v>
      </c>
      <c r="X926">
        <v>0</v>
      </c>
      <c r="Y926">
        <v>0</v>
      </c>
      <c r="Z926">
        <v>0</v>
      </c>
      <c r="AA926" s="1">
        <v>0</v>
      </c>
      <c r="AB926">
        <v>924</v>
      </c>
      <c r="AC926">
        <v>0</v>
      </c>
      <c r="AD926">
        <v>0</v>
      </c>
      <c r="AE926">
        <v>0</v>
      </c>
      <c r="AF926">
        <v>0</v>
      </c>
      <c r="AG926">
        <v>1</v>
      </c>
      <c r="AH926" s="1">
        <v>120</v>
      </c>
      <c r="AI926">
        <v>924</v>
      </c>
      <c r="AJ926">
        <v>0</v>
      </c>
      <c r="AK926">
        <v>0</v>
      </c>
      <c r="AL926">
        <v>0</v>
      </c>
      <c r="AM926">
        <v>0</v>
      </c>
      <c r="AN926">
        <v>0</v>
      </c>
      <c r="AO926" s="1">
        <v>0</v>
      </c>
    </row>
    <row r="927" spans="7:41" x14ac:dyDescent="0.35">
      <c r="G927">
        <v>925</v>
      </c>
      <c r="H927">
        <v>0</v>
      </c>
      <c r="I927">
        <v>0</v>
      </c>
      <c r="J927">
        <v>0</v>
      </c>
      <c r="K927">
        <v>4</v>
      </c>
      <c r="L927">
        <v>0</v>
      </c>
      <c r="M927" s="1">
        <v>240</v>
      </c>
      <c r="N927">
        <v>925</v>
      </c>
      <c r="O927">
        <v>0</v>
      </c>
      <c r="P927">
        <v>0</v>
      </c>
      <c r="Q927">
        <v>0</v>
      </c>
      <c r="R927">
        <v>1</v>
      </c>
      <c r="S927">
        <v>0</v>
      </c>
      <c r="T927" s="1">
        <v>80</v>
      </c>
      <c r="U927">
        <v>925</v>
      </c>
      <c r="V927">
        <v>0</v>
      </c>
      <c r="W927">
        <v>0</v>
      </c>
      <c r="X927">
        <v>0</v>
      </c>
      <c r="Y927">
        <v>0</v>
      </c>
      <c r="Z927">
        <v>0</v>
      </c>
      <c r="AA927" s="1">
        <v>0</v>
      </c>
      <c r="AB927">
        <v>925</v>
      </c>
      <c r="AC927">
        <v>0</v>
      </c>
      <c r="AD927">
        <v>0</v>
      </c>
      <c r="AE927">
        <v>0</v>
      </c>
      <c r="AF927">
        <v>0</v>
      </c>
      <c r="AG927">
        <v>1</v>
      </c>
      <c r="AH927" s="1">
        <v>120</v>
      </c>
      <c r="AI927">
        <v>925</v>
      </c>
      <c r="AJ927">
        <v>0</v>
      </c>
      <c r="AK927">
        <v>0</v>
      </c>
      <c r="AL927">
        <v>0</v>
      </c>
      <c r="AM927">
        <v>0</v>
      </c>
      <c r="AN927">
        <v>0</v>
      </c>
      <c r="AO927" s="1">
        <v>0</v>
      </c>
    </row>
    <row r="928" spans="7:41" x14ac:dyDescent="0.35">
      <c r="G928">
        <v>926</v>
      </c>
      <c r="H928">
        <v>0</v>
      </c>
      <c r="I928">
        <v>0</v>
      </c>
      <c r="J928">
        <v>0</v>
      </c>
      <c r="K928">
        <v>1</v>
      </c>
      <c r="L928">
        <v>3</v>
      </c>
      <c r="M928" s="1">
        <v>240</v>
      </c>
      <c r="N928">
        <v>926</v>
      </c>
      <c r="O928">
        <v>0</v>
      </c>
      <c r="P928">
        <v>0</v>
      </c>
      <c r="Q928">
        <v>1</v>
      </c>
      <c r="R928">
        <v>0</v>
      </c>
      <c r="S928">
        <v>0</v>
      </c>
      <c r="T928" s="1">
        <v>80</v>
      </c>
      <c r="U928">
        <v>926</v>
      </c>
      <c r="V928">
        <v>0</v>
      </c>
      <c r="W928">
        <v>0</v>
      </c>
      <c r="X928">
        <v>0</v>
      </c>
      <c r="Y928">
        <v>0</v>
      </c>
      <c r="Z928">
        <v>0</v>
      </c>
      <c r="AA928" s="1">
        <v>0</v>
      </c>
      <c r="AB928">
        <v>926</v>
      </c>
      <c r="AC928">
        <v>0</v>
      </c>
      <c r="AD928">
        <v>1</v>
      </c>
      <c r="AE928">
        <v>0</v>
      </c>
      <c r="AF928">
        <v>0</v>
      </c>
      <c r="AG928">
        <v>0</v>
      </c>
      <c r="AH928" s="1">
        <v>120</v>
      </c>
      <c r="AI928">
        <v>926</v>
      </c>
      <c r="AJ928">
        <v>0</v>
      </c>
      <c r="AK928">
        <v>0</v>
      </c>
      <c r="AL928">
        <v>0</v>
      </c>
      <c r="AM928">
        <v>0</v>
      </c>
      <c r="AN928">
        <v>0</v>
      </c>
      <c r="AO928" s="1">
        <v>0</v>
      </c>
    </row>
    <row r="929" spans="7:41" x14ac:dyDescent="0.35">
      <c r="G929">
        <v>927</v>
      </c>
      <c r="H929">
        <v>1</v>
      </c>
      <c r="I929">
        <v>2</v>
      </c>
      <c r="J929">
        <v>1</v>
      </c>
      <c r="K929">
        <v>0</v>
      </c>
      <c r="L929">
        <v>0</v>
      </c>
      <c r="M929" s="1">
        <v>240</v>
      </c>
      <c r="N929">
        <v>927</v>
      </c>
      <c r="O929">
        <v>0</v>
      </c>
      <c r="P929">
        <v>2</v>
      </c>
      <c r="Q929">
        <v>2</v>
      </c>
      <c r="R929">
        <v>0</v>
      </c>
      <c r="S929">
        <v>1</v>
      </c>
      <c r="T929" s="1">
        <v>400</v>
      </c>
      <c r="U929">
        <v>927</v>
      </c>
      <c r="V929">
        <v>0</v>
      </c>
      <c r="W929">
        <v>0</v>
      </c>
      <c r="X929">
        <v>1</v>
      </c>
      <c r="Y929">
        <v>0</v>
      </c>
      <c r="Z929">
        <v>0</v>
      </c>
      <c r="AA929" s="1">
        <v>100</v>
      </c>
      <c r="AB929">
        <v>927</v>
      </c>
      <c r="AC929">
        <v>0</v>
      </c>
      <c r="AD929">
        <v>0</v>
      </c>
      <c r="AE929">
        <v>0</v>
      </c>
      <c r="AF929">
        <v>0</v>
      </c>
      <c r="AG929">
        <v>0</v>
      </c>
      <c r="AH929" s="1">
        <v>0</v>
      </c>
      <c r="AI929">
        <v>927</v>
      </c>
      <c r="AJ929">
        <v>0</v>
      </c>
      <c r="AK929">
        <v>1</v>
      </c>
      <c r="AL929">
        <v>1</v>
      </c>
      <c r="AM929">
        <v>0</v>
      </c>
      <c r="AN929">
        <v>0</v>
      </c>
      <c r="AO929" s="1">
        <v>300</v>
      </c>
    </row>
    <row r="930" spans="7:41" x14ac:dyDescent="0.35">
      <c r="G930">
        <v>928</v>
      </c>
      <c r="H930">
        <v>0</v>
      </c>
      <c r="I930">
        <v>0</v>
      </c>
      <c r="J930">
        <v>3</v>
      </c>
      <c r="K930">
        <v>0</v>
      </c>
      <c r="L930">
        <v>3</v>
      </c>
      <c r="M930" s="1">
        <v>360</v>
      </c>
      <c r="N930">
        <v>928</v>
      </c>
      <c r="O930">
        <v>0</v>
      </c>
      <c r="P930">
        <v>0</v>
      </c>
      <c r="Q930">
        <v>0</v>
      </c>
      <c r="R930">
        <v>0</v>
      </c>
      <c r="S930">
        <v>0</v>
      </c>
      <c r="T930" s="1">
        <v>0</v>
      </c>
      <c r="U930">
        <v>928</v>
      </c>
      <c r="V930">
        <v>0</v>
      </c>
      <c r="W930">
        <v>0</v>
      </c>
      <c r="X930">
        <v>0</v>
      </c>
      <c r="Y930">
        <v>0</v>
      </c>
      <c r="Z930">
        <v>0</v>
      </c>
      <c r="AA930" s="1">
        <v>0</v>
      </c>
      <c r="AB930">
        <v>928</v>
      </c>
      <c r="AC930">
        <v>0</v>
      </c>
      <c r="AD930">
        <v>0</v>
      </c>
      <c r="AE930">
        <v>0</v>
      </c>
      <c r="AF930">
        <v>0</v>
      </c>
      <c r="AG930">
        <v>0</v>
      </c>
      <c r="AH930" s="1">
        <v>0</v>
      </c>
      <c r="AI930">
        <v>928</v>
      </c>
      <c r="AJ930">
        <v>0</v>
      </c>
      <c r="AK930">
        <v>0</v>
      </c>
      <c r="AL930">
        <v>1</v>
      </c>
      <c r="AM930">
        <v>0</v>
      </c>
      <c r="AN930">
        <v>0</v>
      </c>
      <c r="AO930" s="1">
        <v>150</v>
      </c>
    </row>
    <row r="931" spans="7:41" x14ac:dyDescent="0.35">
      <c r="G931">
        <v>929</v>
      </c>
      <c r="H931">
        <v>0</v>
      </c>
      <c r="I931">
        <v>1</v>
      </c>
      <c r="J931">
        <v>4</v>
      </c>
      <c r="K931">
        <v>0</v>
      </c>
      <c r="L931">
        <v>1</v>
      </c>
      <c r="M931" s="1">
        <v>360</v>
      </c>
      <c r="N931">
        <v>929</v>
      </c>
      <c r="O931">
        <v>0</v>
      </c>
      <c r="P931">
        <v>0</v>
      </c>
      <c r="Q931">
        <v>0</v>
      </c>
      <c r="R931">
        <v>0</v>
      </c>
      <c r="S931">
        <v>1</v>
      </c>
      <c r="T931" s="1">
        <v>80</v>
      </c>
      <c r="U931">
        <v>929</v>
      </c>
      <c r="V931">
        <v>0</v>
      </c>
      <c r="W931">
        <v>0</v>
      </c>
      <c r="X931">
        <v>0</v>
      </c>
      <c r="Y931">
        <v>0</v>
      </c>
      <c r="Z931">
        <v>0</v>
      </c>
      <c r="AA931" s="1">
        <v>0</v>
      </c>
      <c r="AB931">
        <v>929</v>
      </c>
      <c r="AC931">
        <v>1</v>
      </c>
      <c r="AD931">
        <v>0</v>
      </c>
      <c r="AE931">
        <v>0</v>
      </c>
      <c r="AF931">
        <v>0</v>
      </c>
      <c r="AG931">
        <v>0</v>
      </c>
      <c r="AH931" s="1">
        <v>120</v>
      </c>
      <c r="AI931">
        <v>929</v>
      </c>
      <c r="AJ931">
        <v>0</v>
      </c>
      <c r="AK931">
        <v>0</v>
      </c>
      <c r="AL931">
        <v>2</v>
      </c>
      <c r="AM931">
        <v>0</v>
      </c>
      <c r="AN931">
        <v>0</v>
      </c>
      <c r="AO931" s="1">
        <v>300</v>
      </c>
    </row>
    <row r="932" spans="7:41" x14ac:dyDescent="0.35">
      <c r="G932">
        <v>930</v>
      </c>
      <c r="H932">
        <v>0</v>
      </c>
      <c r="I932">
        <v>2</v>
      </c>
      <c r="J932">
        <v>1</v>
      </c>
      <c r="K932">
        <v>2</v>
      </c>
      <c r="L932">
        <v>0</v>
      </c>
      <c r="M932" s="1">
        <v>300</v>
      </c>
      <c r="N932">
        <v>930</v>
      </c>
      <c r="O932">
        <v>0</v>
      </c>
      <c r="P932">
        <v>1</v>
      </c>
      <c r="Q932">
        <v>0</v>
      </c>
      <c r="R932">
        <v>0</v>
      </c>
      <c r="S932">
        <v>1</v>
      </c>
      <c r="T932" s="1">
        <v>160</v>
      </c>
      <c r="U932">
        <v>930</v>
      </c>
      <c r="V932">
        <v>0</v>
      </c>
      <c r="W932">
        <v>2</v>
      </c>
      <c r="X932">
        <v>0</v>
      </c>
      <c r="Y932">
        <v>0</v>
      </c>
      <c r="Z932">
        <v>0</v>
      </c>
      <c r="AA932" s="1">
        <v>200</v>
      </c>
      <c r="AB932">
        <v>930</v>
      </c>
      <c r="AC932">
        <v>0</v>
      </c>
      <c r="AD932">
        <v>0</v>
      </c>
      <c r="AE932">
        <v>0</v>
      </c>
      <c r="AF932">
        <v>0</v>
      </c>
      <c r="AG932">
        <v>0</v>
      </c>
      <c r="AH932" s="1">
        <v>0</v>
      </c>
      <c r="AI932">
        <v>930</v>
      </c>
      <c r="AJ932">
        <v>0</v>
      </c>
      <c r="AK932">
        <v>0</v>
      </c>
      <c r="AL932">
        <v>0</v>
      </c>
      <c r="AM932">
        <v>0</v>
      </c>
      <c r="AN932">
        <v>0</v>
      </c>
      <c r="AO932" s="1">
        <v>0</v>
      </c>
    </row>
    <row r="933" spans="7:41" x14ac:dyDescent="0.35">
      <c r="G933">
        <v>931</v>
      </c>
      <c r="H933">
        <v>0</v>
      </c>
      <c r="I933">
        <v>0</v>
      </c>
      <c r="J933">
        <v>0</v>
      </c>
      <c r="K933">
        <v>2</v>
      </c>
      <c r="L933">
        <v>0</v>
      </c>
      <c r="M933" s="1">
        <v>120</v>
      </c>
      <c r="N933">
        <v>931</v>
      </c>
      <c r="O933">
        <v>0</v>
      </c>
      <c r="P933">
        <v>0</v>
      </c>
      <c r="Q933">
        <v>0</v>
      </c>
      <c r="R933">
        <v>0</v>
      </c>
      <c r="S933">
        <v>0</v>
      </c>
      <c r="T933" s="1">
        <v>0</v>
      </c>
      <c r="U933">
        <v>931</v>
      </c>
      <c r="V933">
        <v>0</v>
      </c>
      <c r="W933">
        <v>1</v>
      </c>
      <c r="X933">
        <v>1</v>
      </c>
      <c r="Y933">
        <v>0</v>
      </c>
      <c r="Z933">
        <v>1</v>
      </c>
      <c r="AA933" s="1">
        <v>300</v>
      </c>
      <c r="AB933">
        <v>931</v>
      </c>
      <c r="AC933">
        <v>0</v>
      </c>
      <c r="AD933">
        <v>0</v>
      </c>
      <c r="AE933">
        <v>0</v>
      </c>
      <c r="AF933">
        <v>0</v>
      </c>
      <c r="AG933">
        <v>0</v>
      </c>
      <c r="AH933" s="1">
        <v>0</v>
      </c>
      <c r="AI933">
        <v>931</v>
      </c>
      <c r="AJ933">
        <v>0</v>
      </c>
      <c r="AK933">
        <v>0</v>
      </c>
      <c r="AL933">
        <v>0</v>
      </c>
      <c r="AM933">
        <v>0</v>
      </c>
      <c r="AN933">
        <v>0</v>
      </c>
      <c r="AO933" s="1">
        <v>0</v>
      </c>
    </row>
    <row r="934" spans="7:41" x14ac:dyDescent="0.35">
      <c r="G934">
        <v>932</v>
      </c>
      <c r="H934">
        <v>1</v>
      </c>
      <c r="I934">
        <v>1</v>
      </c>
      <c r="J934">
        <v>2</v>
      </c>
      <c r="K934">
        <v>0</v>
      </c>
      <c r="L934">
        <v>0</v>
      </c>
      <c r="M934" s="1">
        <v>240</v>
      </c>
      <c r="N934">
        <v>932</v>
      </c>
      <c r="O934">
        <v>0</v>
      </c>
      <c r="P934">
        <v>0</v>
      </c>
      <c r="Q934">
        <v>1</v>
      </c>
      <c r="R934">
        <v>1</v>
      </c>
      <c r="S934">
        <v>0</v>
      </c>
      <c r="T934" s="1">
        <v>160</v>
      </c>
      <c r="U934">
        <v>932</v>
      </c>
      <c r="V934">
        <v>0</v>
      </c>
      <c r="W934">
        <v>0</v>
      </c>
      <c r="X934">
        <v>0</v>
      </c>
      <c r="Y934">
        <v>1</v>
      </c>
      <c r="Z934">
        <v>0</v>
      </c>
      <c r="AA934" s="1">
        <v>100</v>
      </c>
      <c r="AB934">
        <v>932</v>
      </c>
      <c r="AC934">
        <v>1</v>
      </c>
      <c r="AD934">
        <v>0</v>
      </c>
      <c r="AE934">
        <v>0</v>
      </c>
      <c r="AF934">
        <v>0</v>
      </c>
      <c r="AG934">
        <v>0</v>
      </c>
      <c r="AH934" s="1">
        <v>120</v>
      </c>
      <c r="AI934">
        <v>932</v>
      </c>
      <c r="AJ934">
        <v>0</v>
      </c>
      <c r="AK934">
        <v>0</v>
      </c>
      <c r="AL934">
        <v>1</v>
      </c>
      <c r="AM934">
        <v>0</v>
      </c>
      <c r="AN934">
        <v>0</v>
      </c>
      <c r="AO934" s="1">
        <v>150</v>
      </c>
    </row>
    <row r="935" spans="7:41" x14ac:dyDescent="0.35">
      <c r="G935">
        <v>933</v>
      </c>
      <c r="H935">
        <v>0</v>
      </c>
      <c r="I935">
        <v>0</v>
      </c>
      <c r="J935">
        <v>1</v>
      </c>
      <c r="K935">
        <v>0</v>
      </c>
      <c r="L935">
        <v>0</v>
      </c>
      <c r="M935" s="1">
        <v>60</v>
      </c>
      <c r="N935">
        <v>933</v>
      </c>
      <c r="O935">
        <v>2</v>
      </c>
      <c r="P935">
        <v>1</v>
      </c>
      <c r="Q935">
        <v>0</v>
      </c>
      <c r="R935">
        <v>0</v>
      </c>
      <c r="S935">
        <v>0</v>
      </c>
      <c r="T935" s="1">
        <v>240</v>
      </c>
      <c r="U935">
        <v>933</v>
      </c>
      <c r="V935">
        <v>1</v>
      </c>
      <c r="W935">
        <v>2</v>
      </c>
      <c r="X935">
        <v>0</v>
      </c>
      <c r="Y935">
        <v>0</v>
      </c>
      <c r="Z935">
        <v>1</v>
      </c>
      <c r="AA935" s="1">
        <v>400</v>
      </c>
      <c r="AB935">
        <v>933</v>
      </c>
      <c r="AC935">
        <v>0</v>
      </c>
      <c r="AD935">
        <v>1</v>
      </c>
      <c r="AE935">
        <v>0</v>
      </c>
      <c r="AF935">
        <v>0</v>
      </c>
      <c r="AG935">
        <v>0</v>
      </c>
      <c r="AH935" s="1">
        <v>120</v>
      </c>
      <c r="AI935">
        <v>933</v>
      </c>
      <c r="AJ935">
        <v>0</v>
      </c>
      <c r="AK935">
        <v>0</v>
      </c>
      <c r="AL935">
        <v>1</v>
      </c>
      <c r="AM935">
        <v>0</v>
      </c>
      <c r="AN935">
        <v>0</v>
      </c>
      <c r="AO935" s="1">
        <v>150</v>
      </c>
    </row>
    <row r="936" spans="7:41" x14ac:dyDescent="0.35">
      <c r="G936">
        <v>934</v>
      </c>
      <c r="H936">
        <v>0</v>
      </c>
      <c r="I936">
        <v>1</v>
      </c>
      <c r="J936">
        <v>0</v>
      </c>
      <c r="K936">
        <v>0</v>
      </c>
      <c r="L936">
        <v>0</v>
      </c>
      <c r="M936" s="1">
        <v>60</v>
      </c>
      <c r="N936">
        <v>934</v>
      </c>
      <c r="O936">
        <v>0</v>
      </c>
      <c r="P936">
        <v>0</v>
      </c>
      <c r="Q936">
        <v>0</v>
      </c>
      <c r="R936">
        <v>0</v>
      </c>
      <c r="S936">
        <v>0</v>
      </c>
      <c r="T936" s="1">
        <v>0</v>
      </c>
      <c r="U936">
        <v>934</v>
      </c>
      <c r="V936">
        <v>0</v>
      </c>
      <c r="W936">
        <v>0</v>
      </c>
      <c r="X936">
        <v>1</v>
      </c>
      <c r="Y936">
        <v>0</v>
      </c>
      <c r="Z936">
        <v>0</v>
      </c>
      <c r="AA936" s="1">
        <v>100</v>
      </c>
      <c r="AB936">
        <v>934</v>
      </c>
      <c r="AC936">
        <v>0</v>
      </c>
      <c r="AD936">
        <v>0</v>
      </c>
      <c r="AE936">
        <v>0</v>
      </c>
      <c r="AF936">
        <v>0</v>
      </c>
      <c r="AG936">
        <v>0</v>
      </c>
      <c r="AH936" s="1">
        <v>0</v>
      </c>
      <c r="AI936">
        <v>934</v>
      </c>
      <c r="AJ936">
        <v>0</v>
      </c>
      <c r="AK936">
        <v>0</v>
      </c>
      <c r="AL936">
        <v>0</v>
      </c>
      <c r="AM936">
        <v>0</v>
      </c>
      <c r="AN936">
        <v>0</v>
      </c>
      <c r="AO936" s="1">
        <v>0</v>
      </c>
    </row>
    <row r="937" spans="7:41" x14ac:dyDescent="0.35">
      <c r="G937">
        <v>935</v>
      </c>
      <c r="H937">
        <v>0</v>
      </c>
      <c r="I937">
        <v>2</v>
      </c>
      <c r="J937">
        <v>1</v>
      </c>
      <c r="K937">
        <v>0</v>
      </c>
      <c r="L937">
        <v>0</v>
      </c>
      <c r="M937" s="1">
        <v>180</v>
      </c>
      <c r="N937">
        <v>935</v>
      </c>
      <c r="O937">
        <v>2</v>
      </c>
      <c r="P937">
        <v>2</v>
      </c>
      <c r="Q937">
        <v>0</v>
      </c>
      <c r="R937">
        <v>0</v>
      </c>
      <c r="S937">
        <v>0</v>
      </c>
      <c r="T937" s="1">
        <v>320</v>
      </c>
      <c r="U937">
        <v>935</v>
      </c>
      <c r="V937">
        <v>0</v>
      </c>
      <c r="W937">
        <v>1</v>
      </c>
      <c r="X937">
        <v>0</v>
      </c>
      <c r="Y937">
        <v>0</v>
      </c>
      <c r="Z937">
        <v>0</v>
      </c>
      <c r="AA937" s="1">
        <v>100</v>
      </c>
      <c r="AB937">
        <v>935</v>
      </c>
      <c r="AC937">
        <v>0</v>
      </c>
      <c r="AD937">
        <v>0</v>
      </c>
      <c r="AE937">
        <v>0</v>
      </c>
      <c r="AF937">
        <v>0</v>
      </c>
      <c r="AG937">
        <v>0</v>
      </c>
      <c r="AH937" s="1">
        <v>0</v>
      </c>
      <c r="AI937">
        <v>935</v>
      </c>
      <c r="AJ937">
        <v>0</v>
      </c>
      <c r="AK937">
        <v>0</v>
      </c>
      <c r="AL937">
        <v>0</v>
      </c>
      <c r="AM937">
        <v>0</v>
      </c>
      <c r="AN937">
        <v>0</v>
      </c>
      <c r="AO937" s="1">
        <v>0</v>
      </c>
    </row>
    <row r="938" spans="7:41" x14ac:dyDescent="0.35">
      <c r="G938">
        <v>936</v>
      </c>
      <c r="H938">
        <v>0</v>
      </c>
      <c r="I938">
        <v>0</v>
      </c>
      <c r="J938">
        <v>0</v>
      </c>
      <c r="K938">
        <v>2</v>
      </c>
      <c r="L938">
        <v>1</v>
      </c>
      <c r="M938" s="1">
        <v>180</v>
      </c>
      <c r="N938">
        <v>936</v>
      </c>
      <c r="O938">
        <v>0</v>
      </c>
      <c r="P938">
        <v>0</v>
      </c>
      <c r="Q938">
        <v>0</v>
      </c>
      <c r="R938">
        <v>0</v>
      </c>
      <c r="S938">
        <v>0</v>
      </c>
      <c r="T938" s="1">
        <v>0</v>
      </c>
      <c r="U938">
        <v>936</v>
      </c>
      <c r="V938">
        <v>0</v>
      </c>
      <c r="W938">
        <v>0</v>
      </c>
      <c r="X938">
        <v>0</v>
      </c>
      <c r="Y938">
        <v>0</v>
      </c>
      <c r="Z938">
        <v>0</v>
      </c>
      <c r="AA938" s="1">
        <v>0</v>
      </c>
      <c r="AB938">
        <v>936</v>
      </c>
      <c r="AC938">
        <v>0</v>
      </c>
      <c r="AD938">
        <v>0</v>
      </c>
      <c r="AE938">
        <v>0</v>
      </c>
      <c r="AF938">
        <v>0</v>
      </c>
      <c r="AG938">
        <v>0</v>
      </c>
      <c r="AH938" s="1">
        <v>0</v>
      </c>
      <c r="AI938">
        <v>936</v>
      </c>
      <c r="AJ938">
        <v>0</v>
      </c>
      <c r="AK938">
        <v>0</v>
      </c>
      <c r="AL938">
        <v>0</v>
      </c>
      <c r="AM938">
        <v>0</v>
      </c>
      <c r="AN938">
        <v>0</v>
      </c>
      <c r="AO938" s="1">
        <v>0</v>
      </c>
    </row>
    <row r="939" spans="7:41" x14ac:dyDescent="0.35">
      <c r="G939">
        <v>937</v>
      </c>
      <c r="H939">
        <v>0</v>
      </c>
      <c r="I939">
        <v>0</v>
      </c>
      <c r="J939">
        <v>0</v>
      </c>
      <c r="K939">
        <v>2</v>
      </c>
      <c r="L939">
        <v>0</v>
      </c>
      <c r="M939" s="1">
        <v>120</v>
      </c>
      <c r="N939">
        <v>937</v>
      </c>
      <c r="O939">
        <v>0</v>
      </c>
      <c r="P939">
        <v>0</v>
      </c>
      <c r="Q939">
        <v>0</v>
      </c>
      <c r="R939">
        <v>0</v>
      </c>
      <c r="S939">
        <v>1</v>
      </c>
      <c r="T939" s="1">
        <v>80</v>
      </c>
      <c r="U939">
        <v>937</v>
      </c>
      <c r="V939">
        <v>0</v>
      </c>
      <c r="W939">
        <v>2</v>
      </c>
      <c r="X939">
        <v>0</v>
      </c>
      <c r="Y939">
        <v>0</v>
      </c>
      <c r="Z939">
        <v>0</v>
      </c>
      <c r="AA939" s="1">
        <v>200</v>
      </c>
      <c r="AB939">
        <v>937</v>
      </c>
      <c r="AC939">
        <v>0</v>
      </c>
      <c r="AD939">
        <v>0</v>
      </c>
      <c r="AE939">
        <v>0</v>
      </c>
      <c r="AF939">
        <v>0</v>
      </c>
      <c r="AG939">
        <v>0</v>
      </c>
      <c r="AH939" s="1">
        <v>0</v>
      </c>
      <c r="AI939">
        <v>937</v>
      </c>
      <c r="AJ939">
        <v>0</v>
      </c>
      <c r="AK939">
        <v>0</v>
      </c>
      <c r="AL939">
        <v>0</v>
      </c>
      <c r="AM939">
        <v>0</v>
      </c>
      <c r="AN939">
        <v>0</v>
      </c>
      <c r="AO939" s="1">
        <v>0</v>
      </c>
    </row>
    <row r="940" spans="7:41" x14ac:dyDescent="0.35">
      <c r="G940">
        <v>938</v>
      </c>
      <c r="H940">
        <v>1</v>
      </c>
      <c r="I940">
        <v>1</v>
      </c>
      <c r="J940">
        <v>4</v>
      </c>
      <c r="K940">
        <v>1</v>
      </c>
      <c r="L940">
        <v>4</v>
      </c>
      <c r="M940" s="1">
        <v>660</v>
      </c>
      <c r="N940">
        <v>938</v>
      </c>
      <c r="O940">
        <v>1</v>
      </c>
      <c r="P940">
        <v>0</v>
      </c>
      <c r="Q940">
        <v>1</v>
      </c>
      <c r="R940">
        <v>0</v>
      </c>
      <c r="S940">
        <v>0</v>
      </c>
      <c r="T940" s="1">
        <v>160</v>
      </c>
      <c r="U940">
        <v>938</v>
      </c>
      <c r="V940">
        <v>0</v>
      </c>
      <c r="W940">
        <v>0</v>
      </c>
      <c r="X940">
        <v>1</v>
      </c>
      <c r="Y940">
        <v>0</v>
      </c>
      <c r="Z940">
        <v>0</v>
      </c>
      <c r="AA940" s="1">
        <v>100</v>
      </c>
      <c r="AB940">
        <v>938</v>
      </c>
      <c r="AC940">
        <v>0</v>
      </c>
      <c r="AD940">
        <v>0</v>
      </c>
      <c r="AE940">
        <v>0</v>
      </c>
      <c r="AF940">
        <v>0</v>
      </c>
      <c r="AG940">
        <v>1</v>
      </c>
      <c r="AH940" s="1">
        <v>120</v>
      </c>
      <c r="AI940">
        <v>938</v>
      </c>
      <c r="AJ940">
        <v>0</v>
      </c>
      <c r="AK940">
        <v>0</v>
      </c>
      <c r="AL940">
        <v>0</v>
      </c>
      <c r="AM940">
        <v>0</v>
      </c>
      <c r="AN940">
        <v>0</v>
      </c>
      <c r="AO940" s="1">
        <v>0</v>
      </c>
    </row>
    <row r="941" spans="7:41" x14ac:dyDescent="0.35">
      <c r="G941">
        <v>939</v>
      </c>
      <c r="H941">
        <v>1</v>
      </c>
      <c r="I941">
        <v>1</v>
      </c>
      <c r="J941">
        <v>1</v>
      </c>
      <c r="K941">
        <v>1</v>
      </c>
      <c r="L941">
        <v>1</v>
      </c>
      <c r="M941" s="1">
        <v>300</v>
      </c>
      <c r="N941">
        <v>939</v>
      </c>
      <c r="O941">
        <v>0</v>
      </c>
      <c r="P941">
        <v>0</v>
      </c>
      <c r="Q941">
        <v>2</v>
      </c>
      <c r="R941">
        <v>0</v>
      </c>
      <c r="S941">
        <v>1</v>
      </c>
      <c r="T941" s="1">
        <v>240</v>
      </c>
      <c r="U941">
        <v>939</v>
      </c>
      <c r="V941">
        <v>0</v>
      </c>
      <c r="W941">
        <v>0</v>
      </c>
      <c r="X941">
        <v>0</v>
      </c>
      <c r="Y941">
        <v>0</v>
      </c>
      <c r="Z941">
        <v>0</v>
      </c>
      <c r="AA941" s="1">
        <v>0</v>
      </c>
      <c r="AB941">
        <v>939</v>
      </c>
      <c r="AC941">
        <v>0</v>
      </c>
      <c r="AD941">
        <v>0</v>
      </c>
      <c r="AE941">
        <v>0</v>
      </c>
      <c r="AF941">
        <v>0</v>
      </c>
      <c r="AG941">
        <v>0</v>
      </c>
      <c r="AH941" s="1">
        <v>0</v>
      </c>
      <c r="AI941">
        <v>939</v>
      </c>
      <c r="AJ941">
        <v>0</v>
      </c>
      <c r="AK941">
        <v>0</v>
      </c>
      <c r="AL941">
        <v>0</v>
      </c>
      <c r="AM941">
        <v>0</v>
      </c>
      <c r="AN941">
        <v>0</v>
      </c>
      <c r="AO941" s="1">
        <v>0</v>
      </c>
    </row>
    <row r="942" spans="7:41" x14ac:dyDescent="0.35">
      <c r="G942">
        <v>940</v>
      </c>
      <c r="H942">
        <v>3</v>
      </c>
      <c r="I942">
        <v>0</v>
      </c>
      <c r="J942">
        <v>0</v>
      </c>
      <c r="K942">
        <v>4</v>
      </c>
      <c r="L942">
        <v>0</v>
      </c>
      <c r="M942" s="1">
        <v>420</v>
      </c>
      <c r="N942">
        <v>940</v>
      </c>
      <c r="O942">
        <v>0</v>
      </c>
      <c r="P942">
        <v>0</v>
      </c>
      <c r="Q942">
        <v>3</v>
      </c>
      <c r="R942">
        <v>0</v>
      </c>
      <c r="S942">
        <v>0</v>
      </c>
      <c r="T942" s="1">
        <v>240</v>
      </c>
      <c r="U942">
        <v>940</v>
      </c>
      <c r="V942">
        <v>0</v>
      </c>
      <c r="W942">
        <v>0</v>
      </c>
      <c r="X942">
        <v>0</v>
      </c>
      <c r="Y942">
        <v>0</v>
      </c>
      <c r="Z942">
        <v>0</v>
      </c>
      <c r="AA942" s="1">
        <v>0</v>
      </c>
      <c r="AB942">
        <v>940</v>
      </c>
      <c r="AC942">
        <v>0</v>
      </c>
      <c r="AD942">
        <v>0</v>
      </c>
      <c r="AE942">
        <v>1</v>
      </c>
      <c r="AF942">
        <v>0</v>
      </c>
      <c r="AG942">
        <v>0</v>
      </c>
      <c r="AH942" s="1">
        <v>120</v>
      </c>
      <c r="AI942">
        <v>940</v>
      </c>
      <c r="AJ942">
        <v>0</v>
      </c>
      <c r="AK942">
        <v>0</v>
      </c>
      <c r="AL942">
        <v>2</v>
      </c>
      <c r="AM942">
        <v>0</v>
      </c>
      <c r="AN942">
        <v>0</v>
      </c>
      <c r="AO942" s="1">
        <v>300</v>
      </c>
    </row>
    <row r="943" spans="7:41" x14ac:dyDescent="0.35">
      <c r="G943">
        <v>941</v>
      </c>
      <c r="H943">
        <v>0</v>
      </c>
      <c r="I943">
        <v>0</v>
      </c>
      <c r="J943">
        <v>2</v>
      </c>
      <c r="K943">
        <v>2</v>
      </c>
      <c r="L943">
        <v>0</v>
      </c>
      <c r="M943" s="1">
        <v>240</v>
      </c>
      <c r="N943">
        <v>941</v>
      </c>
      <c r="O943">
        <v>0</v>
      </c>
      <c r="P943">
        <v>0</v>
      </c>
      <c r="Q943">
        <v>0</v>
      </c>
      <c r="R943">
        <v>3</v>
      </c>
      <c r="S943">
        <v>0</v>
      </c>
      <c r="T943" s="1">
        <v>240</v>
      </c>
      <c r="U943">
        <v>941</v>
      </c>
      <c r="V943">
        <v>0</v>
      </c>
      <c r="W943">
        <v>0</v>
      </c>
      <c r="X943">
        <v>1</v>
      </c>
      <c r="Y943">
        <v>0</v>
      </c>
      <c r="Z943">
        <v>0</v>
      </c>
      <c r="AA943" s="1">
        <v>100</v>
      </c>
      <c r="AB943">
        <v>941</v>
      </c>
      <c r="AC943">
        <v>0</v>
      </c>
      <c r="AD943">
        <v>0</v>
      </c>
      <c r="AE943">
        <v>0</v>
      </c>
      <c r="AF943">
        <v>0</v>
      </c>
      <c r="AG943">
        <v>0</v>
      </c>
      <c r="AH943" s="1">
        <v>0</v>
      </c>
      <c r="AI943">
        <v>941</v>
      </c>
      <c r="AJ943">
        <v>0</v>
      </c>
      <c r="AK943">
        <v>0</v>
      </c>
      <c r="AL943">
        <v>0</v>
      </c>
      <c r="AM943">
        <v>0</v>
      </c>
      <c r="AN943">
        <v>0</v>
      </c>
      <c r="AO943" s="1">
        <v>0</v>
      </c>
    </row>
    <row r="944" spans="7:41" x14ac:dyDescent="0.35">
      <c r="G944">
        <v>942</v>
      </c>
      <c r="H944">
        <v>0</v>
      </c>
      <c r="I944">
        <v>0</v>
      </c>
      <c r="J944">
        <v>0</v>
      </c>
      <c r="K944">
        <v>0</v>
      </c>
      <c r="L944">
        <v>0</v>
      </c>
      <c r="M944" s="1">
        <v>0</v>
      </c>
      <c r="N944">
        <v>942</v>
      </c>
      <c r="O944">
        <v>1</v>
      </c>
      <c r="P944">
        <v>0</v>
      </c>
      <c r="Q944">
        <v>2</v>
      </c>
      <c r="R944">
        <v>0</v>
      </c>
      <c r="S944">
        <v>0</v>
      </c>
      <c r="T944" s="1">
        <v>240</v>
      </c>
      <c r="U944">
        <v>942</v>
      </c>
      <c r="V944">
        <v>0</v>
      </c>
      <c r="W944">
        <v>0</v>
      </c>
      <c r="X944">
        <v>1</v>
      </c>
      <c r="Y944">
        <v>0</v>
      </c>
      <c r="Z944">
        <v>0</v>
      </c>
      <c r="AA944" s="1">
        <v>100</v>
      </c>
      <c r="AB944">
        <v>942</v>
      </c>
      <c r="AC944">
        <v>0</v>
      </c>
      <c r="AD944">
        <v>0</v>
      </c>
      <c r="AE944">
        <v>1</v>
      </c>
      <c r="AF944">
        <v>0</v>
      </c>
      <c r="AG944">
        <v>0</v>
      </c>
      <c r="AH944" s="1">
        <v>120</v>
      </c>
      <c r="AI944">
        <v>942</v>
      </c>
      <c r="AJ944">
        <v>0</v>
      </c>
      <c r="AK944">
        <v>0</v>
      </c>
      <c r="AL944">
        <v>1</v>
      </c>
      <c r="AM944">
        <v>0</v>
      </c>
      <c r="AN944">
        <v>0</v>
      </c>
      <c r="AO944" s="1">
        <v>150</v>
      </c>
    </row>
    <row r="945" spans="7:41" x14ac:dyDescent="0.35">
      <c r="G945">
        <v>943</v>
      </c>
      <c r="H945">
        <v>0</v>
      </c>
      <c r="I945">
        <v>1</v>
      </c>
      <c r="J945">
        <v>1</v>
      </c>
      <c r="K945">
        <v>1</v>
      </c>
      <c r="L945">
        <v>0</v>
      </c>
      <c r="M945" s="1">
        <v>180</v>
      </c>
      <c r="N945">
        <v>943</v>
      </c>
      <c r="O945">
        <v>0</v>
      </c>
      <c r="P945">
        <v>0</v>
      </c>
      <c r="Q945">
        <v>0</v>
      </c>
      <c r="R945">
        <v>0</v>
      </c>
      <c r="S945">
        <v>1</v>
      </c>
      <c r="T945" s="1">
        <v>80</v>
      </c>
      <c r="U945">
        <v>943</v>
      </c>
      <c r="V945">
        <v>0</v>
      </c>
      <c r="W945">
        <v>1</v>
      </c>
      <c r="X945">
        <v>0</v>
      </c>
      <c r="Y945">
        <v>0</v>
      </c>
      <c r="Z945">
        <v>0</v>
      </c>
      <c r="AA945" s="1">
        <v>100</v>
      </c>
      <c r="AB945">
        <v>943</v>
      </c>
      <c r="AC945">
        <v>0</v>
      </c>
      <c r="AD945">
        <v>0</v>
      </c>
      <c r="AE945">
        <v>0</v>
      </c>
      <c r="AF945">
        <v>0</v>
      </c>
      <c r="AG945">
        <v>0</v>
      </c>
      <c r="AH945" s="1">
        <v>0</v>
      </c>
      <c r="AI945">
        <v>943</v>
      </c>
      <c r="AJ945">
        <v>0</v>
      </c>
      <c r="AK945">
        <v>0</v>
      </c>
      <c r="AL945">
        <v>0</v>
      </c>
      <c r="AM945">
        <v>0</v>
      </c>
      <c r="AN945">
        <v>0</v>
      </c>
      <c r="AO945" s="1">
        <v>0</v>
      </c>
    </row>
    <row r="946" spans="7:41" x14ac:dyDescent="0.35">
      <c r="G946">
        <v>944</v>
      </c>
      <c r="H946">
        <v>0</v>
      </c>
      <c r="I946">
        <v>0</v>
      </c>
      <c r="J946">
        <v>1</v>
      </c>
      <c r="K946">
        <v>2</v>
      </c>
      <c r="L946">
        <v>0</v>
      </c>
      <c r="M946" s="1">
        <v>180</v>
      </c>
      <c r="N946">
        <v>944</v>
      </c>
      <c r="O946">
        <v>1</v>
      </c>
      <c r="P946">
        <v>2</v>
      </c>
      <c r="Q946">
        <v>1</v>
      </c>
      <c r="R946">
        <v>1</v>
      </c>
      <c r="S946">
        <v>0</v>
      </c>
      <c r="T946" s="1">
        <v>400</v>
      </c>
      <c r="U946">
        <v>944</v>
      </c>
      <c r="V946">
        <v>0</v>
      </c>
      <c r="W946">
        <v>0</v>
      </c>
      <c r="X946">
        <v>0</v>
      </c>
      <c r="Y946">
        <v>0</v>
      </c>
      <c r="Z946">
        <v>0</v>
      </c>
      <c r="AA946" s="1">
        <v>0</v>
      </c>
      <c r="AB946">
        <v>944</v>
      </c>
      <c r="AC946">
        <v>0</v>
      </c>
      <c r="AD946">
        <v>0</v>
      </c>
      <c r="AE946">
        <v>0</v>
      </c>
      <c r="AF946">
        <v>0</v>
      </c>
      <c r="AG946">
        <v>0</v>
      </c>
      <c r="AH946" s="1">
        <v>0</v>
      </c>
      <c r="AI946">
        <v>944</v>
      </c>
      <c r="AJ946">
        <v>0</v>
      </c>
      <c r="AK946">
        <v>0</v>
      </c>
      <c r="AL946">
        <v>3</v>
      </c>
      <c r="AM946">
        <v>0</v>
      </c>
      <c r="AN946">
        <v>0</v>
      </c>
      <c r="AO946" s="1">
        <v>450</v>
      </c>
    </row>
    <row r="947" spans="7:41" x14ac:dyDescent="0.35">
      <c r="G947">
        <v>945</v>
      </c>
      <c r="H947">
        <v>0</v>
      </c>
      <c r="I947">
        <v>0</v>
      </c>
      <c r="J947">
        <v>0</v>
      </c>
      <c r="K947">
        <v>2</v>
      </c>
      <c r="L947">
        <v>0</v>
      </c>
      <c r="M947" s="1">
        <v>120</v>
      </c>
      <c r="N947">
        <v>945</v>
      </c>
      <c r="O947">
        <v>0</v>
      </c>
      <c r="P947">
        <v>2</v>
      </c>
      <c r="Q947">
        <v>1</v>
      </c>
      <c r="R947">
        <v>0</v>
      </c>
      <c r="S947">
        <v>1</v>
      </c>
      <c r="T947" s="1">
        <v>320</v>
      </c>
      <c r="U947">
        <v>945</v>
      </c>
      <c r="V947">
        <v>0</v>
      </c>
      <c r="W947">
        <v>0</v>
      </c>
      <c r="X947">
        <v>0</v>
      </c>
      <c r="Y947">
        <v>0</v>
      </c>
      <c r="Z947">
        <v>0</v>
      </c>
      <c r="AA947" s="1">
        <v>0</v>
      </c>
      <c r="AB947">
        <v>945</v>
      </c>
      <c r="AC947">
        <v>0</v>
      </c>
      <c r="AD947">
        <v>0</v>
      </c>
      <c r="AE947">
        <v>0</v>
      </c>
      <c r="AF947">
        <v>0</v>
      </c>
      <c r="AG947">
        <v>0</v>
      </c>
      <c r="AH947" s="1">
        <v>0</v>
      </c>
      <c r="AI947">
        <v>945</v>
      </c>
      <c r="AJ947">
        <v>0</v>
      </c>
      <c r="AK947">
        <v>0</v>
      </c>
      <c r="AL947">
        <v>0</v>
      </c>
      <c r="AM947">
        <v>0</v>
      </c>
      <c r="AN947">
        <v>0</v>
      </c>
      <c r="AO947" s="1">
        <v>0</v>
      </c>
    </row>
    <row r="948" spans="7:41" x14ac:dyDescent="0.35">
      <c r="G948">
        <v>946</v>
      </c>
      <c r="H948">
        <v>3</v>
      </c>
      <c r="I948">
        <v>1</v>
      </c>
      <c r="J948">
        <v>1</v>
      </c>
      <c r="K948">
        <v>1</v>
      </c>
      <c r="L948">
        <v>2</v>
      </c>
      <c r="M948" s="1">
        <v>480</v>
      </c>
      <c r="N948">
        <v>946</v>
      </c>
      <c r="O948">
        <v>1</v>
      </c>
      <c r="P948">
        <v>0</v>
      </c>
      <c r="Q948">
        <v>0</v>
      </c>
      <c r="R948">
        <v>1</v>
      </c>
      <c r="S948">
        <v>0</v>
      </c>
      <c r="T948" s="1">
        <v>160</v>
      </c>
      <c r="U948">
        <v>946</v>
      </c>
      <c r="V948">
        <v>0</v>
      </c>
      <c r="W948">
        <v>0</v>
      </c>
      <c r="X948">
        <v>0</v>
      </c>
      <c r="Y948">
        <v>0</v>
      </c>
      <c r="Z948">
        <v>0</v>
      </c>
      <c r="AA948" s="1">
        <v>0</v>
      </c>
      <c r="AB948">
        <v>946</v>
      </c>
      <c r="AC948">
        <v>0</v>
      </c>
      <c r="AD948">
        <v>0</v>
      </c>
      <c r="AE948">
        <v>0</v>
      </c>
      <c r="AF948">
        <v>0</v>
      </c>
      <c r="AG948">
        <v>0</v>
      </c>
      <c r="AH948" s="1">
        <v>0</v>
      </c>
      <c r="AI948">
        <v>946</v>
      </c>
      <c r="AJ948">
        <v>0</v>
      </c>
      <c r="AK948">
        <v>0</v>
      </c>
      <c r="AL948">
        <v>0</v>
      </c>
      <c r="AM948">
        <v>0</v>
      </c>
      <c r="AN948">
        <v>0</v>
      </c>
      <c r="AO948" s="1">
        <v>0</v>
      </c>
    </row>
    <row r="949" spans="7:41" x14ac:dyDescent="0.35">
      <c r="G949">
        <v>947</v>
      </c>
      <c r="H949">
        <v>0</v>
      </c>
      <c r="I949">
        <v>1</v>
      </c>
      <c r="J949">
        <v>0</v>
      </c>
      <c r="K949">
        <v>0</v>
      </c>
      <c r="L949">
        <v>1</v>
      </c>
      <c r="M949" s="1">
        <v>120</v>
      </c>
      <c r="N949">
        <v>947</v>
      </c>
      <c r="O949">
        <v>0</v>
      </c>
      <c r="P949">
        <v>0</v>
      </c>
      <c r="Q949">
        <v>0</v>
      </c>
      <c r="R949">
        <v>0</v>
      </c>
      <c r="S949">
        <v>0</v>
      </c>
      <c r="T949" s="1">
        <v>0</v>
      </c>
      <c r="U949">
        <v>947</v>
      </c>
      <c r="V949">
        <v>0</v>
      </c>
      <c r="W949">
        <v>1</v>
      </c>
      <c r="X949">
        <v>0</v>
      </c>
      <c r="Y949">
        <v>0</v>
      </c>
      <c r="Z949">
        <v>0</v>
      </c>
      <c r="AA949" s="1">
        <v>100</v>
      </c>
      <c r="AB949">
        <v>947</v>
      </c>
      <c r="AC949">
        <v>0</v>
      </c>
      <c r="AD949">
        <v>0</v>
      </c>
      <c r="AE949">
        <v>0</v>
      </c>
      <c r="AF949">
        <v>0</v>
      </c>
      <c r="AG949">
        <v>1</v>
      </c>
      <c r="AH949" s="1">
        <v>120</v>
      </c>
      <c r="AI949">
        <v>947</v>
      </c>
      <c r="AJ949">
        <v>0</v>
      </c>
      <c r="AK949">
        <v>0</v>
      </c>
      <c r="AL949">
        <v>1</v>
      </c>
      <c r="AM949">
        <v>0</v>
      </c>
      <c r="AN949">
        <v>0</v>
      </c>
      <c r="AO949" s="1">
        <v>150</v>
      </c>
    </row>
    <row r="950" spans="7:41" x14ac:dyDescent="0.35">
      <c r="G950">
        <v>948</v>
      </c>
      <c r="H950">
        <v>0</v>
      </c>
      <c r="I950">
        <v>1</v>
      </c>
      <c r="J950">
        <v>2</v>
      </c>
      <c r="K950">
        <v>3</v>
      </c>
      <c r="L950">
        <v>0</v>
      </c>
      <c r="M950" s="1">
        <v>360</v>
      </c>
      <c r="N950">
        <v>948</v>
      </c>
      <c r="O950">
        <v>1</v>
      </c>
      <c r="P950">
        <v>0</v>
      </c>
      <c r="Q950">
        <v>0</v>
      </c>
      <c r="R950">
        <v>1</v>
      </c>
      <c r="S950">
        <v>0</v>
      </c>
      <c r="T950" s="1">
        <v>160</v>
      </c>
      <c r="U950">
        <v>948</v>
      </c>
      <c r="V950">
        <v>0</v>
      </c>
      <c r="W950">
        <v>1</v>
      </c>
      <c r="X950">
        <v>0</v>
      </c>
      <c r="Y950">
        <v>0</v>
      </c>
      <c r="Z950">
        <v>0</v>
      </c>
      <c r="AA950" s="1">
        <v>100</v>
      </c>
      <c r="AB950">
        <v>948</v>
      </c>
      <c r="AC950">
        <v>0</v>
      </c>
      <c r="AD950">
        <v>0</v>
      </c>
      <c r="AE950">
        <v>0</v>
      </c>
      <c r="AF950">
        <v>0</v>
      </c>
      <c r="AG950">
        <v>0</v>
      </c>
      <c r="AH950" s="1">
        <v>0</v>
      </c>
      <c r="AI950">
        <v>948</v>
      </c>
      <c r="AJ950">
        <v>0</v>
      </c>
      <c r="AK950">
        <v>0</v>
      </c>
      <c r="AL950">
        <v>3</v>
      </c>
      <c r="AM950">
        <v>0</v>
      </c>
      <c r="AN950">
        <v>0</v>
      </c>
      <c r="AO950" s="1">
        <v>450</v>
      </c>
    </row>
    <row r="951" spans="7:41" x14ac:dyDescent="0.35">
      <c r="G951">
        <v>949</v>
      </c>
      <c r="H951">
        <v>0</v>
      </c>
      <c r="I951">
        <v>2</v>
      </c>
      <c r="J951">
        <v>2</v>
      </c>
      <c r="K951">
        <v>0</v>
      </c>
      <c r="L951">
        <v>0</v>
      </c>
      <c r="M951" s="1">
        <v>240</v>
      </c>
      <c r="N951">
        <v>949</v>
      </c>
      <c r="O951">
        <v>0</v>
      </c>
      <c r="P951">
        <v>0</v>
      </c>
      <c r="Q951">
        <v>0</v>
      </c>
      <c r="R951">
        <v>0</v>
      </c>
      <c r="S951">
        <v>0</v>
      </c>
      <c r="T951" s="1">
        <v>0</v>
      </c>
      <c r="U951">
        <v>949</v>
      </c>
      <c r="V951">
        <v>0</v>
      </c>
      <c r="W951">
        <v>1</v>
      </c>
      <c r="X951">
        <v>0</v>
      </c>
      <c r="Y951">
        <v>0</v>
      </c>
      <c r="Z951">
        <v>0</v>
      </c>
      <c r="AA951" s="1">
        <v>100</v>
      </c>
      <c r="AB951">
        <v>949</v>
      </c>
      <c r="AC951">
        <v>0</v>
      </c>
      <c r="AD951">
        <v>0</v>
      </c>
      <c r="AE951">
        <v>0</v>
      </c>
      <c r="AF951">
        <v>0</v>
      </c>
      <c r="AG951">
        <v>0</v>
      </c>
      <c r="AH951" s="1">
        <v>0</v>
      </c>
      <c r="AI951">
        <v>949</v>
      </c>
      <c r="AJ951">
        <v>0</v>
      </c>
      <c r="AK951">
        <v>0</v>
      </c>
      <c r="AL951">
        <v>0</v>
      </c>
      <c r="AM951">
        <v>0</v>
      </c>
      <c r="AN951">
        <v>0</v>
      </c>
      <c r="AO951" s="1">
        <v>0</v>
      </c>
    </row>
    <row r="952" spans="7:41" x14ac:dyDescent="0.35">
      <c r="G952">
        <v>950</v>
      </c>
      <c r="H952">
        <v>0</v>
      </c>
      <c r="I952">
        <v>0</v>
      </c>
      <c r="J952">
        <v>1</v>
      </c>
      <c r="K952">
        <v>0</v>
      </c>
      <c r="L952">
        <v>0</v>
      </c>
      <c r="M952" s="1">
        <v>60</v>
      </c>
      <c r="N952">
        <v>950</v>
      </c>
      <c r="O952">
        <v>0</v>
      </c>
      <c r="P952">
        <v>0</v>
      </c>
      <c r="Q952">
        <v>0</v>
      </c>
      <c r="R952">
        <v>0</v>
      </c>
      <c r="S952">
        <v>1</v>
      </c>
      <c r="T952" s="1">
        <v>80</v>
      </c>
      <c r="U952">
        <v>950</v>
      </c>
      <c r="V952">
        <v>1</v>
      </c>
      <c r="W952">
        <v>2</v>
      </c>
      <c r="X952">
        <v>0</v>
      </c>
      <c r="Y952">
        <v>0</v>
      </c>
      <c r="Z952">
        <v>0</v>
      </c>
      <c r="AA952" s="1">
        <v>300</v>
      </c>
      <c r="AB952">
        <v>950</v>
      </c>
      <c r="AC952">
        <v>0</v>
      </c>
      <c r="AD952">
        <v>0</v>
      </c>
      <c r="AE952">
        <v>1</v>
      </c>
      <c r="AF952">
        <v>0</v>
      </c>
      <c r="AG952">
        <v>0</v>
      </c>
      <c r="AH952" s="1">
        <v>120</v>
      </c>
      <c r="AI952">
        <v>950</v>
      </c>
      <c r="AJ952">
        <v>0</v>
      </c>
      <c r="AK952">
        <v>0</v>
      </c>
      <c r="AL952">
        <v>0</v>
      </c>
      <c r="AM952">
        <v>0</v>
      </c>
      <c r="AN952">
        <v>0</v>
      </c>
      <c r="AO952" s="1">
        <v>0</v>
      </c>
    </row>
    <row r="953" spans="7:41" x14ac:dyDescent="0.35">
      <c r="G953">
        <v>951</v>
      </c>
      <c r="H953">
        <v>1</v>
      </c>
      <c r="I953">
        <v>0</v>
      </c>
      <c r="J953">
        <v>0</v>
      </c>
      <c r="K953">
        <v>0</v>
      </c>
      <c r="L953">
        <v>2</v>
      </c>
      <c r="M953" s="1">
        <v>180</v>
      </c>
      <c r="N953">
        <v>951</v>
      </c>
      <c r="O953">
        <v>0</v>
      </c>
      <c r="P953">
        <v>0</v>
      </c>
      <c r="Q953">
        <v>2</v>
      </c>
      <c r="R953">
        <v>0</v>
      </c>
      <c r="S953">
        <v>0</v>
      </c>
      <c r="T953" s="1">
        <v>160</v>
      </c>
      <c r="U953">
        <v>951</v>
      </c>
      <c r="V953">
        <v>0</v>
      </c>
      <c r="W953">
        <v>0</v>
      </c>
      <c r="X953">
        <v>0</v>
      </c>
      <c r="Y953">
        <v>0</v>
      </c>
      <c r="Z953">
        <v>1</v>
      </c>
      <c r="AA953" s="1">
        <v>100</v>
      </c>
      <c r="AB953">
        <v>951</v>
      </c>
      <c r="AC953">
        <v>0</v>
      </c>
      <c r="AD953">
        <v>0</v>
      </c>
      <c r="AE953">
        <v>0</v>
      </c>
      <c r="AF953">
        <v>0</v>
      </c>
      <c r="AG953">
        <v>0</v>
      </c>
      <c r="AH953" s="1">
        <v>0</v>
      </c>
      <c r="AI953">
        <v>951</v>
      </c>
      <c r="AJ953">
        <v>0</v>
      </c>
      <c r="AK953">
        <v>0</v>
      </c>
      <c r="AL953">
        <v>2</v>
      </c>
      <c r="AM953">
        <v>0</v>
      </c>
      <c r="AN953">
        <v>0</v>
      </c>
      <c r="AO953" s="1">
        <v>300</v>
      </c>
    </row>
    <row r="954" spans="7:41" x14ac:dyDescent="0.35">
      <c r="G954">
        <v>952</v>
      </c>
      <c r="H954">
        <v>0</v>
      </c>
      <c r="I954">
        <v>3</v>
      </c>
      <c r="J954">
        <v>0</v>
      </c>
      <c r="K954">
        <v>4</v>
      </c>
      <c r="L954">
        <v>0</v>
      </c>
      <c r="M954" s="1">
        <v>420</v>
      </c>
      <c r="N954">
        <v>952</v>
      </c>
      <c r="O954">
        <v>1</v>
      </c>
      <c r="P954">
        <v>0</v>
      </c>
      <c r="Q954">
        <v>2</v>
      </c>
      <c r="R954">
        <v>0</v>
      </c>
      <c r="S954">
        <v>0</v>
      </c>
      <c r="T954" s="1">
        <v>240</v>
      </c>
      <c r="U954">
        <v>952</v>
      </c>
      <c r="V954">
        <v>0</v>
      </c>
      <c r="W954">
        <v>0</v>
      </c>
      <c r="X954">
        <v>0</v>
      </c>
      <c r="Y954">
        <v>0</v>
      </c>
      <c r="Z954">
        <v>0</v>
      </c>
      <c r="AA954" s="1">
        <v>0</v>
      </c>
      <c r="AB954">
        <v>952</v>
      </c>
      <c r="AC954">
        <v>0</v>
      </c>
      <c r="AD954">
        <v>0</v>
      </c>
      <c r="AE954">
        <v>0</v>
      </c>
      <c r="AF954">
        <v>0</v>
      </c>
      <c r="AG954">
        <v>1</v>
      </c>
      <c r="AH954" s="1">
        <v>120</v>
      </c>
      <c r="AI954">
        <v>952</v>
      </c>
      <c r="AJ954">
        <v>0</v>
      </c>
      <c r="AK954">
        <v>0</v>
      </c>
      <c r="AL954">
        <v>0</v>
      </c>
      <c r="AM954">
        <v>0</v>
      </c>
      <c r="AN954">
        <v>0</v>
      </c>
      <c r="AO954" s="1">
        <v>0</v>
      </c>
    </row>
    <row r="955" spans="7:41" x14ac:dyDescent="0.35">
      <c r="G955">
        <v>953</v>
      </c>
      <c r="H955">
        <v>0</v>
      </c>
      <c r="I955">
        <v>1</v>
      </c>
      <c r="J955">
        <v>1</v>
      </c>
      <c r="K955">
        <v>0</v>
      </c>
      <c r="L955">
        <v>1</v>
      </c>
      <c r="M955" s="1">
        <v>180</v>
      </c>
      <c r="N955">
        <v>953</v>
      </c>
      <c r="O955">
        <v>0</v>
      </c>
      <c r="P955">
        <v>1</v>
      </c>
      <c r="Q955">
        <v>1</v>
      </c>
      <c r="R955">
        <v>0</v>
      </c>
      <c r="S955">
        <v>0</v>
      </c>
      <c r="T955" s="1">
        <v>160</v>
      </c>
      <c r="U955">
        <v>953</v>
      </c>
      <c r="V955">
        <v>1</v>
      </c>
      <c r="W955">
        <v>0</v>
      </c>
      <c r="X955">
        <v>0</v>
      </c>
      <c r="Y955">
        <v>0</v>
      </c>
      <c r="Z955">
        <v>0</v>
      </c>
      <c r="AA955" s="1">
        <v>100</v>
      </c>
      <c r="AB955">
        <v>953</v>
      </c>
      <c r="AC955">
        <v>0</v>
      </c>
      <c r="AD955">
        <v>0</v>
      </c>
      <c r="AE955">
        <v>0</v>
      </c>
      <c r="AF955">
        <v>0</v>
      </c>
      <c r="AG955">
        <v>0</v>
      </c>
      <c r="AH955" s="1">
        <v>0</v>
      </c>
      <c r="AI955">
        <v>953</v>
      </c>
      <c r="AJ955">
        <v>0</v>
      </c>
      <c r="AK955">
        <v>0</v>
      </c>
      <c r="AL955">
        <v>0</v>
      </c>
      <c r="AM955">
        <v>0</v>
      </c>
      <c r="AN955">
        <v>0</v>
      </c>
      <c r="AO955" s="1">
        <v>0</v>
      </c>
    </row>
    <row r="956" spans="7:41" x14ac:dyDescent="0.35">
      <c r="G956">
        <v>954</v>
      </c>
      <c r="H956">
        <v>0</v>
      </c>
      <c r="I956">
        <v>0</v>
      </c>
      <c r="J956">
        <v>1</v>
      </c>
      <c r="K956">
        <v>4</v>
      </c>
      <c r="L956">
        <v>2</v>
      </c>
      <c r="M956" s="1">
        <v>420</v>
      </c>
      <c r="N956">
        <v>954</v>
      </c>
      <c r="O956">
        <v>0</v>
      </c>
      <c r="P956">
        <v>0</v>
      </c>
      <c r="Q956">
        <v>3</v>
      </c>
      <c r="R956">
        <v>0</v>
      </c>
      <c r="S956">
        <v>0</v>
      </c>
      <c r="T956" s="1">
        <v>240</v>
      </c>
      <c r="U956">
        <v>954</v>
      </c>
      <c r="V956">
        <v>0</v>
      </c>
      <c r="W956">
        <v>1</v>
      </c>
      <c r="X956">
        <v>0</v>
      </c>
      <c r="Y956">
        <v>0</v>
      </c>
      <c r="Z956">
        <v>0</v>
      </c>
      <c r="AA956" s="1">
        <v>100</v>
      </c>
      <c r="AB956">
        <v>954</v>
      </c>
      <c r="AC956">
        <v>0</v>
      </c>
      <c r="AD956">
        <v>0</v>
      </c>
      <c r="AE956">
        <v>0</v>
      </c>
      <c r="AF956">
        <v>0</v>
      </c>
      <c r="AG956">
        <v>0</v>
      </c>
      <c r="AH956" s="1">
        <v>0</v>
      </c>
      <c r="AI956">
        <v>954</v>
      </c>
      <c r="AJ956">
        <v>0</v>
      </c>
      <c r="AK956">
        <v>0</v>
      </c>
      <c r="AL956">
        <v>3</v>
      </c>
      <c r="AM956">
        <v>0</v>
      </c>
      <c r="AN956">
        <v>0</v>
      </c>
      <c r="AO956" s="1">
        <v>450</v>
      </c>
    </row>
    <row r="957" spans="7:41" x14ac:dyDescent="0.35">
      <c r="G957">
        <v>955</v>
      </c>
      <c r="H957">
        <v>0</v>
      </c>
      <c r="I957">
        <v>1</v>
      </c>
      <c r="J957">
        <v>2</v>
      </c>
      <c r="K957">
        <v>4</v>
      </c>
      <c r="L957">
        <v>1</v>
      </c>
      <c r="M957" s="1">
        <v>480</v>
      </c>
      <c r="N957">
        <v>955</v>
      </c>
      <c r="O957">
        <v>0</v>
      </c>
      <c r="P957">
        <v>0</v>
      </c>
      <c r="Q957">
        <v>3</v>
      </c>
      <c r="R957">
        <v>0</v>
      </c>
      <c r="S957">
        <v>0</v>
      </c>
      <c r="T957" s="1">
        <v>240</v>
      </c>
      <c r="U957">
        <v>955</v>
      </c>
      <c r="V957">
        <v>0</v>
      </c>
      <c r="W957">
        <v>0</v>
      </c>
      <c r="X957">
        <v>0</v>
      </c>
      <c r="Y957">
        <v>0</v>
      </c>
      <c r="Z957">
        <v>0</v>
      </c>
      <c r="AA957" s="1">
        <v>0</v>
      </c>
      <c r="AB957">
        <v>955</v>
      </c>
      <c r="AC957">
        <v>0</v>
      </c>
      <c r="AD957">
        <v>0</v>
      </c>
      <c r="AE957">
        <v>0</v>
      </c>
      <c r="AF957">
        <v>0</v>
      </c>
      <c r="AG957">
        <v>0</v>
      </c>
      <c r="AH957" s="1">
        <v>0</v>
      </c>
      <c r="AI957">
        <v>955</v>
      </c>
      <c r="AJ957">
        <v>0</v>
      </c>
      <c r="AK957">
        <v>0</v>
      </c>
      <c r="AL957">
        <v>1</v>
      </c>
      <c r="AM957">
        <v>0</v>
      </c>
      <c r="AN957">
        <v>0</v>
      </c>
      <c r="AO957" s="1">
        <v>150</v>
      </c>
    </row>
    <row r="958" spans="7:41" x14ac:dyDescent="0.35">
      <c r="G958">
        <v>956</v>
      </c>
      <c r="H958">
        <v>1</v>
      </c>
      <c r="I958">
        <v>2</v>
      </c>
      <c r="J958">
        <v>1</v>
      </c>
      <c r="K958">
        <v>2</v>
      </c>
      <c r="L958">
        <v>0</v>
      </c>
      <c r="M958" s="1">
        <v>360</v>
      </c>
      <c r="N958">
        <v>956</v>
      </c>
      <c r="O958">
        <v>2</v>
      </c>
      <c r="P958">
        <v>0</v>
      </c>
      <c r="Q958">
        <v>3</v>
      </c>
      <c r="R958">
        <v>0</v>
      </c>
      <c r="S958">
        <v>0</v>
      </c>
      <c r="T958" s="1">
        <v>400</v>
      </c>
      <c r="U958">
        <v>956</v>
      </c>
      <c r="V958">
        <v>0</v>
      </c>
      <c r="W958">
        <v>0</v>
      </c>
      <c r="X958">
        <v>0</v>
      </c>
      <c r="Y958">
        <v>0</v>
      </c>
      <c r="Z958">
        <v>0</v>
      </c>
      <c r="AA958" s="1">
        <v>0</v>
      </c>
      <c r="AB958">
        <v>956</v>
      </c>
      <c r="AC958">
        <v>0</v>
      </c>
      <c r="AD958">
        <v>1</v>
      </c>
      <c r="AE958">
        <v>0</v>
      </c>
      <c r="AF958">
        <v>0</v>
      </c>
      <c r="AG958">
        <v>0</v>
      </c>
      <c r="AH958" s="1">
        <v>120</v>
      </c>
      <c r="AI958">
        <v>956</v>
      </c>
      <c r="AJ958">
        <v>0</v>
      </c>
      <c r="AK958">
        <v>0</v>
      </c>
      <c r="AL958">
        <v>0</v>
      </c>
      <c r="AM958">
        <v>0</v>
      </c>
      <c r="AN958">
        <v>0</v>
      </c>
      <c r="AO958" s="1">
        <v>0</v>
      </c>
    </row>
    <row r="959" spans="7:41" x14ac:dyDescent="0.35">
      <c r="G959">
        <v>957</v>
      </c>
      <c r="H959">
        <v>0</v>
      </c>
      <c r="I959">
        <v>1</v>
      </c>
      <c r="J959">
        <v>1</v>
      </c>
      <c r="K959">
        <v>2</v>
      </c>
      <c r="L959">
        <v>0</v>
      </c>
      <c r="M959" s="1">
        <v>240</v>
      </c>
      <c r="N959">
        <v>957</v>
      </c>
      <c r="O959">
        <v>0</v>
      </c>
      <c r="P959">
        <v>1</v>
      </c>
      <c r="Q959">
        <v>1</v>
      </c>
      <c r="R959">
        <v>0</v>
      </c>
      <c r="S959">
        <v>0</v>
      </c>
      <c r="T959" s="1">
        <v>160</v>
      </c>
      <c r="U959">
        <v>957</v>
      </c>
      <c r="V959">
        <v>0</v>
      </c>
      <c r="W959">
        <v>1</v>
      </c>
      <c r="X959">
        <v>0</v>
      </c>
      <c r="Y959">
        <v>0</v>
      </c>
      <c r="Z959">
        <v>0</v>
      </c>
      <c r="AA959" s="1">
        <v>100</v>
      </c>
      <c r="AB959">
        <v>957</v>
      </c>
      <c r="AC959">
        <v>0</v>
      </c>
      <c r="AD959">
        <v>0</v>
      </c>
      <c r="AE959">
        <v>0</v>
      </c>
      <c r="AF959">
        <v>0</v>
      </c>
      <c r="AG959">
        <v>0</v>
      </c>
      <c r="AH959" s="1">
        <v>0</v>
      </c>
      <c r="AI959">
        <v>957</v>
      </c>
      <c r="AJ959">
        <v>0</v>
      </c>
      <c r="AK959">
        <v>0</v>
      </c>
      <c r="AL959">
        <v>0</v>
      </c>
      <c r="AM959">
        <v>0</v>
      </c>
      <c r="AN959">
        <v>0</v>
      </c>
      <c r="AO959" s="1">
        <v>0</v>
      </c>
    </row>
    <row r="960" spans="7:41" x14ac:dyDescent="0.35">
      <c r="G960">
        <v>958</v>
      </c>
      <c r="H960">
        <v>1</v>
      </c>
      <c r="I960">
        <v>1</v>
      </c>
      <c r="J960">
        <v>0</v>
      </c>
      <c r="K960">
        <v>0</v>
      </c>
      <c r="L960">
        <v>2</v>
      </c>
      <c r="M960" s="1">
        <v>240</v>
      </c>
      <c r="N960">
        <v>958</v>
      </c>
      <c r="O960">
        <v>0</v>
      </c>
      <c r="P960">
        <v>0</v>
      </c>
      <c r="Q960">
        <v>0</v>
      </c>
      <c r="R960">
        <v>0</v>
      </c>
      <c r="S960">
        <v>0</v>
      </c>
      <c r="T960" s="1">
        <v>0</v>
      </c>
      <c r="U960">
        <v>958</v>
      </c>
      <c r="V960">
        <v>0</v>
      </c>
      <c r="W960">
        <v>1</v>
      </c>
      <c r="X960">
        <v>0</v>
      </c>
      <c r="Y960">
        <v>0</v>
      </c>
      <c r="Z960">
        <v>0</v>
      </c>
      <c r="AA960" s="1">
        <v>100</v>
      </c>
      <c r="AB960">
        <v>958</v>
      </c>
      <c r="AC960">
        <v>0</v>
      </c>
      <c r="AD960">
        <v>0</v>
      </c>
      <c r="AE960">
        <v>0</v>
      </c>
      <c r="AF960">
        <v>0</v>
      </c>
      <c r="AG960">
        <v>0</v>
      </c>
      <c r="AH960" s="1">
        <v>0</v>
      </c>
      <c r="AI960">
        <v>958</v>
      </c>
      <c r="AJ960">
        <v>0</v>
      </c>
      <c r="AK960">
        <v>0</v>
      </c>
      <c r="AL960">
        <v>0</v>
      </c>
      <c r="AM960">
        <v>0</v>
      </c>
      <c r="AN960">
        <v>0</v>
      </c>
      <c r="AO960" s="1">
        <v>0</v>
      </c>
    </row>
    <row r="961" spans="7:41" x14ac:dyDescent="0.35">
      <c r="G961">
        <v>959</v>
      </c>
      <c r="H961">
        <v>0</v>
      </c>
      <c r="I961">
        <v>1</v>
      </c>
      <c r="J961">
        <v>4</v>
      </c>
      <c r="K961">
        <v>0</v>
      </c>
      <c r="L961">
        <v>0</v>
      </c>
      <c r="M961" s="1">
        <v>300</v>
      </c>
      <c r="N961">
        <v>959</v>
      </c>
      <c r="O961">
        <v>1</v>
      </c>
      <c r="P961">
        <v>0</v>
      </c>
      <c r="Q961">
        <v>0</v>
      </c>
      <c r="R961">
        <v>0</v>
      </c>
      <c r="S961">
        <v>0</v>
      </c>
      <c r="T961" s="1">
        <v>80</v>
      </c>
      <c r="U961">
        <v>959</v>
      </c>
      <c r="V961">
        <v>0</v>
      </c>
      <c r="W961">
        <v>0</v>
      </c>
      <c r="X961">
        <v>0</v>
      </c>
      <c r="Y961">
        <v>0</v>
      </c>
      <c r="Z961">
        <v>1</v>
      </c>
      <c r="AA961" s="1">
        <v>100</v>
      </c>
      <c r="AB961">
        <v>959</v>
      </c>
      <c r="AC961">
        <v>0</v>
      </c>
      <c r="AD961">
        <v>0</v>
      </c>
      <c r="AE961">
        <v>0</v>
      </c>
      <c r="AF961">
        <v>0</v>
      </c>
      <c r="AG961">
        <v>0</v>
      </c>
      <c r="AH961" s="1">
        <v>0</v>
      </c>
      <c r="AI961">
        <v>959</v>
      </c>
      <c r="AJ961">
        <v>0</v>
      </c>
      <c r="AK961">
        <v>0</v>
      </c>
      <c r="AL961">
        <v>3</v>
      </c>
      <c r="AM961">
        <v>0</v>
      </c>
      <c r="AN961">
        <v>0</v>
      </c>
      <c r="AO961" s="1">
        <v>450</v>
      </c>
    </row>
    <row r="962" spans="7:41" x14ac:dyDescent="0.35">
      <c r="G962">
        <v>960</v>
      </c>
      <c r="H962">
        <v>0</v>
      </c>
      <c r="I962">
        <v>0</v>
      </c>
      <c r="J962">
        <v>1</v>
      </c>
      <c r="K962">
        <v>1</v>
      </c>
      <c r="L962">
        <v>0</v>
      </c>
      <c r="M962" s="1">
        <v>120</v>
      </c>
      <c r="N962">
        <v>960</v>
      </c>
      <c r="O962">
        <v>0</v>
      </c>
      <c r="P962">
        <v>0</v>
      </c>
      <c r="Q962">
        <v>1</v>
      </c>
      <c r="R962">
        <v>0</v>
      </c>
      <c r="S962">
        <v>0</v>
      </c>
      <c r="T962" s="1">
        <v>80</v>
      </c>
      <c r="U962">
        <v>960</v>
      </c>
      <c r="V962">
        <v>0</v>
      </c>
      <c r="W962">
        <v>1</v>
      </c>
      <c r="X962">
        <v>0</v>
      </c>
      <c r="Y962">
        <v>0</v>
      </c>
      <c r="Z962">
        <v>0</v>
      </c>
      <c r="AA962" s="1">
        <v>100</v>
      </c>
      <c r="AB962">
        <v>960</v>
      </c>
      <c r="AC962">
        <v>0</v>
      </c>
      <c r="AD962">
        <v>0</v>
      </c>
      <c r="AE962">
        <v>0</v>
      </c>
      <c r="AF962">
        <v>0</v>
      </c>
      <c r="AG962">
        <v>0</v>
      </c>
      <c r="AH962" s="1">
        <v>0</v>
      </c>
      <c r="AI962">
        <v>960</v>
      </c>
      <c r="AJ962">
        <v>0</v>
      </c>
      <c r="AK962">
        <v>0</v>
      </c>
      <c r="AL962">
        <v>0</v>
      </c>
      <c r="AM962">
        <v>0</v>
      </c>
      <c r="AN962">
        <v>0</v>
      </c>
      <c r="AO962" s="1">
        <v>0</v>
      </c>
    </row>
    <row r="963" spans="7:41" x14ac:dyDescent="0.35">
      <c r="G963">
        <v>961</v>
      </c>
      <c r="H963">
        <v>0</v>
      </c>
      <c r="I963">
        <v>0</v>
      </c>
      <c r="J963">
        <v>0</v>
      </c>
      <c r="K963">
        <v>1</v>
      </c>
      <c r="L963">
        <v>0</v>
      </c>
      <c r="M963" s="1">
        <v>60</v>
      </c>
      <c r="N963">
        <v>961</v>
      </c>
      <c r="O963">
        <v>0</v>
      </c>
      <c r="P963">
        <v>1</v>
      </c>
      <c r="Q963">
        <v>0</v>
      </c>
      <c r="R963">
        <v>0</v>
      </c>
      <c r="S963">
        <v>0</v>
      </c>
      <c r="T963" s="1">
        <v>80</v>
      </c>
      <c r="U963">
        <v>961</v>
      </c>
      <c r="V963">
        <v>0</v>
      </c>
      <c r="W963">
        <v>0</v>
      </c>
      <c r="X963">
        <v>0</v>
      </c>
      <c r="Y963">
        <v>0</v>
      </c>
      <c r="Z963">
        <v>0</v>
      </c>
      <c r="AA963" s="1">
        <v>0</v>
      </c>
      <c r="AB963">
        <v>961</v>
      </c>
      <c r="AC963">
        <v>0</v>
      </c>
      <c r="AD963">
        <v>0</v>
      </c>
      <c r="AE963">
        <v>0</v>
      </c>
      <c r="AF963">
        <v>0</v>
      </c>
      <c r="AG963">
        <v>0</v>
      </c>
      <c r="AH963" s="1">
        <v>0</v>
      </c>
      <c r="AI963">
        <v>961</v>
      </c>
      <c r="AJ963">
        <v>0</v>
      </c>
      <c r="AK963">
        <v>0</v>
      </c>
      <c r="AL963">
        <v>0</v>
      </c>
      <c r="AM963">
        <v>0</v>
      </c>
      <c r="AN963">
        <v>0</v>
      </c>
      <c r="AO963" s="1">
        <v>0</v>
      </c>
    </row>
    <row r="964" spans="7:41" x14ac:dyDescent="0.35">
      <c r="G964">
        <v>962</v>
      </c>
      <c r="H964">
        <v>0</v>
      </c>
      <c r="I964">
        <v>0</v>
      </c>
      <c r="J964">
        <v>2</v>
      </c>
      <c r="K964">
        <v>3</v>
      </c>
      <c r="L964">
        <v>1</v>
      </c>
      <c r="M964" s="1">
        <v>360</v>
      </c>
      <c r="N964">
        <v>962</v>
      </c>
      <c r="O964">
        <v>0</v>
      </c>
      <c r="P964">
        <v>0</v>
      </c>
      <c r="Q964">
        <v>0</v>
      </c>
      <c r="R964">
        <v>0</v>
      </c>
      <c r="S964">
        <v>1</v>
      </c>
      <c r="T964" s="1">
        <v>80</v>
      </c>
      <c r="U964">
        <v>962</v>
      </c>
      <c r="V964">
        <v>1</v>
      </c>
      <c r="W964">
        <v>0</v>
      </c>
      <c r="X964">
        <v>0</v>
      </c>
      <c r="Y964">
        <v>0</v>
      </c>
      <c r="Z964">
        <v>1</v>
      </c>
      <c r="AA964" s="1">
        <v>200</v>
      </c>
      <c r="AB964">
        <v>962</v>
      </c>
      <c r="AC964">
        <v>0</v>
      </c>
      <c r="AD964">
        <v>0</v>
      </c>
      <c r="AE964">
        <v>0</v>
      </c>
      <c r="AF964">
        <v>0</v>
      </c>
      <c r="AG964">
        <v>0</v>
      </c>
      <c r="AH964" s="1">
        <v>0</v>
      </c>
      <c r="AI964">
        <v>962</v>
      </c>
      <c r="AJ964">
        <v>0</v>
      </c>
      <c r="AK964">
        <v>0</v>
      </c>
      <c r="AL964">
        <v>3</v>
      </c>
      <c r="AM964">
        <v>0</v>
      </c>
      <c r="AN964">
        <v>0</v>
      </c>
      <c r="AO964" s="1">
        <v>450</v>
      </c>
    </row>
    <row r="965" spans="7:41" x14ac:dyDescent="0.35">
      <c r="G965">
        <v>963</v>
      </c>
      <c r="H965">
        <v>0</v>
      </c>
      <c r="I965">
        <v>0</v>
      </c>
      <c r="J965">
        <v>1</v>
      </c>
      <c r="K965">
        <v>0</v>
      </c>
      <c r="L965">
        <v>0</v>
      </c>
      <c r="M965" s="1">
        <v>60</v>
      </c>
      <c r="N965">
        <v>963</v>
      </c>
      <c r="O965">
        <v>1</v>
      </c>
      <c r="P965">
        <v>0</v>
      </c>
      <c r="Q965">
        <v>0</v>
      </c>
      <c r="R965">
        <v>2</v>
      </c>
      <c r="S965">
        <v>0</v>
      </c>
      <c r="T965" s="1">
        <v>240</v>
      </c>
      <c r="U965">
        <v>963</v>
      </c>
      <c r="V965">
        <v>0</v>
      </c>
      <c r="W965">
        <v>0</v>
      </c>
      <c r="X965">
        <v>0</v>
      </c>
      <c r="Y965">
        <v>0</v>
      </c>
      <c r="Z965">
        <v>0</v>
      </c>
      <c r="AA965" s="1">
        <v>0</v>
      </c>
      <c r="AB965">
        <v>963</v>
      </c>
      <c r="AC965">
        <v>0</v>
      </c>
      <c r="AD965">
        <v>0</v>
      </c>
      <c r="AE965">
        <v>0</v>
      </c>
      <c r="AF965">
        <v>0</v>
      </c>
      <c r="AG965">
        <v>0</v>
      </c>
      <c r="AH965" s="1">
        <v>0</v>
      </c>
      <c r="AI965">
        <v>963</v>
      </c>
      <c r="AJ965">
        <v>0</v>
      </c>
      <c r="AK965">
        <v>0</v>
      </c>
      <c r="AL965">
        <v>0</v>
      </c>
      <c r="AM965">
        <v>0</v>
      </c>
      <c r="AN965">
        <v>0</v>
      </c>
      <c r="AO965" s="1">
        <v>0</v>
      </c>
    </row>
    <row r="966" spans="7:41" x14ac:dyDescent="0.35">
      <c r="G966">
        <v>964</v>
      </c>
      <c r="H966">
        <v>0</v>
      </c>
      <c r="I966">
        <v>1</v>
      </c>
      <c r="J966">
        <v>2</v>
      </c>
      <c r="K966">
        <v>2</v>
      </c>
      <c r="L966">
        <v>2</v>
      </c>
      <c r="M966" s="1">
        <v>420</v>
      </c>
      <c r="N966">
        <v>964</v>
      </c>
      <c r="O966">
        <v>0</v>
      </c>
      <c r="P966">
        <v>2</v>
      </c>
      <c r="Q966">
        <v>0</v>
      </c>
      <c r="R966">
        <v>0</v>
      </c>
      <c r="S966">
        <v>0</v>
      </c>
      <c r="T966" s="1">
        <v>160</v>
      </c>
      <c r="U966">
        <v>964</v>
      </c>
      <c r="V966">
        <v>0</v>
      </c>
      <c r="W966">
        <v>0</v>
      </c>
      <c r="X966">
        <v>0</v>
      </c>
      <c r="Y966">
        <v>0</v>
      </c>
      <c r="Z966">
        <v>1</v>
      </c>
      <c r="AA966" s="1">
        <v>100</v>
      </c>
      <c r="AB966">
        <v>964</v>
      </c>
      <c r="AC966">
        <v>0</v>
      </c>
      <c r="AD966">
        <v>0</v>
      </c>
      <c r="AE966">
        <v>0</v>
      </c>
      <c r="AF966">
        <v>1</v>
      </c>
      <c r="AG966">
        <v>0</v>
      </c>
      <c r="AH966" s="1">
        <v>120</v>
      </c>
      <c r="AI966">
        <v>964</v>
      </c>
      <c r="AJ966">
        <v>0</v>
      </c>
      <c r="AK966">
        <v>0</v>
      </c>
      <c r="AL966">
        <v>0</v>
      </c>
      <c r="AM966">
        <v>0</v>
      </c>
      <c r="AN966">
        <v>0</v>
      </c>
      <c r="AO966" s="1">
        <v>0</v>
      </c>
    </row>
    <row r="967" spans="7:41" x14ac:dyDescent="0.35">
      <c r="G967">
        <v>965</v>
      </c>
      <c r="H967">
        <v>0</v>
      </c>
      <c r="I967">
        <v>0</v>
      </c>
      <c r="J967">
        <v>0</v>
      </c>
      <c r="K967">
        <v>0</v>
      </c>
      <c r="L967">
        <v>1</v>
      </c>
      <c r="M967" s="1">
        <v>60</v>
      </c>
      <c r="N967">
        <v>965</v>
      </c>
      <c r="O967">
        <v>0</v>
      </c>
      <c r="P967">
        <v>0</v>
      </c>
      <c r="Q967">
        <v>0</v>
      </c>
      <c r="R967">
        <v>0</v>
      </c>
      <c r="S967">
        <v>0</v>
      </c>
      <c r="T967" s="1">
        <v>0</v>
      </c>
      <c r="U967">
        <v>965</v>
      </c>
      <c r="V967">
        <v>0</v>
      </c>
      <c r="W967">
        <v>1</v>
      </c>
      <c r="X967">
        <v>0</v>
      </c>
      <c r="Y967">
        <v>0</v>
      </c>
      <c r="Z967">
        <v>0</v>
      </c>
      <c r="AA967" s="1">
        <v>100</v>
      </c>
      <c r="AB967">
        <v>965</v>
      </c>
      <c r="AC967">
        <v>0</v>
      </c>
      <c r="AD967">
        <v>0</v>
      </c>
      <c r="AE967">
        <v>0</v>
      </c>
      <c r="AF967">
        <v>0</v>
      </c>
      <c r="AG967">
        <v>1</v>
      </c>
      <c r="AH967" s="1">
        <v>120</v>
      </c>
      <c r="AI967">
        <v>965</v>
      </c>
      <c r="AJ967">
        <v>0</v>
      </c>
      <c r="AK967">
        <v>0</v>
      </c>
      <c r="AL967">
        <v>0</v>
      </c>
      <c r="AM967">
        <v>0</v>
      </c>
      <c r="AN967">
        <v>0</v>
      </c>
      <c r="AO967" s="1">
        <v>0</v>
      </c>
    </row>
    <row r="968" spans="7:41" x14ac:dyDescent="0.35">
      <c r="G968">
        <v>966</v>
      </c>
      <c r="H968">
        <v>1</v>
      </c>
      <c r="I968">
        <v>3</v>
      </c>
      <c r="J968">
        <v>1</v>
      </c>
      <c r="K968">
        <v>0</v>
      </c>
      <c r="L968">
        <v>0</v>
      </c>
      <c r="M968" s="1">
        <v>300</v>
      </c>
      <c r="N968">
        <v>966</v>
      </c>
      <c r="O968">
        <v>0</v>
      </c>
      <c r="P968">
        <v>0</v>
      </c>
      <c r="Q968">
        <v>0</v>
      </c>
      <c r="R968">
        <v>1</v>
      </c>
      <c r="S968">
        <v>0</v>
      </c>
      <c r="T968" s="1">
        <v>80</v>
      </c>
      <c r="U968">
        <v>966</v>
      </c>
      <c r="V968">
        <v>0</v>
      </c>
      <c r="W968">
        <v>1</v>
      </c>
      <c r="X968">
        <v>0</v>
      </c>
      <c r="Y968">
        <v>0</v>
      </c>
      <c r="Z968">
        <v>0</v>
      </c>
      <c r="AA968" s="1">
        <v>100</v>
      </c>
      <c r="AB968">
        <v>966</v>
      </c>
      <c r="AC968">
        <v>0</v>
      </c>
      <c r="AD968">
        <v>0</v>
      </c>
      <c r="AE968">
        <v>0</v>
      </c>
      <c r="AF968">
        <v>0</v>
      </c>
      <c r="AG968">
        <v>0</v>
      </c>
      <c r="AH968" s="1">
        <v>0</v>
      </c>
      <c r="AI968">
        <v>966</v>
      </c>
      <c r="AJ968">
        <v>0</v>
      </c>
      <c r="AK968">
        <v>0</v>
      </c>
      <c r="AL968">
        <v>0</v>
      </c>
      <c r="AM968">
        <v>0</v>
      </c>
      <c r="AN968">
        <v>0</v>
      </c>
      <c r="AO968" s="1">
        <v>0</v>
      </c>
    </row>
    <row r="969" spans="7:41" x14ac:dyDescent="0.35">
      <c r="G969">
        <v>967</v>
      </c>
      <c r="H969">
        <v>0</v>
      </c>
      <c r="I969">
        <v>2</v>
      </c>
      <c r="J969">
        <v>0</v>
      </c>
      <c r="K969">
        <v>4</v>
      </c>
      <c r="L969">
        <v>2</v>
      </c>
      <c r="M969" s="1">
        <v>480</v>
      </c>
      <c r="N969">
        <v>967</v>
      </c>
      <c r="O969">
        <v>0</v>
      </c>
      <c r="P969">
        <v>0</v>
      </c>
      <c r="Q969">
        <v>1</v>
      </c>
      <c r="R969">
        <v>1</v>
      </c>
      <c r="S969">
        <v>1</v>
      </c>
      <c r="T969" s="1">
        <v>240</v>
      </c>
      <c r="U969">
        <v>967</v>
      </c>
      <c r="V969">
        <v>0</v>
      </c>
      <c r="W969">
        <v>0</v>
      </c>
      <c r="X969">
        <v>0</v>
      </c>
      <c r="Y969">
        <v>0</v>
      </c>
      <c r="Z969">
        <v>0</v>
      </c>
      <c r="AA969" s="1">
        <v>0</v>
      </c>
      <c r="AB969">
        <v>967</v>
      </c>
      <c r="AC969">
        <v>0</v>
      </c>
      <c r="AD969">
        <v>0</v>
      </c>
      <c r="AE969">
        <v>0</v>
      </c>
      <c r="AF969">
        <v>0</v>
      </c>
      <c r="AG969">
        <v>0</v>
      </c>
      <c r="AH969" s="1">
        <v>0</v>
      </c>
      <c r="AI969">
        <v>967</v>
      </c>
      <c r="AJ969">
        <v>0</v>
      </c>
      <c r="AK969">
        <v>0</v>
      </c>
      <c r="AL969">
        <v>0</v>
      </c>
      <c r="AM969">
        <v>0</v>
      </c>
      <c r="AN969">
        <v>0</v>
      </c>
      <c r="AO969" s="1">
        <v>0</v>
      </c>
    </row>
    <row r="970" spans="7:41" x14ac:dyDescent="0.35">
      <c r="G970">
        <v>968</v>
      </c>
      <c r="H970">
        <v>0</v>
      </c>
      <c r="I970">
        <v>2</v>
      </c>
      <c r="J970">
        <v>0</v>
      </c>
      <c r="K970">
        <v>1</v>
      </c>
      <c r="L970">
        <v>0</v>
      </c>
      <c r="M970" s="1">
        <v>180</v>
      </c>
      <c r="N970">
        <v>968</v>
      </c>
      <c r="O970">
        <v>0</v>
      </c>
      <c r="P970">
        <v>1</v>
      </c>
      <c r="Q970">
        <v>1</v>
      </c>
      <c r="R970">
        <v>0</v>
      </c>
      <c r="S970">
        <v>0</v>
      </c>
      <c r="T970" s="1">
        <v>160</v>
      </c>
      <c r="U970">
        <v>968</v>
      </c>
      <c r="V970">
        <v>0</v>
      </c>
      <c r="W970">
        <v>0</v>
      </c>
      <c r="X970">
        <v>0</v>
      </c>
      <c r="Y970">
        <v>0</v>
      </c>
      <c r="Z970">
        <v>0</v>
      </c>
      <c r="AA970" s="1">
        <v>0</v>
      </c>
      <c r="AB970">
        <v>968</v>
      </c>
      <c r="AC970">
        <v>0</v>
      </c>
      <c r="AD970">
        <v>0</v>
      </c>
      <c r="AE970">
        <v>0</v>
      </c>
      <c r="AF970">
        <v>0</v>
      </c>
      <c r="AG970">
        <v>1</v>
      </c>
      <c r="AH970" s="1">
        <v>120</v>
      </c>
      <c r="AI970">
        <v>968</v>
      </c>
      <c r="AJ970">
        <v>0</v>
      </c>
      <c r="AK970">
        <v>0</v>
      </c>
      <c r="AL970">
        <v>0</v>
      </c>
      <c r="AM970">
        <v>0</v>
      </c>
      <c r="AN970">
        <v>0</v>
      </c>
      <c r="AO970" s="1">
        <v>0</v>
      </c>
    </row>
    <row r="971" spans="7:41" x14ac:dyDescent="0.35">
      <c r="G971">
        <v>969</v>
      </c>
      <c r="H971">
        <v>0</v>
      </c>
      <c r="I971">
        <v>2</v>
      </c>
      <c r="J971">
        <v>1</v>
      </c>
      <c r="K971">
        <v>1</v>
      </c>
      <c r="L971">
        <v>0</v>
      </c>
      <c r="M971" s="1">
        <v>240</v>
      </c>
      <c r="N971">
        <v>969</v>
      </c>
      <c r="O971">
        <v>0</v>
      </c>
      <c r="P971">
        <v>0</v>
      </c>
      <c r="Q971">
        <v>0</v>
      </c>
      <c r="R971">
        <v>0</v>
      </c>
      <c r="S971">
        <v>0</v>
      </c>
      <c r="T971" s="1">
        <v>0</v>
      </c>
      <c r="U971">
        <v>969</v>
      </c>
      <c r="V971">
        <v>0</v>
      </c>
      <c r="W971">
        <v>0</v>
      </c>
      <c r="X971">
        <v>0</v>
      </c>
      <c r="Y971">
        <v>0</v>
      </c>
      <c r="Z971">
        <v>0</v>
      </c>
      <c r="AA971" s="1">
        <v>0</v>
      </c>
      <c r="AB971">
        <v>969</v>
      </c>
      <c r="AC971">
        <v>0</v>
      </c>
      <c r="AD971">
        <v>0</v>
      </c>
      <c r="AE971">
        <v>0</v>
      </c>
      <c r="AF971">
        <v>0</v>
      </c>
      <c r="AG971">
        <v>0</v>
      </c>
      <c r="AH971" s="1">
        <v>0</v>
      </c>
      <c r="AI971">
        <v>969</v>
      </c>
      <c r="AJ971">
        <v>0</v>
      </c>
      <c r="AK971">
        <v>0</v>
      </c>
      <c r="AL971">
        <v>0</v>
      </c>
      <c r="AM971">
        <v>0</v>
      </c>
      <c r="AN971">
        <v>0</v>
      </c>
      <c r="AO971" s="1">
        <v>0</v>
      </c>
    </row>
    <row r="972" spans="7:41" x14ac:dyDescent="0.35">
      <c r="G972">
        <v>970</v>
      </c>
      <c r="H972">
        <v>1</v>
      </c>
      <c r="I972">
        <v>0</v>
      </c>
      <c r="J972">
        <v>2</v>
      </c>
      <c r="K972">
        <v>1</v>
      </c>
      <c r="L972">
        <v>0</v>
      </c>
      <c r="M972" s="1">
        <v>240</v>
      </c>
      <c r="N972">
        <v>970</v>
      </c>
      <c r="O972">
        <v>0</v>
      </c>
      <c r="P972">
        <v>0</v>
      </c>
      <c r="Q972">
        <v>1</v>
      </c>
      <c r="R972">
        <v>2</v>
      </c>
      <c r="S972">
        <v>0</v>
      </c>
      <c r="T972" s="1">
        <v>240</v>
      </c>
      <c r="U972">
        <v>970</v>
      </c>
      <c r="V972">
        <v>0</v>
      </c>
      <c r="W972">
        <v>0</v>
      </c>
      <c r="X972">
        <v>0</v>
      </c>
      <c r="Y972">
        <v>0</v>
      </c>
      <c r="Z972">
        <v>0</v>
      </c>
      <c r="AA972" s="1">
        <v>0</v>
      </c>
      <c r="AB972">
        <v>970</v>
      </c>
      <c r="AC972">
        <v>0</v>
      </c>
      <c r="AD972">
        <v>0</v>
      </c>
      <c r="AE972">
        <v>0</v>
      </c>
      <c r="AF972">
        <v>0</v>
      </c>
      <c r="AG972">
        <v>0</v>
      </c>
      <c r="AH972" s="1">
        <v>0</v>
      </c>
      <c r="AI972">
        <v>970</v>
      </c>
      <c r="AJ972">
        <v>0</v>
      </c>
      <c r="AK972">
        <v>0</v>
      </c>
      <c r="AL972">
        <v>0</v>
      </c>
      <c r="AM972">
        <v>0</v>
      </c>
      <c r="AN972">
        <v>0</v>
      </c>
      <c r="AO972" s="1">
        <v>0</v>
      </c>
    </row>
    <row r="973" spans="7:41" x14ac:dyDescent="0.35">
      <c r="G973">
        <v>971</v>
      </c>
      <c r="H973">
        <v>1</v>
      </c>
      <c r="I973">
        <v>0</v>
      </c>
      <c r="J973">
        <v>0</v>
      </c>
      <c r="K973">
        <v>0</v>
      </c>
      <c r="L973">
        <v>0</v>
      </c>
      <c r="M973" s="1">
        <v>60</v>
      </c>
      <c r="N973">
        <v>971</v>
      </c>
      <c r="O973">
        <v>0</v>
      </c>
      <c r="P973">
        <v>0</v>
      </c>
      <c r="Q973">
        <v>3</v>
      </c>
      <c r="R973">
        <v>0</v>
      </c>
      <c r="S973">
        <v>0</v>
      </c>
      <c r="T973" s="1">
        <v>240</v>
      </c>
      <c r="U973">
        <v>971</v>
      </c>
      <c r="V973">
        <v>0</v>
      </c>
      <c r="W973">
        <v>0</v>
      </c>
      <c r="X973">
        <v>0</v>
      </c>
      <c r="Y973">
        <v>0</v>
      </c>
      <c r="Z973">
        <v>0</v>
      </c>
      <c r="AA973" s="1">
        <v>0</v>
      </c>
      <c r="AB973">
        <v>971</v>
      </c>
      <c r="AC973">
        <v>0</v>
      </c>
      <c r="AD973">
        <v>0</v>
      </c>
      <c r="AE973">
        <v>0</v>
      </c>
      <c r="AF973">
        <v>0</v>
      </c>
      <c r="AG973">
        <v>0</v>
      </c>
      <c r="AH973" s="1">
        <v>0</v>
      </c>
      <c r="AI973">
        <v>971</v>
      </c>
      <c r="AJ973">
        <v>0</v>
      </c>
      <c r="AK973">
        <v>0</v>
      </c>
      <c r="AL973">
        <v>0</v>
      </c>
      <c r="AM973">
        <v>0</v>
      </c>
      <c r="AN973">
        <v>2</v>
      </c>
      <c r="AO973" s="1">
        <v>300</v>
      </c>
    </row>
    <row r="974" spans="7:41" x14ac:dyDescent="0.35">
      <c r="G974">
        <v>972</v>
      </c>
      <c r="H974">
        <v>1</v>
      </c>
      <c r="I974">
        <v>1</v>
      </c>
      <c r="J974">
        <v>1</v>
      </c>
      <c r="K974">
        <v>4</v>
      </c>
      <c r="L974">
        <v>0</v>
      </c>
      <c r="M974" s="1">
        <v>420</v>
      </c>
      <c r="N974">
        <v>972</v>
      </c>
      <c r="O974">
        <v>0</v>
      </c>
      <c r="P974">
        <v>1</v>
      </c>
      <c r="Q974">
        <v>1</v>
      </c>
      <c r="R974">
        <v>0</v>
      </c>
      <c r="S974">
        <v>0</v>
      </c>
      <c r="T974" s="1">
        <v>160</v>
      </c>
      <c r="U974">
        <v>972</v>
      </c>
      <c r="V974">
        <v>0</v>
      </c>
      <c r="W974">
        <v>0</v>
      </c>
      <c r="X974">
        <v>0</v>
      </c>
      <c r="Y974">
        <v>0</v>
      </c>
      <c r="Z974">
        <v>0</v>
      </c>
      <c r="AA974" s="1">
        <v>0</v>
      </c>
      <c r="AB974">
        <v>972</v>
      </c>
      <c r="AC974">
        <v>0</v>
      </c>
      <c r="AD974">
        <v>0</v>
      </c>
      <c r="AE974">
        <v>0</v>
      </c>
      <c r="AF974">
        <v>0</v>
      </c>
      <c r="AG974">
        <v>0</v>
      </c>
      <c r="AH974" s="1">
        <v>0</v>
      </c>
      <c r="AI974">
        <v>972</v>
      </c>
      <c r="AJ974">
        <v>0</v>
      </c>
      <c r="AK974">
        <v>0</v>
      </c>
      <c r="AL974">
        <v>0</v>
      </c>
      <c r="AM974">
        <v>0</v>
      </c>
      <c r="AN974">
        <v>0</v>
      </c>
      <c r="AO974" s="1">
        <v>0</v>
      </c>
    </row>
    <row r="975" spans="7:41" x14ac:dyDescent="0.35">
      <c r="G975">
        <v>973</v>
      </c>
      <c r="H975">
        <v>0</v>
      </c>
      <c r="I975">
        <v>1</v>
      </c>
      <c r="J975">
        <v>0</v>
      </c>
      <c r="K975">
        <v>1</v>
      </c>
      <c r="L975">
        <v>0</v>
      </c>
      <c r="M975" s="1">
        <v>120</v>
      </c>
      <c r="N975">
        <v>973</v>
      </c>
      <c r="O975">
        <v>0</v>
      </c>
      <c r="P975">
        <v>0</v>
      </c>
      <c r="Q975">
        <v>0</v>
      </c>
      <c r="R975">
        <v>1</v>
      </c>
      <c r="S975">
        <v>0</v>
      </c>
      <c r="T975" s="1">
        <v>80</v>
      </c>
      <c r="U975">
        <v>973</v>
      </c>
      <c r="V975">
        <v>1</v>
      </c>
      <c r="W975">
        <v>1</v>
      </c>
      <c r="X975">
        <v>0</v>
      </c>
      <c r="Y975">
        <v>0</v>
      </c>
      <c r="Z975">
        <v>0</v>
      </c>
      <c r="AA975" s="1">
        <v>200</v>
      </c>
      <c r="AB975">
        <v>973</v>
      </c>
      <c r="AC975">
        <v>0</v>
      </c>
      <c r="AD975">
        <v>0</v>
      </c>
      <c r="AE975">
        <v>0</v>
      </c>
      <c r="AF975">
        <v>0</v>
      </c>
      <c r="AG975">
        <v>0</v>
      </c>
      <c r="AH975" s="1">
        <v>0</v>
      </c>
      <c r="AI975">
        <v>973</v>
      </c>
      <c r="AJ975">
        <v>0</v>
      </c>
      <c r="AK975">
        <v>0</v>
      </c>
      <c r="AL975">
        <v>0</v>
      </c>
      <c r="AM975">
        <v>0</v>
      </c>
      <c r="AN975">
        <v>0</v>
      </c>
      <c r="AO975" s="1">
        <v>0</v>
      </c>
    </row>
    <row r="976" spans="7:41" x14ac:dyDescent="0.35">
      <c r="G976">
        <v>974</v>
      </c>
      <c r="H976">
        <v>0</v>
      </c>
      <c r="I976">
        <v>0</v>
      </c>
      <c r="J976">
        <v>0</v>
      </c>
      <c r="K976">
        <v>2</v>
      </c>
      <c r="L976">
        <v>0</v>
      </c>
      <c r="M976" s="1">
        <v>120</v>
      </c>
      <c r="N976">
        <v>974</v>
      </c>
      <c r="O976">
        <v>0</v>
      </c>
      <c r="P976">
        <v>0</v>
      </c>
      <c r="Q976">
        <v>1</v>
      </c>
      <c r="R976">
        <v>0</v>
      </c>
      <c r="S976">
        <v>0</v>
      </c>
      <c r="T976" s="1">
        <v>80</v>
      </c>
      <c r="U976">
        <v>974</v>
      </c>
      <c r="V976">
        <v>0</v>
      </c>
      <c r="W976">
        <v>0</v>
      </c>
      <c r="X976">
        <v>0</v>
      </c>
      <c r="Y976">
        <v>0</v>
      </c>
      <c r="Z976">
        <v>0</v>
      </c>
      <c r="AA976" s="1">
        <v>0</v>
      </c>
      <c r="AB976">
        <v>974</v>
      </c>
      <c r="AC976">
        <v>0</v>
      </c>
      <c r="AD976">
        <v>0</v>
      </c>
      <c r="AE976">
        <v>0</v>
      </c>
      <c r="AF976">
        <v>0</v>
      </c>
      <c r="AG976">
        <v>1</v>
      </c>
      <c r="AH976" s="1">
        <v>120</v>
      </c>
      <c r="AI976">
        <v>974</v>
      </c>
      <c r="AJ976">
        <v>0</v>
      </c>
      <c r="AK976">
        <v>0</v>
      </c>
      <c r="AL976">
        <v>0</v>
      </c>
      <c r="AM976">
        <v>0</v>
      </c>
      <c r="AN976">
        <v>0</v>
      </c>
      <c r="AO976" s="1">
        <v>0</v>
      </c>
    </row>
    <row r="977" spans="7:41" x14ac:dyDescent="0.35">
      <c r="G977">
        <v>975</v>
      </c>
      <c r="H977">
        <v>1</v>
      </c>
      <c r="I977">
        <v>1</v>
      </c>
      <c r="J977">
        <v>2</v>
      </c>
      <c r="K977">
        <v>1</v>
      </c>
      <c r="L977">
        <v>1</v>
      </c>
      <c r="M977" s="1">
        <v>360</v>
      </c>
      <c r="N977">
        <v>975</v>
      </c>
      <c r="O977">
        <v>0</v>
      </c>
      <c r="P977">
        <v>0</v>
      </c>
      <c r="Q977">
        <v>0</v>
      </c>
      <c r="R977">
        <v>0</v>
      </c>
      <c r="S977">
        <v>0</v>
      </c>
      <c r="T977" s="1">
        <v>0</v>
      </c>
      <c r="U977">
        <v>975</v>
      </c>
      <c r="V977">
        <v>0</v>
      </c>
      <c r="W977">
        <v>1</v>
      </c>
      <c r="X977">
        <v>1</v>
      </c>
      <c r="Y977">
        <v>0</v>
      </c>
      <c r="Z977">
        <v>0</v>
      </c>
      <c r="AA977" s="1">
        <v>200</v>
      </c>
      <c r="AB977">
        <v>975</v>
      </c>
      <c r="AC977">
        <v>0</v>
      </c>
      <c r="AD977">
        <v>0</v>
      </c>
      <c r="AE977">
        <v>0</v>
      </c>
      <c r="AF977">
        <v>0</v>
      </c>
      <c r="AG977">
        <v>0</v>
      </c>
      <c r="AH977" s="1">
        <v>0</v>
      </c>
      <c r="AI977">
        <v>975</v>
      </c>
      <c r="AJ977">
        <v>0</v>
      </c>
      <c r="AK977">
        <v>0</v>
      </c>
      <c r="AL977">
        <v>0</v>
      </c>
      <c r="AM977">
        <v>0</v>
      </c>
      <c r="AN977">
        <v>0</v>
      </c>
      <c r="AO977" s="1">
        <v>0</v>
      </c>
    </row>
    <row r="978" spans="7:41" x14ac:dyDescent="0.35">
      <c r="G978">
        <v>976</v>
      </c>
      <c r="H978">
        <v>1</v>
      </c>
      <c r="I978">
        <v>2</v>
      </c>
      <c r="J978">
        <v>1</v>
      </c>
      <c r="K978">
        <v>2</v>
      </c>
      <c r="L978">
        <v>0</v>
      </c>
      <c r="M978" s="1">
        <v>360</v>
      </c>
      <c r="N978">
        <v>976</v>
      </c>
      <c r="O978">
        <v>1</v>
      </c>
      <c r="P978">
        <v>1</v>
      </c>
      <c r="Q978">
        <v>1</v>
      </c>
      <c r="R978">
        <v>0</v>
      </c>
      <c r="S978">
        <v>0</v>
      </c>
      <c r="T978" s="1">
        <v>240</v>
      </c>
      <c r="U978">
        <v>976</v>
      </c>
      <c r="V978">
        <v>0</v>
      </c>
      <c r="W978">
        <v>0</v>
      </c>
      <c r="X978">
        <v>1</v>
      </c>
      <c r="Y978">
        <v>0</v>
      </c>
      <c r="Z978">
        <v>0</v>
      </c>
      <c r="AA978" s="1">
        <v>100</v>
      </c>
      <c r="AB978">
        <v>976</v>
      </c>
      <c r="AC978">
        <v>0</v>
      </c>
      <c r="AD978">
        <v>0</v>
      </c>
      <c r="AE978">
        <v>0</v>
      </c>
      <c r="AF978">
        <v>1</v>
      </c>
      <c r="AG978">
        <v>0</v>
      </c>
      <c r="AH978" s="1">
        <v>120</v>
      </c>
      <c r="AI978">
        <v>976</v>
      </c>
      <c r="AJ978">
        <v>0</v>
      </c>
      <c r="AK978">
        <v>0</v>
      </c>
      <c r="AL978">
        <v>0</v>
      </c>
      <c r="AM978">
        <v>0</v>
      </c>
      <c r="AN978">
        <v>0</v>
      </c>
      <c r="AO978" s="1">
        <v>0</v>
      </c>
    </row>
    <row r="979" spans="7:41" x14ac:dyDescent="0.35">
      <c r="G979">
        <v>977</v>
      </c>
      <c r="H979">
        <v>0</v>
      </c>
      <c r="I979">
        <v>3</v>
      </c>
      <c r="J979">
        <v>1</v>
      </c>
      <c r="K979">
        <v>2</v>
      </c>
      <c r="L979">
        <v>0</v>
      </c>
      <c r="M979" s="1">
        <v>360</v>
      </c>
      <c r="N979">
        <v>977</v>
      </c>
      <c r="O979">
        <v>0</v>
      </c>
      <c r="P979">
        <v>0</v>
      </c>
      <c r="Q979">
        <v>0</v>
      </c>
      <c r="R979">
        <v>1</v>
      </c>
      <c r="S979">
        <v>0</v>
      </c>
      <c r="T979" s="1">
        <v>80</v>
      </c>
      <c r="U979">
        <v>977</v>
      </c>
      <c r="V979">
        <v>0</v>
      </c>
      <c r="W979">
        <v>2</v>
      </c>
      <c r="X979">
        <v>0</v>
      </c>
      <c r="Y979">
        <v>0</v>
      </c>
      <c r="Z979">
        <v>1</v>
      </c>
      <c r="AA979" s="1">
        <v>300</v>
      </c>
      <c r="AB979">
        <v>977</v>
      </c>
      <c r="AC979">
        <v>0</v>
      </c>
      <c r="AD979">
        <v>0</v>
      </c>
      <c r="AE979">
        <v>0</v>
      </c>
      <c r="AF979">
        <v>0</v>
      </c>
      <c r="AG979">
        <v>0</v>
      </c>
      <c r="AH979" s="1">
        <v>0</v>
      </c>
      <c r="AI979">
        <v>977</v>
      </c>
      <c r="AJ979">
        <v>0</v>
      </c>
      <c r="AK979">
        <v>0</v>
      </c>
      <c r="AL979">
        <v>2</v>
      </c>
      <c r="AM979">
        <v>0</v>
      </c>
      <c r="AN979">
        <v>0</v>
      </c>
      <c r="AO979" s="1">
        <v>300</v>
      </c>
    </row>
    <row r="980" spans="7:41" x14ac:dyDescent="0.35">
      <c r="G980">
        <v>978</v>
      </c>
      <c r="H980">
        <v>0</v>
      </c>
      <c r="I980">
        <v>1</v>
      </c>
      <c r="J980">
        <v>0</v>
      </c>
      <c r="K980">
        <v>0</v>
      </c>
      <c r="L980">
        <v>0</v>
      </c>
      <c r="M980" s="1">
        <v>60</v>
      </c>
      <c r="N980">
        <v>978</v>
      </c>
      <c r="O980">
        <v>0</v>
      </c>
      <c r="P980">
        <v>1</v>
      </c>
      <c r="Q980">
        <v>1</v>
      </c>
      <c r="R980">
        <v>0</v>
      </c>
      <c r="S980">
        <v>0</v>
      </c>
      <c r="T980" s="1">
        <v>160</v>
      </c>
      <c r="U980">
        <v>978</v>
      </c>
      <c r="V980">
        <v>0</v>
      </c>
      <c r="W980">
        <v>1</v>
      </c>
      <c r="X980">
        <v>0</v>
      </c>
      <c r="Y980">
        <v>0</v>
      </c>
      <c r="Z980">
        <v>0</v>
      </c>
      <c r="AA980" s="1">
        <v>100</v>
      </c>
      <c r="AB980">
        <v>978</v>
      </c>
      <c r="AC980">
        <v>0</v>
      </c>
      <c r="AD980">
        <v>0</v>
      </c>
      <c r="AE980">
        <v>0</v>
      </c>
      <c r="AF980">
        <v>0</v>
      </c>
      <c r="AG980">
        <v>0</v>
      </c>
      <c r="AH980" s="1">
        <v>0</v>
      </c>
      <c r="AI980">
        <v>978</v>
      </c>
      <c r="AJ980">
        <v>0</v>
      </c>
      <c r="AK980">
        <v>0</v>
      </c>
      <c r="AL980">
        <v>0</v>
      </c>
      <c r="AM980">
        <v>0</v>
      </c>
      <c r="AN980">
        <v>0</v>
      </c>
      <c r="AO980" s="1">
        <v>0</v>
      </c>
    </row>
    <row r="981" spans="7:41" x14ac:dyDescent="0.35">
      <c r="G981">
        <v>979</v>
      </c>
      <c r="H981">
        <v>0</v>
      </c>
      <c r="I981">
        <v>0</v>
      </c>
      <c r="J981">
        <v>1</v>
      </c>
      <c r="K981">
        <v>3</v>
      </c>
      <c r="L981">
        <v>0</v>
      </c>
      <c r="M981" s="1">
        <v>240</v>
      </c>
      <c r="N981">
        <v>979</v>
      </c>
      <c r="O981">
        <v>0</v>
      </c>
      <c r="P981">
        <v>1</v>
      </c>
      <c r="Q981">
        <v>1</v>
      </c>
      <c r="R981">
        <v>0</v>
      </c>
      <c r="S981">
        <v>1</v>
      </c>
      <c r="T981" s="1">
        <v>240</v>
      </c>
      <c r="U981">
        <v>979</v>
      </c>
      <c r="V981">
        <v>0</v>
      </c>
      <c r="W981">
        <v>0</v>
      </c>
      <c r="X981">
        <v>0</v>
      </c>
      <c r="Y981">
        <v>0</v>
      </c>
      <c r="Z981">
        <v>0</v>
      </c>
      <c r="AA981" s="1">
        <v>0</v>
      </c>
      <c r="AB981">
        <v>979</v>
      </c>
      <c r="AC981">
        <v>0</v>
      </c>
      <c r="AD981">
        <v>0</v>
      </c>
      <c r="AE981">
        <v>0</v>
      </c>
      <c r="AF981">
        <v>1</v>
      </c>
      <c r="AG981">
        <v>0</v>
      </c>
      <c r="AH981" s="1">
        <v>120</v>
      </c>
      <c r="AI981">
        <v>979</v>
      </c>
      <c r="AJ981">
        <v>0</v>
      </c>
      <c r="AK981">
        <v>0</v>
      </c>
      <c r="AL981">
        <v>0</v>
      </c>
      <c r="AM981">
        <v>0</v>
      </c>
      <c r="AN981">
        <v>0</v>
      </c>
      <c r="AO981" s="1">
        <v>0</v>
      </c>
    </row>
    <row r="982" spans="7:41" x14ac:dyDescent="0.35">
      <c r="G982">
        <v>980</v>
      </c>
      <c r="H982">
        <v>0</v>
      </c>
      <c r="I982">
        <v>3</v>
      </c>
      <c r="J982">
        <v>0</v>
      </c>
      <c r="K982">
        <v>1</v>
      </c>
      <c r="L982">
        <v>0</v>
      </c>
      <c r="M982" s="1">
        <v>240</v>
      </c>
      <c r="N982">
        <v>980</v>
      </c>
      <c r="O982">
        <v>0</v>
      </c>
      <c r="P982">
        <v>0</v>
      </c>
      <c r="Q982">
        <v>0</v>
      </c>
      <c r="R982">
        <v>1</v>
      </c>
      <c r="S982">
        <v>1</v>
      </c>
      <c r="T982" s="1">
        <v>160</v>
      </c>
      <c r="U982">
        <v>980</v>
      </c>
      <c r="V982">
        <v>0</v>
      </c>
      <c r="W982">
        <v>0</v>
      </c>
      <c r="X982">
        <v>0</v>
      </c>
      <c r="Y982">
        <v>0</v>
      </c>
      <c r="Z982">
        <v>0</v>
      </c>
      <c r="AA982" s="1">
        <v>0</v>
      </c>
      <c r="AB982">
        <v>980</v>
      </c>
      <c r="AC982">
        <v>1</v>
      </c>
      <c r="AD982">
        <v>0</v>
      </c>
      <c r="AE982">
        <v>0</v>
      </c>
      <c r="AF982">
        <v>0</v>
      </c>
      <c r="AG982">
        <v>1</v>
      </c>
      <c r="AH982" s="1">
        <v>240</v>
      </c>
      <c r="AI982">
        <v>980</v>
      </c>
      <c r="AJ982">
        <v>0</v>
      </c>
      <c r="AK982">
        <v>0</v>
      </c>
      <c r="AL982">
        <v>0</v>
      </c>
      <c r="AM982">
        <v>0</v>
      </c>
      <c r="AN982">
        <v>0</v>
      </c>
      <c r="AO982" s="1">
        <v>0</v>
      </c>
    </row>
    <row r="983" spans="7:41" x14ac:dyDescent="0.35">
      <c r="G983">
        <v>981</v>
      </c>
      <c r="H983">
        <v>0</v>
      </c>
      <c r="I983">
        <v>1</v>
      </c>
      <c r="J983">
        <v>2</v>
      </c>
      <c r="K983">
        <v>0</v>
      </c>
      <c r="L983">
        <v>4</v>
      </c>
      <c r="M983" s="1">
        <v>420</v>
      </c>
      <c r="N983">
        <v>981</v>
      </c>
      <c r="O983">
        <v>1</v>
      </c>
      <c r="P983">
        <v>0</v>
      </c>
      <c r="Q983">
        <v>0</v>
      </c>
      <c r="R983">
        <v>0</v>
      </c>
      <c r="S983">
        <v>0</v>
      </c>
      <c r="T983" s="1">
        <v>80</v>
      </c>
      <c r="U983">
        <v>981</v>
      </c>
      <c r="V983">
        <v>0</v>
      </c>
      <c r="W983">
        <v>0</v>
      </c>
      <c r="X983">
        <v>0</v>
      </c>
      <c r="Y983">
        <v>0</v>
      </c>
      <c r="Z983">
        <v>0</v>
      </c>
      <c r="AA983" s="1">
        <v>0</v>
      </c>
      <c r="AB983">
        <v>981</v>
      </c>
      <c r="AC983">
        <v>0</v>
      </c>
      <c r="AD983">
        <v>0</v>
      </c>
      <c r="AE983">
        <v>0</v>
      </c>
      <c r="AF983">
        <v>0</v>
      </c>
      <c r="AG983">
        <v>0</v>
      </c>
      <c r="AH983" s="1">
        <v>0</v>
      </c>
      <c r="AI983">
        <v>981</v>
      </c>
      <c r="AJ983">
        <v>0</v>
      </c>
      <c r="AK983">
        <v>0</v>
      </c>
      <c r="AL983">
        <v>0</v>
      </c>
      <c r="AM983">
        <v>0</v>
      </c>
      <c r="AN983">
        <v>0</v>
      </c>
      <c r="AO983" s="1">
        <v>0</v>
      </c>
    </row>
    <row r="984" spans="7:41" x14ac:dyDescent="0.35">
      <c r="G984">
        <v>982</v>
      </c>
      <c r="H984">
        <v>0</v>
      </c>
      <c r="I984">
        <v>0</v>
      </c>
      <c r="J984">
        <v>0</v>
      </c>
      <c r="K984">
        <v>4</v>
      </c>
      <c r="L984">
        <v>2</v>
      </c>
      <c r="M984" s="1">
        <v>360</v>
      </c>
      <c r="N984">
        <v>982</v>
      </c>
      <c r="O984">
        <v>2</v>
      </c>
      <c r="P984">
        <v>0</v>
      </c>
      <c r="Q984">
        <v>1</v>
      </c>
      <c r="R984">
        <v>0</v>
      </c>
      <c r="S984">
        <v>0</v>
      </c>
      <c r="T984" s="1">
        <v>240</v>
      </c>
      <c r="U984">
        <v>982</v>
      </c>
      <c r="V984">
        <v>0</v>
      </c>
      <c r="W984">
        <v>0</v>
      </c>
      <c r="X984">
        <v>0</v>
      </c>
      <c r="Y984">
        <v>0</v>
      </c>
      <c r="Z984">
        <v>0</v>
      </c>
      <c r="AA984" s="1">
        <v>0</v>
      </c>
      <c r="AB984">
        <v>982</v>
      </c>
      <c r="AC984">
        <v>0</v>
      </c>
      <c r="AD984">
        <v>0</v>
      </c>
      <c r="AE984">
        <v>0</v>
      </c>
      <c r="AF984">
        <v>1</v>
      </c>
      <c r="AG984">
        <v>0</v>
      </c>
      <c r="AH984" s="1">
        <v>120</v>
      </c>
      <c r="AI984">
        <v>982</v>
      </c>
      <c r="AJ984">
        <v>0</v>
      </c>
      <c r="AK984">
        <v>0</v>
      </c>
      <c r="AL984">
        <v>0</v>
      </c>
      <c r="AM984">
        <v>0</v>
      </c>
      <c r="AN984">
        <v>0</v>
      </c>
      <c r="AO984" s="1">
        <v>0</v>
      </c>
    </row>
    <row r="985" spans="7:41" x14ac:dyDescent="0.35">
      <c r="G985">
        <v>983</v>
      </c>
      <c r="H985">
        <v>2</v>
      </c>
      <c r="I985">
        <v>1</v>
      </c>
      <c r="J985">
        <v>0</v>
      </c>
      <c r="K985">
        <v>2</v>
      </c>
      <c r="L985">
        <v>2</v>
      </c>
      <c r="M985" s="1">
        <v>420</v>
      </c>
      <c r="N985">
        <v>983</v>
      </c>
      <c r="O985">
        <v>0</v>
      </c>
      <c r="P985">
        <v>0</v>
      </c>
      <c r="Q985">
        <v>0</v>
      </c>
      <c r="R985">
        <v>1</v>
      </c>
      <c r="S985">
        <v>0</v>
      </c>
      <c r="T985" s="1">
        <v>80</v>
      </c>
      <c r="U985">
        <v>983</v>
      </c>
      <c r="V985">
        <v>0</v>
      </c>
      <c r="W985">
        <v>0</v>
      </c>
      <c r="X985">
        <v>0</v>
      </c>
      <c r="Y985">
        <v>0</v>
      </c>
      <c r="Z985">
        <v>0</v>
      </c>
      <c r="AA985" s="1">
        <v>0</v>
      </c>
      <c r="AB985">
        <v>983</v>
      </c>
      <c r="AC985">
        <v>0</v>
      </c>
      <c r="AD985">
        <v>1</v>
      </c>
      <c r="AE985">
        <v>0</v>
      </c>
      <c r="AF985">
        <v>0</v>
      </c>
      <c r="AG985">
        <v>0</v>
      </c>
      <c r="AH985" s="1">
        <v>120</v>
      </c>
      <c r="AI985">
        <v>983</v>
      </c>
      <c r="AJ985">
        <v>0</v>
      </c>
      <c r="AK985">
        <v>0</v>
      </c>
      <c r="AL985">
        <v>2</v>
      </c>
      <c r="AM985">
        <v>0</v>
      </c>
      <c r="AN985">
        <v>0</v>
      </c>
      <c r="AO985" s="1">
        <v>300</v>
      </c>
    </row>
    <row r="986" spans="7:41" x14ac:dyDescent="0.35">
      <c r="G986">
        <v>984</v>
      </c>
      <c r="H986">
        <v>0</v>
      </c>
      <c r="I986">
        <v>0</v>
      </c>
      <c r="J986">
        <v>3</v>
      </c>
      <c r="K986">
        <v>2</v>
      </c>
      <c r="L986">
        <v>0</v>
      </c>
      <c r="M986" s="1">
        <v>300</v>
      </c>
      <c r="N986">
        <v>984</v>
      </c>
      <c r="O986">
        <v>0</v>
      </c>
      <c r="P986">
        <v>2</v>
      </c>
      <c r="Q986">
        <v>0</v>
      </c>
      <c r="R986">
        <v>0</v>
      </c>
      <c r="S986">
        <v>1</v>
      </c>
      <c r="T986" s="1">
        <v>240</v>
      </c>
      <c r="U986">
        <v>984</v>
      </c>
      <c r="V986">
        <v>0</v>
      </c>
      <c r="W986">
        <v>0</v>
      </c>
      <c r="X986">
        <v>0</v>
      </c>
      <c r="Y986">
        <v>0</v>
      </c>
      <c r="Z986">
        <v>0</v>
      </c>
      <c r="AA986" s="1">
        <v>0</v>
      </c>
      <c r="AB986">
        <v>984</v>
      </c>
      <c r="AC986">
        <v>2</v>
      </c>
      <c r="AD986">
        <v>1</v>
      </c>
      <c r="AE986">
        <v>0</v>
      </c>
      <c r="AF986">
        <v>0</v>
      </c>
      <c r="AG986">
        <v>0</v>
      </c>
      <c r="AH986" s="1">
        <v>360</v>
      </c>
      <c r="AI986">
        <v>984</v>
      </c>
      <c r="AJ986">
        <v>0</v>
      </c>
      <c r="AK986">
        <v>0</v>
      </c>
      <c r="AL986">
        <v>0</v>
      </c>
      <c r="AM986">
        <v>0</v>
      </c>
      <c r="AN986">
        <v>0</v>
      </c>
      <c r="AO986" s="1">
        <v>0</v>
      </c>
    </row>
    <row r="987" spans="7:41" x14ac:dyDescent="0.35">
      <c r="G987">
        <v>985</v>
      </c>
      <c r="H987">
        <v>0</v>
      </c>
      <c r="I987">
        <v>0</v>
      </c>
      <c r="J987">
        <v>1</v>
      </c>
      <c r="K987">
        <v>0</v>
      </c>
      <c r="L987">
        <v>1</v>
      </c>
      <c r="M987" s="1">
        <v>120</v>
      </c>
      <c r="N987">
        <v>985</v>
      </c>
      <c r="O987">
        <v>0</v>
      </c>
      <c r="P987">
        <v>0</v>
      </c>
      <c r="Q987">
        <v>0</v>
      </c>
      <c r="R987">
        <v>0</v>
      </c>
      <c r="S987">
        <v>0</v>
      </c>
      <c r="T987" s="1">
        <v>0</v>
      </c>
      <c r="U987">
        <v>985</v>
      </c>
      <c r="V987">
        <v>0</v>
      </c>
      <c r="W987">
        <v>1</v>
      </c>
      <c r="X987">
        <v>0</v>
      </c>
      <c r="Y987">
        <v>0</v>
      </c>
      <c r="Z987">
        <v>0</v>
      </c>
      <c r="AA987" s="1">
        <v>100</v>
      </c>
      <c r="AB987">
        <v>985</v>
      </c>
      <c r="AC987">
        <v>0</v>
      </c>
      <c r="AD987">
        <v>1</v>
      </c>
      <c r="AE987">
        <v>0</v>
      </c>
      <c r="AF987">
        <v>0</v>
      </c>
      <c r="AG987">
        <v>0</v>
      </c>
      <c r="AH987" s="1">
        <v>120</v>
      </c>
      <c r="AI987">
        <v>985</v>
      </c>
      <c r="AJ987">
        <v>0</v>
      </c>
      <c r="AK987">
        <v>0</v>
      </c>
      <c r="AL987">
        <v>2</v>
      </c>
      <c r="AM987">
        <v>0</v>
      </c>
      <c r="AN987">
        <v>0</v>
      </c>
      <c r="AO987" s="1">
        <v>300</v>
      </c>
    </row>
    <row r="988" spans="7:41" x14ac:dyDescent="0.35">
      <c r="G988">
        <v>986</v>
      </c>
      <c r="H988">
        <v>2</v>
      </c>
      <c r="I988">
        <v>0</v>
      </c>
      <c r="J988">
        <v>0</v>
      </c>
      <c r="K988">
        <v>0</v>
      </c>
      <c r="L988">
        <v>1</v>
      </c>
      <c r="M988" s="1">
        <v>180</v>
      </c>
      <c r="N988">
        <v>986</v>
      </c>
      <c r="O988">
        <v>0</v>
      </c>
      <c r="P988">
        <v>2</v>
      </c>
      <c r="Q988">
        <v>3</v>
      </c>
      <c r="R988">
        <v>0</v>
      </c>
      <c r="S988">
        <v>0</v>
      </c>
      <c r="T988" s="1">
        <v>400</v>
      </c>
      <c r="U988">
        <v>986</v>
      </c>
      <c r="V988">
        <v>0</v>
      </c>
      <c r="W988">
        <v>0</v>
      </c>
      <c r="X988">
        <v>0</v>
      </c>
      <c r="Y988">
        <v>0</v>
      </c>
      <c r="Z988">
        <v>0</v>
      </c>
      <c r="AA988" s="1">
        <v>0</v>
      </c>
      <c r="AB988">
        <v>986</v>
      </c>
      <c r="AC988">
        <v>0</v>
      </c>
      <c r="AD988">
        <v>0</v>
      </c>
      <c r="AE988">
        <v>0</v>
      </c>
      <c r="AF988">
        <v>0</v>
      </c>
      <c r="AG988">
        <v>1</v>
      </c>
      <c r="AH988" s="1">
        <v>120</v>
      </c>
      <c r="AI988">
        <v>986</v>
      </c>
      <c r="AJ988">
        <v>0</v>
      </c>
      <c r="AK988">
        <v>0</v>
      </c>
      <c r="AL988">
        <v>1</v>
      </c>
      <c r="AM988">
        <v>0</v>
      </c>
      <c r="AN988">
        <v>0</v>
      </c>
      <c r="AO988" s="1">
        <v>150</v>
      </c>
    </row>
    <row r="989" spans="7:41" x14ac:dyDescent="0.35">
      <c r="G989">
        <v>987</v>
      </c>
      <c r="H989">
        <v>1</v>
      </c>
      <c r="I989">
        <v>1</v>
      </c>
      <c r="J989">
        <v>2</v>
      </c>
      <c r="K989">
        <v>2</v>
      </c>
      <c r="L989">
        <v>0</v>
      </c>
      <c r="M989" s="1">
        <v>360</v>
      </c>
      <c r="N989">
        <v>987</v>
      </c>
      <c r="O989">
        <v>3</v>
      </c>
      <c r="P989">
        <v>1</v>
      </c>
      <c r="Q989">
        <v>0</v>
      </c>
      <c r="R989">
        <v>1</v>
      </c>
      <c r="S989">
        <v>0</v>
      </c>
      <c r="T989" s="1">
        <v>400</v>
      </c>
      <c r="U989">
        <v>987</v>
      </c>
      <c r="V989">
        <v>0</v>
      </c>
      <c r="W989">
        <v>0</v>
      </c>
      <c r="X989">
        <v>0</v>
      </c>
      <c r="Y989">
        <v>0</v>
      </c>
      <c r="Z989">
        <v>0</v>
      </c>
      <c r="AA989" s="1">
        <v>0</v>
      </c>
      <c r="AB989">
        <v>987</v>
      </c>
      <c r="AC989">
        <v>0</v>
      </c>
      <c r="AD989">
        <v>0</v>
      </c>
      <c r="AE989">
        <v>0</v>
      </c>
      <c r="AF989">
        <v>0</v>
      </c>
      <c r="AG989">
        <v>0</v>
      </c>
      <c r="AH989" s="1">
        <v>0</v>
      </c>
      <c r="AI989">
        <v>987</v>
      </c>
      <c r="AJ989">
        <v>0</v>
      </c>
      <c r="AK989">
        <v>0</v>
      </c>
      <c r="AL989">
        <v>1</v>
      </c>
      <c r="AM989">
        <v>0</v>
      </c>
      <c r="AN989">
        <v>0</v>
      </c>
      <c r="AO989" s="1">
        <v>150</v>
      </c>
    </row>
    <row r="990" spans="7:41" x14ac:dyDescent="0.35">
      <c r="G990">
        <v>988</v>
      </c>
      <c r="H990">
        <v>1</v>
      </c>
      <c r="I990">
        <v>0</v>
      </c>
      <c r="J990">
        <v>1</v>
      </c>
      <c r="K990">
        <v>0</v>
      </c>
      <c r="L990">
        <v>1</v>
      </c>
      <c r="M990" s="1">
        <v>180</v>
      </c>
      <c r="N990">
        <v>988</v>
      </c>
      <c r="O990">
        <v>0</v>
      </c>
      <c r="P990">
        <v>0</v>
      </c>
      <c r="Q990">
        <v>0</v>
      </c>
      <c r="R990">
        <v>0</v>
      </c>
      <c r="S990">
        <v>0</v>
      </c>
      <c r="T990" s="1">
        <v>0</v>
      </c>
      <c r="U990">
        <v>988</v>
      </c>
      <c r="V990">
        <v>0</v>
      </c>
      <c r="W990">
        <v>0</v>
      </c>
      <c r="X990">
        <v>0</v>
      </c>
      <c r="Y990">
        <v>0</v>
      </c>
      <c r="Z990">
        <v>0</v>
      </c>
      <c r="AA990" s="1">
        <v>0</v>
      </c>
      <c r="AB990">
        <v>988</v>
      </c>
      <c r="AC990">
        <v>0</v>
      </c>
      <c r="AD990">
        <v>0</v>
      </c>
      <c r="AE990">
        <v>0</v>
      </c>
      <c r="AF990">
        <v>0</v>
      </c>
      <c r="AG990">
        <v>1</v>
      </c>
      <c r="AH990" s="1">
        <v>120</v>
      </c>
      <c r="AI990">
        <v>988</v>
      </c>
      <c r="AJ990">
        <v>0</v>
      </c>
      <c r="AK990">
        <v>0</v>
      </c>
      <c r="AL990">
        <v>0</v>
      </c>
      <c r="AM990">
        <v>0</v>
      </c>
      <c r="AN990">
        <v>0</v>
      </c>
      <c r="AO990" s="1">
        <v>0</v>
      </c>
    </row>
    <row r="991" spans="7:41" x14ac:dyDescent="0.35">
      <c r="G991">
        <v>989</v>
      </c>
      <c r="H991">
        <v>2</v>
      </c>
      <c r="I991">
        <v>4</v>
      </c>
      <c r="J991">
        <v>0</v>
      </c>
      <c r="K991">
        <v>2</v>
      </c>
      <c r="L991">
        <v>4</v>
      </c>
      <c r="M991" s="1">
        <v>720</v>
      </c>
      <c r="N991">
        <v>989</v>
      </c>
      <c r="O991">
        <v>0</v>
      </c>
      <c r="P991">
        <v>0</v>
      </c>
      <c r="Q991">
        <v>2</v>
      </c>
      <c r="R991">
        <v>0</v>
      </c>
      <c r="S991">
        <v>1</v>
      </c>
      <c r="T991" s="1">
        <v>240</v>
      </c>
      <c r="U991">
        <v>989</v>
      </c>
      <c r="V991">
        <v>0</v>
      </c>
      <c r="W991">
        <v>0</v>
      </c>
      <c r="X991">
        <v>1</v>
      </c>
      <c r="Y991">
        <v>0</v>
      </c>
      <c r="Z991">
        <v>0</v>
      </c>
      <c r="AA991" s="1">
        <v>100</v>
      </c>
      <c r="AB991">
        <v>989</v>
      </c>
      <c r="AC991">
        <v>0</v>
      </c>
      <c r="AD991">
        <v>0</v>
      </c>
      <c r="AE991">
        <v>0</v>
      </c>
      <c r="AF991">
        <v>0</v>
      </c>
      <c r="AG991">
        <v>0</v>
      </c>
      <c r="AH991" s="1">
        <v>0</v>
      </c>
      <c r="AI991">
        <v>989</v>
      </c>
      <c r="AJ991">
        <v>0</v>
      </c>
      <c r="AK991">
        <v>0</v>
      </c>
      <c r="AL991">
        <v>0</v>
      </c>
      <c r="AM991">
        <v>0</v>
      </c>
      <c r="AN991">
        <v>0</v>
      </c>
      <c r="AO991" s="1">
        <v>0</v>
      </c>
    </row>
    <row r="992" spans="7:41" x14ac:dyDescent="0.35">
      <c r="G992">
        <v>990</v>
      </c>
      <c r="H992">
        <v>0</v>
      </c>
      <c r="I992">
        <v>0</v>
      </c>
      <c r="J992">
        <v>0</v>
      </c>
      <c r="K992">
        <v>3</v>
      </c>
      <c r="L992">
        <v>0</v>
      </c>
      <c r="M992" s="1">
        <v>180</v>
      </c>
      <c r="N992">
        <v>990</v>
      </c>
      <c r="O992">
        <v>0</v>
      </c>
      <c r="P992">
        <v>0</v>
      </c>
      <c r="Q992">
        <v>0</v>
      </c>
      <c r="R992">
        <v>2</v>
      </c>
      <c r="S992">
        <v>1</v>
      </c>
      <c r="T992" s="1">
        <v>240</v>
      </c>
      <c r="U992">
        <v>990</v>
      </c>
      <c r="V992">
        <v>0</v>
      </c>
      <c r="W992">
        <v>0</v>
      </c>
      <c r="X992">
        <v>0</v>
      </c>
      <c r="Y992">
        <v>0</v>
      </c>
      <c r="Z992">
        <v>0</v>
      </c>
      <c r="AA992" s="1">
        <v>0</v>
      </c>
      <c r="AB992">
        <v>990</v>
      </c>
      <c r="AC992">
        <v>0</v>
      </c>
      <c r="AD992">
        <v>0</v>
      </c>
      <c r="AE992">
        <v>0</v>
      </c>
      <c r="AF992">
        <v>0</v>
      </c>
      <c r="AG992">
        <v>0</v>
      </c>
      <c r="AH992" s="1">
        <v>0</v>
      </c>
      <c r="AI992">
        <v>990</v>
      </c>
      <c r="AJ992">
        <v>0</v>
      </c>
      <c r="AK992">
        <v>0</v>
      </c>
      <c r="AL992">
        <v>3</v>
      </c>
      <c r="AM992">
        <v>0</v>
      </c>
      <c r="AN992">
        <v>0</v>
      </c>
      <c r="AO992" s="1">
        <v>450</v>
      </c>
    </row>
    <row r="993" spans="7:41" x14ac:dyDescent="0.35">
      <c r="G993">
        <v>991</v>
      </c>
      <c r="H993">
        <v>0</v>
      </c>
      <c r="I993">
        <v>2</v>
      </c>
      <c r="J993">
        <v>1</v>
      </c>
      <c r="K993">
        <v>4</v>
      </c>
      <c r="L993">
        <v>3</v>
      </c>
      <c r="M993" s="1">
        <v>600</v>
      </c>
      <c r="N993">
        <v>991</v>
      </c>
      <c r="O993">
        <v>0</v>
      </c>
      <c r="P993">
        <v>0</v>
      </c>
      <c r="Q993">
        <v>0</v>
      </c>
      <c r="R993">
        <v>0</v>
      </c>
      <c r="S993">
        <v>0</v>
      </c>
      <c r="T993" s="1">
        <v>0</v>
      </c>
      <c r="U993">
        <v>991</v>
      </c>
      <c r="V993">
        <v>0</v>
      </c>
      <c r="W993">
        <v>1</v>
      </c>
      <c r="X993">
        <v>0</v>
      </c>
      <c r="Y993">
        <v>0</v>
      </c>
      <c r="Z993">
        <v>1</v>
      </c>
      <c r="AA993" s="1">
        <v>200</v>
      </c>
      <c r="AB993">
        <v>991</v>
      </c>
      <c r="AC993">
        <v>0</v>
      </c>
      <c r="AD993">
        <v>0</v>
      </c>
      <c r="AE993">
        <v>0</v>
      </c>
      <c r="AF993">
        <v>0</v>
      </c>
      <c r="AG993">
        <v>3</v>
      </c>
      <c r="AH993" s="1">
        <v>360</v>
      </c>
      <c r="AI993">
        <v>991</v>
      </c>
      <c r="AJ993">
        <v>0</v>
      </c>
      <c r="AK993">
        <v>0</v>
      </c>
      <c r="AL993">
        <v>1</v>
      </c>
      <c r="AM993">
        <v>0</v>
      </c>
      <c r="AN993">
        <v>0</v>
      </c>
      <c r="AO993" s="1">
        <v>150</v>
      </c>
    </row>
    <row r="994" spans="7:41" x14ac:dyDescent="0.35">
      <c r="G994">
        <v>992</v>
      </c>
      <c r="H994">
        <v>1</v>
      </c>
      <c r="I994">
        <v>1</v>
      </c>
      <c r="J994">
        <v>1</v>
      </c>
      <c r="K994">
        <v>4</v>
      </c>
      <c r="L994">
        <v>0</v>
      </c>
      <c r="M994" s="1">
        <v>420</v>
      </c>
      <c r="N994">
        <v>992</v>
      </c>
      <c r="O994">
        <v>0</v>
      </c>
      <c r="P994">
        <v>1</v>
      </c>
      <c r="Q994">
        <v>0</v>
      </c>
      <c r="R994">
        <v>0</v>
      </c>
      <c r="S994">
        <v>0</v>
      </c>
      <c r="T994" s="1">
        <v>80</v>
      </c>
      <c r="U994">
        <v>992</v>
      </c>
      <c r="V994">
        <v>0</v>
      </c>
      <c r="W994">
        <v>0</v>
      </c>
      <c r="X994">
        <v>0</v>
      </c>
      <c r="Y994">
        <v>0</v>
      </c>
      <c r="Z994">
        <v>0</v>
      </c>
      <c r="AA994" s="1">
        <v>0</v>
      </c>
      <c r="AB994">
        <v>992</v>
      </c>
      <c r="AC994">
        <v>0</v>
      </c>
      <c r="AD994">
        <v>0</v>
      </c>
      <c r="AE994">
        <v>0</v>
      </c>
      <c r="AF994">
        <v>0</v>
      </c>
      <c r="AG994">
        <v>0</v>
      </c>
      <c r="AH994" s="1">
        <v>0</v>
      </c>
      <c r="AI994">
        <v>992</v>
      </c>
      <c r="AJ994">
        <v>0</v>
      </c>
      <c r="AK994">
        <v>0</v>
      </c>
      <c r="AL994">
        <v>0</v>
      </c>
      <c r="AM994">
        <v>0</v>
      </c>
      <c r="AN994">
        <v>0</v>
      </c>
      <c r="AO994" s="1">
        <v>0</v>
      </c>
    </row>
    <row r="995" spans="7:41" x14ac:dyDescent="0.35">
      <c r="G995">
        <v>993</v>
      </c>
      <c r="H995">
        <v>1</v>
      </c>
      <c r="I995">
        <v>0</v>
      </c>
      <c r="J995">
        <v>2</v>
      </c>
      <c r="K995">
        <v>3</v>
      </c>
      <c r="L995">
        <v>0</v>
      </c>
      <c r="M995" s="1">
        <v>360</v>
      </c>
      <c r="N995">
        <v>993</v>
      </c>
      <c r="O995">
        <v>0</v>
      </c>
      <c r="P995">
        <v>2</v>
      </c>
      <c r="Q995">
        <v>0</v>
      </c>
      <c r="R995">
        <v>0</v>
      </c>
      <c r="S995">
        <v>0</v>
      </c>
      <c r="T995" s="1">
        <v>160</v>
      </c>
      <c r="U995">
        <v>993</v>
      </c>
      <c r="V995">
        <v>0</v>
      </c>
      <c r="W995">
        <v>0</v>
      </c>
      <c r="X995">
        <v>0</v>
      </c>
      <c r="Y995">
        <v>1</v>
      </c>
      <c r="Z995">
        <v>0</v>
      </c>
      <c r="AA995" s="1">
        <v>100</v>
      </c>
      <c r="AB995">
        <v>993</v>
      </c>
      <c r="AC995">
        <v>0</v>
      </c>
      <c r="AD995">
        <v>0</v>
      </c>
      <c r="AE995">
        <v>0</v>
      </c>
      <c r="AF995">
        <v>0</v>
      </c>
      <c r="AG995">
        <v>0</v>
      </c>
      <c r="AH995" s="1">
        <v>0</v>
      </c>
      <c r="AI995">
        <v>993</v>
      </c>
      <c r="AJ995">
        <v>0</v>
      </c>
      <c r="AK995">
        <v>0</v>
      </c>
      <c r="AL995">
        <v>0</v>
      </c>
      <c r="AM995">
        <v>0</v>
      </c>
      <c r="AN995">
        <v>0</v>
      </c>
      <c r="AO995" s="1">
        <v>0</v>
      </c>
    </row>
    <row r="996" spans="7:41" x14ac:dyDescent="0.35">
      <c r="G996">
        <v>994</v>
      </c>
      <c r="H996">
        <v>0</v>
      </c>
      <c r="I996">
        <v>0</v>
      </c>
      <c r="J996">
        <v>2</v>
      </c>
      <c r="K996">
        <v>0</v>
      </c>
      <c r="L996">
        <v>0</v>
      </c>
      <c r="M996" s="1">
        <v>120</v>
      </c>
      <c r="N996">
        <v>994</v>
      </c>
      <c r="O996">
        <v>0</v>
      </c>
      <c r="P996">
        <v>0</v>
      </c>
      <c r="Q996">
        <v>1</v>
      </c>
      <c r="R996">
        <v>1</v>
      </c>
      <c r="S996">
        <v>0</v>
      </c>
      <c r="T996" s="1">
        <v>160</v>
      </c>
      <c r="U996">
        <v>994</v>
      </c>
      <c r="V996">
        <v>0</v>
      </c>
      <c r="W996">
        <v>3</v>
      </c>
      <c r="X996">
        <v>0</v>
      </c>
      <c r="Y996">
        <v>0</v>
      </c>
      <c r="Z996">
        <v>0</v>
      </c>
      <c r="AA996" s="1">
        <v>300</v>
      </c>
      <c r="AB996">
        <v>994</v>
      </c>
      <c r="AC996">
        <v>0</v>
      </c>
      <c r="AD996">
        <v>1</v>
      </c>
      <c r="AE996">
        <v>0</v>
      </c>
      <c r="AF996">
        <v>0</v>
      </c>
      <c r="AG996">
        <v>0</v>
      </c>
      <c r="AH996" s="1">
        <v>120</v>
      </c>
      <c r="AI996">
        <v>994</v>
      </c>
      <c r="AJ996">
        <v>0</v>
      </c>
      <c r="AK996">
        <v>0</v>
      </c>
      <c r="AL996">
        <v>1</v>
      </c>
      <c r="AM996">
        <v>0</v>
      </c>
      <c r="AN996">
        <v>0</v>
      </c>
      <c r="AO996" s="1">
        <v>150</v>
      </c>
    </row>
    <row r="997" spans="7:41" x14ac:dyDescent="0.35">
      <c r="G997">
        <v>995</v>
      </c>
      <c r="H997">
        <v>1</v>
      </c>
      <c r="I997">
        <v>0</v>
      </c>
      <c r="J997">
        <v>1</v>
      </c>
      <c r="K997">
        <v>2</v>
      </c>
      <c r="L997">
        <v>1</v>
      </c>
      <c r="M997" s="1">
        <v>300</v>
      </c>
      <c r="N997">
        <v>995</v>
      </c>
      <c r="O997">
        <v>0</v>
      </c>
      <c r="P997">
        <v>0</v>
      </c>
      <c r="Q997">
        <v>0</v>
      </c>
      <c r="R997">
        <v>0</v>
      </c>
      <c r="S997">
        <v>0</v>
      </c>
      <c r="T997" s="1">
        <v>0</v>
      </c>
      <c r="U997">
        <v>995</v>
      </c>
      <c r="V997">
        <v>0</v>
      </c>
      <c r="W997">
        <v>0</v>
      </c>
      <c r="X997">
        <v>0</v>
      </c>
      <c r="Y997">
        <v>1</v>
      </c>
      <c r="Z997">
        <v>1</v>
      </c>
      <c r="AA997" s="1">
        <v>200</v>
      </c>
      <c r="AB997">
        <v>995</v>
      </c>
      <c r="AC997">
        <v>0</v>
      </c>
      <c r="AD997">
        <v>0</v>
      </c>
      <c r="AE997">
        <v>0</v>
      </c>
      <c r="AF997">
        <v>0</v>
      </c>
      <c r="AG997">
        <v>0</v>
      </c>
      <c r="AH997" s="1">
        <v>0</v>
      </c>
      <c r="AI997">
        <v>995</v>
      </c>
      <c r="AJ997">
        <v>0</v>
      </c>
      <c r="AK997">
        <v>0</v>
      </c>
      <c r="AL997">
        <v>2</v>
      </c>
      <c r="AM997">
        <v>0</v>
      </c>
      <c r="AN997">
        <v>0</v>
      </c>
      <c r="AO997" s="1">
        <v>300</v>
      </c>
    </row>
    <row r="998" spans="7:41" x14ac:dyDescent="0.35">
      <c r="G998">
        <v>996</v>
      </c>
      <c r="H998">
        <v>0</v>
      </c>
      <c r="I998">
        <v>0</v>
      </c>
      <c r="J998">
        <v>2</v>
      </c>
      <c r="K998">
        <v>0</v>
      </c>
      <c r="L998">
        <v>1</v>
      </c>
      <c r="M998" s="1">
        <v>180</v>
      </c>
      <c r="N998">
        <v>996</v>
      </c>
      <c r="O998">
        <v>0</v>
      </c>
      <c r="P998">
        <v>1</v>
      </c>
      <c r="Q998">
        <v>0</v>
      </c>
      <c r="R998">
        <v>0</v>
      </c>
      <c r="S998">
        <v>1</v>
      </c>
      <c r="T998" s="1">
        <v>160</v>
      </c>
      <c r="U998">
        <v>996</v>
      </c>
      <c r="V998">
        <v>0</v>
      </c>
      <c r="W998">
        <v>0</v>
      </c>
      <c r="X998">
        <v>0</v>
      </c>
      <c r="Y998">
        <v>0</v>
      </c>
      <c r="Z998">
        <v>0</v>
      </c>
      <c r="AA998" s="1">
        <v>0</v>
      </c>
      <c r="AB998">
        <v>996</v>
      </c>
      <c r="AC998">
        <v>0</v>
      </c>
      <c r="AD998">
        <v>0</v>
      </c>
      <c r="AE998">
        <v>0</v>
      </c>
      <c r="AF998">
        <v>0</v>
      </c>
      <c r="AG998">
        <v>0</v>
      </c>
      <c r="AH998" s="1">
        <v>0</v>
      </c>
      <c r="AI998">
        <v>996</v>
      </c>
      <c r="AJ998">
        <v>0</v>
      </c>
      <c r="AK998">
        <v>0</v>
      </c>
      <c r="AL998">
        <v>0</v>
      </c>
      <c r="AM998">
        <v>0</v>
      </c>
      <c r="AN998">
        <v>0</v>
      </c>
      <c r="AO998" s="1">
        <v>0</v>
      </c>
    </row>
    <row r="999" spans="7:41" x14ac:dyDescent="0.35">
      <c r="G999">
        <v>997</v>
      </c>
      <c r="H999">
        <v>1</v>
      </c>
      <c r="I999">
        <v>2</v>
      </c>
      <c r="J999">
        <v>1</v>
      </c>
      <c r="K999">
        <v>0</v>
      </c>
      <c r="L999">
        <v>1</v>
      </c>
      <c r="M999" s="1">
        <v>300</v>
      </c>
      <c r="N999">
        <v>997</v>
      </c>
      <c r="O999">
        <v>0</v>
      </c>
      <c r="P999">
        <v>0</v>
      </c>
      <c r="Q999">
        <v>1</v>
      </c>
      <c r="R999">
        <v>0</v>
      </c>
      <c r="S999">
        <v>1</v>
      </c>
      <c r="T999" s="1">
        <v>160</v>
      </c>
      <c r="U999">
        <v>997</v>
      </c>
      <c r="V999">
        <v>0</v>
      </c>
      <c r="W999">
        <v>3</v>
      </c>
      <c r="X999">
        <v>0</v>
      </c>
      <c r="Y999">
        <v>0</v>
      </c>
      <c r="Z999">
        <v>0</v>
      </c>
      <c r="AA999" s="1">
        <v>300</v>
      </c>
      <c r="AB999">
        <v>997</v>
      </c>
      <c r="AC999">
        <v>0</v>
      </c>
      <c r="AD999">
        <v>0</v>
      </c>
      <c r="AE999">
        <v>0</v>
      </c>
      <c r="AF999">
        <v>0</v>
      </c>
      <c r="AG999">
        <v>0</v>
      </c>
      <c r="AH999" s="1">
        <v>0</v>
      </c>
      <c r="AI999">
        <v>997</v>
      </c>
      <c r="AJ999">
        <v>0</v>
      </c>
      <c r="AK999">
        <v>0</v>
      </c>
      <c r="AL999">
        <v>0</v>
      </c>
      <c r="AM999">
        <v>0</v>
      </c>
      <c r="AN999">
        <v>0</v>
      </c>
      <c r="AO999" s="1">
        <v>0</v>
      </c>
    </row>
    <row r="1000" spans="7:41" x14ac:dyDescent="0.35">
      <c r="G1000">
        <v>998</v>
      </c>
      <c r="H1000">
        <v>0</v>
      </c>
      <c r="I1000">
        <v>0</v>
      </c>
      <c r="J1000">
        <v>1</v>
      </c>
      <c r="K1000">
        <v>2</v>
      </c>
      <c r="L1000">
        <v>0</v>
      </c>
      <c r="M1000" s="1">
        <v>180</v>
      </c>
      <c r="N1000">
        <v>998</v>
      </c>
      <c r="O1000">
        <v>0</v>
      </c>
      <c r="P1000">
        <v>0</v>
      </c>
      <c r="Q1000">
        <v>0</v>
      </c>
      <c r="R1000">
        <v>3</v>
      </c>
      <c r="S1000">
        <v>0</v>
      </c>
      <c r="T1000" s="1">
        <v>240</v>
      </c>
      <c r="U1000">
        <v>998</v>
      </c>
      <c r="V1000">
        <v>0</v>
      </c>
      <c r="W1000">
        <v>0</v>
      </c>
      <c r="X1000">
        <v>0</v>
      </c>
      <c r="Y1000">
        <v>0</v>
      </c>
      <c r="Z1000">
        <v>0</v>
      </c>
      <c r="AA1000" s="1">
        <v>0</v>
      </c>
      <c r="AB1000">
        <v>998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 s="1">
        <v>0</v>
      </c>
      <c r="AI1000">
        <v>998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 s="1">
        <v>0</v>
      </c>
    </row>
    <row r="1001" spans="7:41" x14ac:dyDescent="0.35">
      <c r="G1001">
        <v>999</v>
      </c>
      <c r="H1001">
        <v>0</v>
      </c>
      <c r="I1001">
        <v>2</v>
      </c>
      <c r="J1001">
        <v>4</v>
      </c>
      <c r="K1001">
        <v>0</v>
      </c>
      <c r="L1001">
        <v>0</v>
      </c>
      <c r="M1001" s="1">
        <v>360</v>
      </c>
      <c r="N1001">
        <v>999</v>
      </c>
      <c r="O1001">
        <v>1</v>
      </c>
      <c r="P1001">
        <v>1</v>
      </c>
      <c r="Q1001">
        <v>0</v>
      </c>
      <c r="R1001">
        <v>0</v>
      </c>
      <c r="S1001">
        <v>0</v>
      </c>
      <c r="T1001" s="1">
        <v>160</v>
      </c>
      <c r="U1001">
        <v>999</v>
      </c>
      <c r="V1001">
        <v>0</v>
      </c>
      <c r="W1001">
        <v>0</v>
      </c>
      <c r="X1001">
        <v>0</v>
      </c>
      <c r="Y1001">
        <v>0</v>
      </c>
      <c r="Z1001">
        <v>0</v>
      </c>
      <c r="AA1001" s="1">
        <v>0</v>
      </c>
      <c r="AB1001">
        <v>999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 s="1">
        <v>0</v>
      </c>
      <c r="AI1001">
        <v>999</v>
      </c>
      <c r="AJ1001">
        <v>0</v>
      </c>
      <c r="AK1001">
        <v>0</v>
      </c>
      <c r="AL1001">
        <v>3</v>
      </c>
      <c r="AM1001">
        <v>0</v>
      </c>
      <c r="AN1001">
        <v>0</v>
      </c>
      <c r="AO1001" s="1">
        <v>450</v>
      </c>
    </row>
    <row r="1002" spans="7:41" x14ac:dyDescent="0.35">
      <c r="G1002">
        <v>1000</v>
      </c>
      <c r="H1002">
        <v>1</v>
      </c>
      <c r="I1002">
        <v>1</v>
      </c>
      <c r="J1002">
        <v>1</v>
      </c>
      <c r="K1002">
        <v>4</v>
      </c>
      <c r="L1002">
        <v>1</v>
      </c>
      <c r="M1002" s="1">
        <v>480</v>
      </c>
      <c r="N1002">
        <v>1000</v>
      </c>
      <c r="O1002">
        <v>0</v>
      </c>
      <c r="P1002">
        <v>0</v>
      </c>
      <c r="Q1002">
        <v>0</v>
      </c>
      <c r="R1002">
        <v>0</v>
      </c>
      <c r="S1002">
        <v>0</v>
      </c>
      <c r="T1002" s="1">
        <v>0</v>
      </c>
      <c r="U1002">
        <v>1000</v>
      </c>
      <c r="V1002">
        <v>0</v>
      </c>
      <c r="W1002">
        <v>2</v>
      </c>
      <c r="X1002">
        <v>0</v>
      </c>
      <c r="Y1002">
        <v>0</v>
      </c>
      <c r="Z1002">
        <v>1</v>
      </c>
      <c r="AA1002" s="1">
        <v>300</v>
      </c>
      <c r="AB1002">
        <v>1000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 s="1">
        <v>0</v>
      </c>
      <c r="AI1002">
        <v>1000</v>
      </c>
      <c r="AJ1002">
        <v>0</v>
      </c>
      <c r="AK1002">
        <v>0</v>
      </c>
      <c r="AL1002">
        <v>3</v>
      </c>
      <c r="AM1002">
        <v>0</v>
      </c>
      <c r="AN1002">
        <v>0</v>
      </c>
      <c r="AO1002" s="1">
        <v>450</v>
      </c>
    </row>
  </sheetData>
  <mergeCells count="7">
    <mergeCell ref="G1:AP1"/>
    <mergeCell ref="A102:C102"/>
    <mergeCell ref="A8:C8"/>
    <mergeCell ref="A41:C41"/>
    <mergeCell ref="A65:C65"/>
    <mergeCell ref="A7:C7"/>
    <mergeCell ref="A84:C84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3DAD3-EF5C-4D8C-AF3D-C1E2100E35B0}">
  <dimension ref="A1:X139"/>
  <sheetViews>
    <sheetView workbookViewId="0">
      <selection activeCell="X2" sqref="X2:X6"/>
    </sheetView>
  </sheetViews>
  <sheetFormatPr defaultRowHeight="14.5" x14ac:dyDescent="0.35"/>
  <cols>
    <col min="7" max="7" width="9.1796875" style="19"/>
    <col min="20" max="20" width="13.81640625" bestFit="1" customWidth="1"/>
  </cols>
  <sheetData>
    <row r="1" spans="1:24" x14ac:dyDescent="0.35">
      <c r="A1" s="2"/>
      <c r="B1" t="s">
        <v>140</v>
      </c>
      <c r="C1" t="s">
        <v>141</v>
      </c>
      <c r="D1" t="s">
        <v>142</v>
      </c>
      <c r="E1" t="s">
        <v>143</v>
      </c>
      <c r="F1" t="s">
        <v>144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O1" t="s">
        <v>140</v>
      </c>
      <c r="P1" t="s">
        <v>151</v>
      </c>
      <c r="Q1" t="s">
        <v>141</v>
      </c>
      <c r="R1" t="s">
        <v>152</v>
      </c>
      <c r="S1" t="s">
        <v>142</v>
      </c>
      <c r="T1" t="s">
        <v>153</v>
      </c>
      <c r="U1" t="s">
        <v>143</v>
      </c>
      <c r="V1" t="s">
        <v>154</v>
      </c>
      <c r="W1" t="s">
        <v>144</v>
      </c>
      <c r="X1" t="s">
        <v>155</v>
      </c>
    </row>
    <row r="2" spans="1:24" ht="33.5" thickBot="1" x14ac:dyDescent="0.4">
      <c r="A2" s="3" t="s">
        <v>1</v>
      </c>
      <c r="B2" s="4">
        <v>0</v>
      </c>
      <c r="C2" s="4">
        <v>3</v>
      </c>
      <c r="D2" s="4">
        <v>3</v>
      </c>
      <c r="E2" s="4">
        <v>1</v>
      </c>
      <c r="F2" s="4">
        <v>1</v>
      </c>
      <c r="H2">
        <f>B2-'4 or greater'!B2-'6 or greater'!B2-'8 or greater'!B2-'12 or greater'!B2</f>
        <v>0</v>
      </c>
      <c r="I2">
        <f>C2-'4 or greater'!C2-'6 or greater'!C2-'8 or greater'!C2-'12 or greater'!C2</f>
        <v>0</v>
      </c>
      <c r="J2">
        <f>D2-'4 or greater'!D2-'6 or greater'!D2-'8 or greater'!D2-'12 or greater'!D2</f>
        <v>3</v>
      </c>
      <c r="K2">
        <f>E2-'4 or greater'!E2-'6 or greater'!E2-'8 or greater'!E2-'12 or greater'!E2</f>
        <v>0</v>
      </c>
      <c r="L2">
        <f>F2-'4 or greater'!F2-'6 or greater'!F2-'8 or greater'!F2-'12 or greater'!F2</f>
        <v>1</v>
      </c>
      <c r="O2">
        <v>2</v>
      </c>
      <c r="P2">
        <f>COUNTIF($H$2:$H$139,O2)</f>
        <v>10</v>
      </c>
      <c r="W2">
        <v>0</v>
      </c>
      <c r="X2">
        <v>73</v>
      </c>
    </row>
    <row r="3" spans="1:24" ht="33.5" thickBot="1" x14ac:dyDescent="0.4">
      <c r="A3" s="5" t="s">
        <v>2</v>
      </c>
      <c r="B3" s="6">
        <v>2</v>
      </c>
      <c r="C3" s="6">
        <v>2</v>
      </c>
      <c r="D3" s="6">
        <v>2</v>
      </c>
      <c r="E3" s="6">
        <v>1</v>
      </c>
      <c r="F3" s="6">
        <v>1</v>
      </c>
      <c r="H3">
        <f>B3-'4 or greater'!B3-'6 or greater'!B3-'8 or greater'!B3-'12 or greater'!B3</f>
        <v>1</v>
      </c>
      <c r="I3">
        <f>C3-'4 or greater'!C3-'6 or greater'!C3-'8 or greater'!C3-'12 or greater'!C3</f>
        <v>-1</v>
      </c>
      <c r="J3">
        <f>D3-'4 or greater'!D3-'6 or greater'!D3-'8 or greater'!D3-'12 or greater'!D3</f>
        <v>1</v>
      </c>
      <c r="K3">
        <f>E3-'4 or greater'!E3-'6 or greater'!E3-'8 or greater'!E3-'12 or greater'!E3</f>
        <v>1</v>
      </c>
      <c r="L3">
        <f>F3-'4 or greater'!F3-'6 or greater'!F3-'8 or greater'!F3-'12 or greater'!F3</f>
        <v>1</v>
      </c>
      <c r="O3">
        <v>1</v>
      </c>
      <c r="P3">
        <f>COUNTIF($H$2:$H$139,O3)</f>
        <v>35</v>
      </c>
      <c r="S3">
        <v>0</v>
      </c>
      <c r="T3">
        <v>58</v>
      </c>
      <c r="W3">
        <v>1</v>
      </c>
      <c r="X3">
        <f>COUNTIF($L$2:$L$139,W3)</f>
        <v>36</v>
      </c>
    </row>
    <row r="4" spans="1:24" ht="33.5" thickBot="1" x14ac:dyDescent="0.4">
      <c r="A4" s="7" t="s">
        <v>3</v>
      </c>
      <c r="B4" s="8">
        <v>3</v>
      </c>
      <c r="C4" s="8">
        <v>2</v>
      </c>
      <c r="D4" s="8">
        <v>1</v>
      </c>
      <c r="E4" s="8">
        <v>2</v>
      </c>
      <c r="F4" s="8">
        <v>0</v>
      </c>
      <c r="H4">
        <f>B4-'4 or greater'!B4-'6 or greater'!B4-'8 or greater'!B4-'12 or greater'!B4</f>
        <v>1</v>
      </c>
      <c r="I4">
        <f>C4-'4 or greater'!C4-'6 or greater'!C4-'8 or greater'!C4-'12 or greater'!C4</f>
        <v>1</v>
      </c>
      <c r="J4">
        <f>D4-'4 or greater'!D4-'6 or greater'!D4-'8 or greater'!D4-'12 or greater'!D4</f>
        <v>0</v>
      </c>
      <c r="K4">
        <f>E4-'4 or greater'!E4-'6 or greater'!E4-'8 or greater'!E4-'12 or greater'!E4</f>
        <v>1</v>
      </c>
      <c r="L4">
        <f>F4-'4 or greater'!F4-'6 or greater'!F4-'8 or greater'!F4-'12 or greater'!F4</f>
        <v>0</v>
      </c>
      <c r="O4">
        <v>0</v>
      </c>
      <c r="P4">
        <v>90</v>
      </c>
      <c r="S4">
        <v>2</v>
      </c>
      <c r="T4">
        <f>COUNTIF($J$2:$J$139,S4)</f>
        <v>24</v>
      </c>
      <c r="U4">
        <v>0</v>
      </c>
      <c r="V4">
        <v>63</v>
      </c>
      <c r="W4">
        <v>2</v>
      </c>
      <c r="X4">
        <f>COUNTIF($L$2:$L$139,W4)</f>
        <v>24</v>
      </c>
    </row>
    <row r="5" spans="1:24" ht="33.5" thickBot="1" x14ac:dyDescent="0.4">
      <c r="A5" s="5" t="s">
        <v>4</v>
      </c>
      <c r="B5" s="6">
        <v>0</v>
      </c>
      <c r="C5" s="6">
        <v>2</v>
      </c>
      <c r="D5" s="6">
        <v>2</v>
      </c>
      <c r="E5" s="6">
        <v>6</v>
      </c>
      <c r="F5" s="6">
        <v>2</v>
      </c>
      <c r="H5">
        <f>B5-'4 or greater'!B5-'6 or greater'!B5-'8 or greater'!B5-'12 or greater'!B5</f>
        <v>0</v>
      </c>
      <c r="I5">
        <f>C5-'4 or greater'!C5-'6 or greater'!C5-'8 or greater'!C5-'12 or greater'!C5</f>
        <v>2</v>
      </c>
      <c r="J5">
        <f>D5-'4 or greater'!D5-'6 or greater'!D5-'8 or greater'!D5-'12 or greater'!D5</f>
        <v>2</v>
      </c>
      <c r="K5">
        <f>E5-'4 or greater'!E5-'6 or greater'!E5-'8 or greater'!E5-'12 or greater'!E5</f>
        <v>-1</v>
      </c>
      <c r="L5">
        <f>F5-'4 or greater'!F5-'6 or greater'!F5-'8 or greater'!F5-'12 or greater'!F5</f>
        <v>1</v>
      </c>
      <c r="O5">
        <v>3</v>
      </c>
      <c r="P5">
        <f>COUNTIF($H$2:$H$139,O5)</f>
        <v>2</v>
      </c>
      <c r="Q5">
        <v>5</v>
      </c>
      <c r="R5">
        <f>COUNTIF($I$2:$I$139,Q5)</f>
        <v>1</v>
      </c>
      <c r="S5">
        <v>5</v>
      </c>
      <c r="T5">
        <f>COUNTIF($J$2:$J$139,S5)</f>
        <v>1</v>
      </c>
      <c r="U5">
        <v>4</v>
      </c>
      <c r="V5">
        <f>COUNTIF($K$2:$K$139,U5)</f>
        <v>1</v>
      </c>
      <c r="W5">
        <v>3</v>
      </c>
      <c r="X5">
        <f>COUNTIF($L$2:$L$139,W5)</f>
        <v>2</v>
      </c>
    </row>
    <row r="6" spans="1:24" ht="33.5" thickBot="1" x14ac:dyDescent="0.4">
      <c r="A6" s="7" t="s">
        <v>5</v>
      </c>
      <c r="B6" s="8">
        <v>0</v>
      </c>
      <c r="C6" s="8">
        <v>1</v>
      </c>
      <c r="D6" s="8">
        <v>4</v>
      </c>
      <c r="E6" s="8">
        <v>4</v>
      </c>
      <c r="F6" s="8">
        <v>1</v>
      </c>
      <c r="H6">
        <f>B6-'4 or greater'!B6-'6 or greater'!B6-'8 or greater'!B6-'12 or greater'!B6</f>
        <v>0</v>
      </c>
      <c r="I6">
        <f>C6-'4 or greater'!C6-'6 or greater'!C6-'8 or greater'!C6-'12 or greater'!C6</f>
        <v>1</v>
      </c>
      <c r="J6">
        <f>D6-'4 or greater'!D6-'6 or greater'!D6-'8 or greater'!D6-'12 or greater'!D6</f>
        <v>0</v>
      </c>
      <c r="K6">
        <f>E6-'4 or greater'!E6-'6 or greater'!E6-'8 or greater'!E6-'12 or greater'!E6</f>
        <v>2</v>
      </c>
      <c r="L6">
        <f>F6-'4 or greater'!F6-'6 or greater'!F6-'8 or greater'!F6-'12 or greater'!F6</f>
        <v>1</v>
      </c>
      <c r="Q6">
        <v>2</v>
      </c>
      <c r="R6">
        <f>COUNTIF($I$2:$I$139,Q6)</f>
        <v>19</v>
      </c>
      <c r="S6">
        <v>4</v>
      </c>
      <c r="T6">
        <f>COUNTIF($J$2:$J$139,S6)</f>
        <v>1</v>
      </c>
      <c r="U6">
        <v>3</v>
      </c>
      <c r="V6">
        <f>COUNTIF($K$2:$K$139,U6)</f>
        <v>6</v>
      </c>
      <c r="W6">
        <v>4</v>
      </c>
      <c r="X6">
        <f>COUNTIF($L$2:$L$139,W6)</f>
        <v>3</v>
      </c>
    </row>
    <row r="7" spans="1:24" ht="33.5" thickBot="1" x14ac:dyDescent="0.4">
      <c r="A7" s="5" t="s">
        <v>6</v>
      </c>
      <c r="B7" s="6">
        <v>0</v>
      </c>
      <c r="C7" s="6">
        <v>4</v>
      </c>
      <c r="D7" s="6">
        <v>3</v>
      </c>
      <c r="E7" s="6">
        <v>0</v>
      </c>
      <c r="F7" s="6">
        <v>1</v>
      </c>
      <c r="H7">
        <f>B7-'4 or greater'!B7-'6 or greater'!B7-'8 or greater'!B7-'12 or greater'!B7</f>
        <v>0</v>
      </c>
      <c r="I7">
        <f>C7-'4 or greater'!C7-'6 or greater'!C7-'8 or greater'!C7-'12 or greater'!C7</f>
        <v>2</v>
      </c>
      <c r="J7">
        <f>D7-'4 or greater'!D7-'6 or greater'!D7-'8 or greater'!D7-'12 or greater'!D7</f>
        <v>3</v>
      </c>
      <c r="K7">
        <f>E7-'4 or greater'!E7-'6 or greater'!E7-'8 or greater'!E7-'12 or greater'!E7</f>
        <v>0</v>
      </c>
      <c r="L7">
        <f>F7-'4 or greater'!F7-'6 or greater'!F7-'8 or greater'!F7-'12 or greater'!F7</f>
        <v>1</v>
      </c>
      <c r="Q7">
        <v>4</v>
      </c>
      <c r="R7">
        <f>COUNTIF($I$2:$I$139,Q7)</f>
        <v>2</v>
      </c>
      <c r="S7">
        <v>3</v>
      </c>
      <c r="T7">
        <f>COUNTIF($J$2:$J$139,S7)</f>
        <v>12</v>
      </c>
      <c r="U7">
        <v>1</v>
      </c>
      <c r="V7">
        <f>COUNTIF($K$2:$K$139,U7)</f>
        <v>43</v>
      </c>
    </row>
    <row r="8" spans="1:24" ht="33.5" thickBot="1" x14ac:dyDescent="0.4">
      <c r="A8" s="7" t="s">
        <v>7</v>
      </c>
      <c r="B8" s="8">
        <v>1</v>
      </c>
      <c r="C8" s="8">
        <v>3</v>
      </c>
      <c r="D8" s="8">
        <v>0</v>
      </c>
      <c r="E8" s="8">
        <v>1</v>
      </c>
      <c r="F8" s="8">
        <v>1</v>
      </c>
      <c r="H8">
        <f>B8-'4 or greater'!B8-'6 or greater'!B8-'8 or greater'!B8-'12 or greater'!B8</f>
        <v>1</v>
      </c>
      <c r="I8">
        <f>C8-'4 or greater'!C8-'6 or greater'!C8-'8 or greater'!C8-'12 or greater'!C8</f>
        <v>3</v>
      </c>
      <c r="J8">
        <f>D8-'4 or greater'!D8-'6 or greater'!D8-'8 or greater'!D8-'12 or greater'!D8</f>
        <v>0</v>
      </c>
      <c r="K8">
        <f>E8-'4 or greater'!E8-'6 or greater'!E8-'8 or greater'!E8-'12 or greater'!E8</f>
        <v>-2</v>
      </c>
      <c r="L8">
        <f>F8-'4 or greater'!F8-'6 or greater'!F8-'8 or greater'!F8-'12 or greater'!F8</f>
        <v>1</v>
      </c>
      <c r="O8">
        <v>4</v>
      </c>
      <c r="P8">
        <f>COUNTIF($H$2:$H$139,O8)</f>
        <v>1</v>
      </c>
      <c r="Q8">
        <v>3</v>
      </c>
      <c r="R8">
        <f>COUNTIF($I$2:$I$139,Q8)</f>
        <v>8</v>
      </c>
      <c r="U8">
        <v>2</v>
      </c>
      <c r="V8">
        <f>COUNTIF($K$2:$K$139,U8)</f>
        <v>25</v>
      </c>
    </row>
    <row r="9" spans="1:24" ht="33.5" thickBot="1" x14ac:dyDescent="0.4">
      <c r="A9" s="5" t="s">
        <v>8</v>
      </c>
      <c r="B9" s="6">
        <v>2</v>
      </c>
      <c r="C9" s="6">
        <v>1</v>
      </c>
      <c r="D9" s="6">
        <v>1</v>
      </c>
      <c r="E9" s="6">
        <v>0</v>
      </c>
      <c r="F9" s="6">
        <v>1</v>
      </c>
      <c r="H9">
        <f>B9-'4 or greater'!B9-'6 or greater'!B9-'8 or greater'!B9-'12 or greater'!B9</f>
        <v>2</v>
      </c>
      <c r="I9">
        <f>C9-'4 or greater'!C9-'6 or greater'!C9-'8 or greater'!C9-'12 or greater'!C9</f>
        <v>1</v>
      </c>
      <c r="J9">
        <f>D9-'4 or greater'!D9-'6 or greater'!D9-'8 or greater'!D9-'12 or greater'!D9</f>
        <v>1</v>
      </c>
      <c r="K9">
        <f>E9-'4 or greater'!E9-'6 or greater'!E9-'8 or greater'!E9-'12 or greater'!E9</f>
        <v>0</v>
      </c>
      <c r="L9">
        <f>F9-'4 or greater'!F9-'6 or greater'!F9-'8 or greater'!F9-'12 or greater'!F9</f>
        <v>1</v>
      </c>
      <c r="Q9">
        <v>1</v>
      </c>
      <c r="R9">
        <f>COUNTIF($I$2:$I$139,Q9)</f>
        <v>40</v>
      </c>
      <c r="S9">
        <v>1</v>
      </c>
      <c r="T9">
        <f>COUNTIF($J$2:$J$139,S9)</f>
        <v>42</v>
      </c>
    </row>
    <row r="10" spans="1:24" ht="33.5" thickBot="1" x14ac:dyDescent="0.4">
      <c r="A10" s="7" t="s">
        <v>9</v>
      </c>
      <c r="B10" s="8">
        <v>0</v>
      </c>
      <c r="C10" s="8">
        <v>2</v>
      </c>
      <c r="D10" s="8">
        <v>4</v>
      </c>
      <c r="E10" s="8">
        <v>2</v>
      </c>
      <c r="F10" s="8">
        <v>1</v>
      </c>
      <c r="H10">
        <f>B10-'4 or greater'!B10-'6 or greater'!B10-'8 or greater'!B10-'12 or greater'!B10</f>
        <v>0</v>
      </c>
      <c r="I10">
        <f>C10-'4 or greater'!C10-'6 or greater'!C10-'8 or greater'!C10-'12 or greater'!C10</f>
        <v>1</v>
      </c>
      <c r="J10">
        <f>D10-'4 or greater'!D10-'6 or greater'!D10-'8 or greater'!D10-'12 or greater'!D10</f>
        <v>0</v>
      </c>
      <c r="K10">
        <f>E10-'4 or greater'!E10-'6 or greater'!E10-'8 or greater'!E10-'12 or greater'!E10</f>
        <v>-2</v>
      </c>
      <c r="L10">
        <f>F10-'4 or greater'!F10-'6 or greater'!F10-'8 or greater'!F10-'12 or greater'!F10</f>
        <v>1</v>
      </c>
      <c r="Q10">
        <v>0</v>
      </c>
      <c r="R10">
        <v>68</v>
      </c>
    </row>
    <row r="11" spans="1:24" ht="33.5" thickBot="1" x14ac:dyDescent="0.4">
      <c r="A11" s="5" t="s">
        <v>10</v>
      </c>
      <c r="B11" s="6">
        <v>0</v>
      </c>
      <c r="C11" s="6">
        <v>1</v>
      </c>
      <c r="D11" s="6">
        <v>1</v>
      </c>
      <c r="E11" s="6">
        <v>3</v>
      </c>
      <c r="F11" s="6">
        <v>3</v>
      </c>
      <c r="H11">
        <f>B11-'4 or greater'!B11-'6 or greater'!B11-'8 or greater'!B11-'12 or greater'!B11</f>
        <v>0</v>
      </c>
      <c r="I11">
        <f>C11-'4 or greater'!C11-'6 or greater'!C11-'8 or greater'!C11-'12 or greater'!C11</f>
        <v>-2</v>
      </c>
      <c r="J11">
        <f>D11-'4 or greater'!D11-'6 or greater'!D11-'8 or greater'!D11-'12 or greater'!D11</f>
        <v>1</v>
      </c>
      <c r="K11">
        <f>E11-'4 or greater'!E11-'6 or greater'!E11-'8 or greater'!E11-'12 or greater'!E11</f>
        <v>2</v>
      </c>
      <c r="L11">
        <f>F11-'4 or greater'!F11-'6 or greater'!F11-'8 or greater'!F11-'12 or greater'!F11</f>
        <v>2</v>
      </c>
    </row>
    <row r="12" spans="1:24" ht="33.5" thickBot="1" x14ac:dyDescent="0.4">
      <c r="A12" s="7" t="s">
        <v>11</v>
      </c>
      <c r="B12" s="8">
        <v>1</v>
      </c>
      <c r="C12" s="8">
        <v>1</v>
      </c>
      <c r="D12" s="8">
        <v>0</v>
      </c>
      <c r="E12" s="8">
        <v>1</v>
      </c>
      <c r="F12" s="8">
        <v>0</v>
      </c>
      <c r="H12">
        <f>B12-'4 or greater'!B12-'6 or greater'!B12-'8 or greater'!B12-'12 or greater'!B12</f>
        <v>1</v>
      </c>
      <c r="I12">
        <f>C12-'4 or greater'!C12-'6 or greater'!C12-'8 or greater'!C12-'12 or greater'!C12</f>
        <v>0</v>
      </c>
      <c r="J12">
        <f>D12-'4 or greater'!D12-'6 or greater'!D12-'8 or greater'!D12-'12 or greater'!D12</f>
        <v>0</v>
      </c>
      <c r="K12">
        <f>E12-'4 or greater'!E12-'6 or greater'!E12-'8 or greater'!E12-'12 or greater'!E12</f>
        <v>1</v>
      </c>
      <c r="L12">
        <f>F12-'4 or greater'!F12-'6 or greater'!F12-'8 or greater'!F12-'12 or greater'!F12</f>
        <v>0</v>
      </c>
    </row>
    <row r="13" spans="1:24" ht="33.5" thickBot="1" x14ac:dyDescent="0.4">
      <c r="A13" s="5" t="s">
        <v>12</v>
      </c>
      <c r="B13" s="6">
        <v>1</v>
      </c>
      <c r="C13" s="6">
        <v>5</v>
      </c>
      <c r="D13" s="6">
        <v>2</v>
      </c>
      <c r="E13" s="6">
        <v>2</v>
      </c>
      <c r="F13" s="6">
        <v>1</v>
      </c>
      <c r="H13">
        <f>B13-'4 or greater'!B13-'6 or greater'!B13-'8 or greater'!B13-'12 or greater'!B13</f>
        <v>-1</v>
      </c>
      <c r="I13">
        <f>C13-'4 or greater'!C13-'6 or greater'!C13-'8 or greater'!C13-'12 or greater'!C13</f>
        <v>-1</v>
      </c>
      <c r="J13">
        <f>D13-'4 or greater'!D13-'6 or greater'!D13-'8 or greater'!D13-'12 or greater'!D13</f>
        <v>1</v>
      </c>
      <c r="K13">
        <f>E13-'4 or greater'!E13-'6 or greater'!E13-'8 or greater'!E13-'12 or greater'!E13</f>
        <v>-1</v>
      </c>
      <c r="L13">
        <f>F13-'4 or greater'!F13-'6 or greater'!F13-'8 or greater'!F13-'12 or greater'!F13</f>
        <v>0</v>
      </c>
    </row>
    <row r="14" spans="1:24" ht="33.5" thickBot="1" x14ac:dyDescent="0.4">
      <c r="A14" s="7" t="s">
        <v>13</v>
      </c>
      <c r="B14" s="8">
        <v>0</v>
      </c>
      <c r="C14" s="8">
        <v>5</v>
      </c>
      <c r="D14" s="8">
        <v>1</v>
      </c>
      <c r="E14" s="8">
        <v>2</v>
      </c>
      <c r="F14" s="8">
        <v>0</v>
      </c>
      <c r="H14">
        <f>B14-'4 or greater'!B14-'6 or greater'!B14-'8 or greater'!B14-'12 or greater'!B14</f>
        <v>0</v>
      </c>
      <c r="I14">
        <f>C14-'4 or greater'!C14-'6 or greater'!C14-'8 or greater'!C14-'12 or greater'!C14</f>
        <v>3</v>
      </c>
      <c r="J14">
        <f>D14-'4 or greater'!D14-'6 or greater'!D14-'8 or greater'!D14-'12 or greater'!D14</f>
        <v>1</v>
      </c>
      <c r="K14">
        <f>E14-'4 or greater'!E14-'6 or greater'!E14-'8 or greater'!E14-'12 or greater'!E14</f>
        <v>1</v>
      </c>
      <c r="L14">
        <f>F14-'4 or greater'!F14-'6 or greater'!F14-'8 or greater'!F14-'12 or greater'!F14</f>
        <v>0</v>
      </c>
    </row>
    <row r="15" spans="1:24" ht="33.5" thickBot="1" x14ac:dyDescent="0.4">
      <c r="A15" s="5" t="s">
        <v>14</v>
      </c>
      <c r="B15" s="6">
        <v>0</v>
      </c>
      <c r="C15" s="6">
        <v>4</v>
      </c>
      <c r="D15" s="6">
        <v>1</v>
      </c>
      <c r="E15" s="6">
        <v>3</v>
      </c>
      <c r="F15" s="6">
        <v>0</v>
      </c>
      <c r="H15">
        <f>B15-'4 or greater'!B15-'6 or greater'!B15-'8 or greater'!B15-'12 or greater'!B15</f>
        <v>0</v>
      </c>
      <c r="I15">
        <f>C15-'4 or greater'!C15-'6 or greater'!C15-'8 or greater'!C15-'12 or greater'!C15</f>
        <v>4</v>
      </c>
      <c r="J15">
        <f>D15-'4 or greater'!D15-'6 or greater'!D15-'8 or greater'!D15-'12 or greater'!D15</f>
        <v>0</v>
      </c>
      <c r="K15">
        <f>E15-'4 or greater'!E15-'6 or greater'!E15-'8 or greater'!E15-'12 or greater'!E15</f>
        <v>1</v>
      </c>
      <c r="L15">
        <f>F15-'4 or greater'!F15-'6 or greater'!F15-'8 or greater'!F15-'12 or greater'!F15</f>
        <v>0</v>
      </c>
    </row>
    <row r="16" spans="1:24" ht="33.5" thickBot="1" x14ac:dyDescent="0.4">
      <c r="A16" s="7" t="s">
        <v>15</v>
      </c>
      <c r="B16" s="8">
        <v>0</v>
      </c>
      <c r="C16" s="8">
        <v>4</v>
      </c>
      <c r="D16" s="8">
        <v>0</v>
      </c>
      <c r="E16" s="8">
        <v>0</v>
      </c>
      <c r="F16" s="8">
        <v>3</v>
      </c>
      <c r="H16">
        <f>B16-'4 or greater'!B16-'6 or greater'!B16-'8 or greater'!B16-'12 or greater'!B16</f>
        <v>0</v>
      </c>
      <c r="I16">
        <f>C16-'4 or greater'!C16-'6 or greater'!C16-'8 or greater'!C16-'12 or greater'!C16</f>
        <v>3</v>
      </c>
      <c r="J16">
        <f>D16-'4 or greater'!D16-'6 or greater'!D16-'8 or greater'!D16-'12 or greater'!D16</f>
        <v>0</v>
      </c>
      <c r="K16">
        <f>E16-'4 or greater'!E16-'6 or greater'!E16-'8 or greater'!E16-'12 or greater'!E16</f>
        <v>0</v>
      </c>
      <c r="L16">
        <f>F16-'4 or greater'!F16-'6 or greater'!F16-'8 or greater'!F16-'12 or greater'!F16</f>
        <v>2</v>
      </c>
    </row>
    <row r="17" spans="1:12" ht="33.5" thickBot="1" x14ac:dyDescent="0.4">
      <c r="A17" s="5" t="s">
        <v>16</v>
      </c>
      <c r="B17" s="6">
        <v>0</v>
      </c>
      <c r="C17" s="6">
        <v>1</v>
      </c>
      <c r="D17" s="6">
        <v>1</v>
      </c>
      <c r="E17" s="6">
        <v>2</v>
      </c>
      <c r="F17" s="6">
        <v>2</v>
      </c>
      <c r="H17">
        <f>B17-'4 or greater'!B17-'6 or greater'!B17-'8 or greater'!B17-'12 or greater'!B17</f>
        <v>0</v>
      </c>
      <c r="I17">
        <f>C17-'4 or greater'!C17-'6 or greater'!C17-'8 or greater'!C17-'12 or greater'!C17</f>
        <v>1</v>
      </c>
      <c r="J17">
        <f>D17-'4 or greater'!D17-'6 or greater'!D17-'8 or greater'!D17-'12 or greater'!D17</f>
        <v>1</v>
      </c>
      <c r="K17">
        <f>E17-'4 or greater'!E17-'6 or greater'!E17-'8 or greater'!E17-'12 or greater'!E17</f>
        <v>1</v>
      </c>
      <c r="L17">
        <f>F17-'4 or greater'!F17-'6 or greater'!F17-'8 or greater'!F17-'12 or greater'!F17</f>
        <v>-1</v>
      </c>
    </row>
    <row r="18" spans="1:12" ht="33.5" thickBot="1" x14ac:dyDescent="0.4">
      <c r="A18" s="7" t="s">
        <v>17</v>
      </c>
      <c r="B18" s="8">
        <v>1</v>
      </c>
      <c r="C18" s="8">
        <v>3</v>
      </c>
      <c r="D18" s="8">
        <v>0</v>
      </c>
      <c r="E18" s="8">
        <v>0</v>
      </c>
      <c r="F18" s="8">
        <v>3</v>
      </c>
      <c r="H18">
        <f>B18-'4 or greater'!B18-'6 or greater'!B18-'8 or greater'!B18-'12 or greater'!B18</f>
        <v>1</v>
      </c>
      <c r="I18">
        <f>C18-'4 or greater'!C18-'6 or greater'!C18-'8 or greater'!C18-'12 or greater'!C18</f>
        <v>2</v>
      </c>
      <c r="J18">
        <f>D18-'4 or greater'!D18-'6 or greater'!D18-'8 or greater'!D18-'12 or greater'!D18</f>
        <v>0</v>
      </c>
      <c r="K18">
        <f>E18-'4 or greater'!E18-'6 or greater'!E18-'8 or greater'!E18-'12 or greater'!E18</f>
        <v>0</v>
      </c>
      <c r="L18">
        <f>F18-'4 or greater'!F18-'6 or greater'!F18-'8 or greater'!F18-'12 or greater'!F18</f>
        <v>-1</v>
      </c>
    </row>
    <row r="19" spans="1:12" ht="33.5" thickBot="1" x14ac:dyDescent="0.4">
      <c r="A19" s="5" t="s">
        <v>18</v>
      </c>
      <c r="B19" s="6">
        <v>0</v>
      </c>
      <c r="C19" s="6">
        <v>0</v>
      </c>
      <c r="D19" s="6">
        <v>1</v>
      </c>
      <c r="E19" s="6">
        <v>1</v>
      </c>
      <c r="F19" s="6">
        <v>1</v>
      </c>
      <c r="H19">
        <f>B19-'4 or greater'!B19-'6 or greater'!B19-'8 or greater'!B19-'12 or greater'!B19</f>
        <v>0</v>
      </c>
      <c r="I19">
        <f>C19-'4 or greater'!C19-'6 or greater'!C19-'8 or greater'!C19-'12 or greater'!C19</f>
        <v>0</v>
      </c>
      <c r="J19">
        <f>D19-'4 or greater'!D19-'6 or greater'!D19-'8 or greater'!D19-'12 or greater'!D19</f>
        <v>0</v>
      </c>
      <c r="K19">
        <f>E19-'4 or greater'!E19-'6 or greater'!E19-'8 or greater'!E19-'12 or greater'!E19</f>
        <v>1</v>
      </c>
      <c r="L19">
        <f>F19-'4 or greater'!F19-'6 or greater'!F19-'8 or greater'!F19-'12 or greater'!F19</f>
        <v>0</v>
      </c>
    </row>
    <row r="20" spans="1:12" ht="33.5" thickBot="1" x14ac:dyDescent="0.4">
      <c r="A20" s="7" t="s">
        <v>19</v>
      </c>
      <c r="B20" s="8">
        <v>1</v>
      </c>
      <c r="C20" s="8">
        <v>2</v>
      </c>
      <c r="D20" s="8">
        <v>1</v>
      </c>
      <c r="E20" s="8">
        <v>3</v>
      </c>
      <c r="F20" s="8">
        <v>1</v>
      </c>
      <c r="H20">
        <f>B20-'4 or greater'!B20-'6 or greater'!B20-'8 or greater'!B20-'12 or greater'!B20</f>
        <v>0</v>
      </c>
      <c r="I20">
        <f>C20-'4 or greater'!C20-'6 or greater'!C20-'8 or greater'!C20-'12 or greater'!C20</f>
        <v>-1</v>
      </c>
      <c r="J20">
        <f>D20-'4 or greater'!D20-'6 or greater'!D20-'8 or greater'!D20-'12 or greater'!D20</f>
        <v>-1</v>
      </c>
      <c r="K20">
        <f>E20-'4 or greater'!E20-'6 or greater'!E20-'8 or greater'!E20-'12 or greater'!E20</f>
        <v>0</v>
      </c>
      <c r="L20">
        <f>F20-'4 or greater'!F20-'6 or greater'!F20-'8 or greater'!F20-'12 or greater'!F20</f>
        <v>-1</v>
      </c>
    </row>
    <row r="21" spans="1:12" ht="33.5" thickBot="1" x14ac:dyDescent="0.4">
      <c r="A21" s="5" t="s">
        <v>20</v>
      </c>
      <c r="B21" s="6">
        <v>0</v>
      </c>
      <c r="C21" s="6">
        <v>0</v>
      </c>
      <c r="D21" s="6">
        <v>0</v>
      </c>
      <c r="E21" s="6">
        <v>3</v>
      </c>
      <c r="F21" s="6">
        <v>3</v>
      </c>
      <c r="H21">
        <f>B21-'4 or greater'!B21-'6 or greater'!B21-'8 or greater'!B21-'12 or greater'!B21</f>
        <v>0</v>
      </c>
      <c r="I21">
        <f>C21-'4 or greater'!C21-'6 or greater'!C21-'8 or greater'!C21-'12 or greater'!C21</f>
        <v>0</v>
      </c>
      <c r="J21">
        <f>D21-'4 or greater'!D21-'6 or greater'!D21-'8 or greater'!D21-'12 or greater'!D21</f>
        <v>0</v>
      </c>
      <c r="K21">
        <f>E21-'4 or greater'!E21-'6 or greater'!E21-'8 or greater'!E21-'12 or greater'!E21</f>
        <v>3</v>
      </c>
      <c r="L21">
        <f>F21-'4 or greater'!F21-'6 or greater'!F21-'8 or greater'!F21-'12 or greater'!F21</f>
        <v>2</v>
      </c>
    </row>
    <row r="22" spans="1:12" ht="33.5" thickBot="1" x14ac:dyDescent="0.4">
      <c r="A22" s="7" t="s">
        <v>21</v>
      </c>
      <c r="B22" s="8">
        <v>2</v>
      </c>
      <c r="C22" s="8">
        <v>2</v>
      </c>
      <c r="D22" s="8">
        <v>1</v>
      </c>
      <c r="E22" s="8">
        <v>0</v>
      </c>
      <c r="F22" s="8">
        <v>1</v>
      </c>
      <c r="H22">
        <f>B22-'4 or greater'!B22-'6 or greater'!B22-'8 or greater'!B22-'12 or greater'!B22</f>
        <v>1</v>
      </c>
      <c r="I22">
        <f>C22-'4 or greater'!C22-'6 or greater'!C22-'8 or greater'!C22-'12 or greater'!C22</f>
        <v>2</v>
      </c>
      <c r="J22">
        <f>D22-'4 or greater'!D22-'6 or greater'!D22-'8 or greater'!D22-'12 or greater'!D22</f>
        <v>1</v>
      </c>
      <c r="K22">
        <f>E22-'4 or greater'!E22-'6 or greater'!E22-'8 or greater'!E22-'12 or greater'!E22</f>
        <v>0</v>
      </c>
      <c r="L22">
        <f>F22-'4 or greater'!F22-'6 or greater'!F22-'8 or greater'!F22-'12 or greater'!F22</f>
        <v>-2</v>
      </c>
    </row>
    <row r="23" spans="1:12" ht="33.5" thickBot="1" x14ac:dyDescent="0.4">
      <c r="A23" s="5" t="s">
        <v>22</v>
      </c>
      <c r="B23" s="6">
        <v>1</v>
      </c>
      <c r="C23" s="6">
        <v>3</v>
      </c>
      <c r="D23" s="6">
        <v>3</v>
      </c>
      <c r="E23" s="6">
        <v>3</v>
      </c>
      <c r="F23" s="6">
        <v>1</v>
      </c>
      <c r="H23">
        <f>B23-'4 or greater'!B23-'6 or greater'!B23-'8 or greater'!B23-'12 or greater'!B23</f>
        <v>1</v>
      </c>
      <c r="I23">
        <f>C23-'4 or greater'!C23-'6 or greater'!C23-'8 or greater'!C23-'12 or greater'!C23</f>
        <v>-3</v>
      </c>
      <c r="J23">
        <f>D23-'4 or greater'!D23-'6 or greater'!D23-'8 or greater'!D23-'12 or greater'!D23</f>
        <v>3</v>
      </c>
      <c r="K23">
        <f>E23-'4 or greater'!E23-'6 or greater'!E23-'8 or greater'!E23-'12 or greater'!E23</f>
        <v>1</v>
      </c>
      <c r="L23">
        <f>F23-'4 or greater'!F23-'6 or greater'!F23-'8 or greater'!F23-'12 or greater'!F23</f>
        <v>-1</v>
      </c>
    </row>
    <row r="24" spans="1:12" ht="33.5" thickBot="1" x14ac:dyDescent="0.4">
      <c r="A24" s="7" t="s">
        <v>23</v>
      </c>
      <c r="B24" s="8">
        <v>0</v>
      </c>
      <c r="C24" s="8">
        <v>3</v>
      </c>
      <c r="D24" s="8">
        <v>2</v>
      </c>
      <c r="E24" s="8">
        <v>2</v>
      </c>
      <c r="F24" s="8">
        <v>0</v>
      </c>
      <c r="H24">
        <f>B24-'4 or greater'!B24-'6 or greater'!B24-'8 or greater'!B24-'12 or greater'!B24</f>
        <v>0</v>
      </c>
      <c r="I24">
        <f>C24-'4 or greater'!C24-'6 or greater'!C24-'8 or greater'!C24-'12 or greater'!C24</f>
        <v>3</v>
      </c>
      <c r="J24">
        <f>D24-'4 or greater'!D24-'6 or greater'!D24-'8 or greater'!D24-'12 or greater'!D24</f>
        <v>-2</v>
      </c>
      <c r="K24">
        <f>E24-'4 or greater'!E24-'6 or greater'!E24-'8 or greater'!E24-'12 or greater'!E24</f>
        <v>2</v>
      </c>
      <c r="L24">
        <f>F24-'4 or greater'!F24-'6 or greater'!F24-'8 or greater'!F24-'12 or greater'!F24</f>
        <v>0</v>
      </c>
    </row>
    <row r="25" spans="1:12" ht="33.5" thickBot="1" x14ac:dyDescent="0.4">
      <c r="A25" s="5" t="s">
        <v>24</v>
      </c>
      <c r="B25" s="6">
        <v>0</v>
      </c>
      <c r="C25" s="6">
        <v>1</v>
      </c>
      <c r="D25" s="6">
        <v>4</v>
      </c>
      <c r="E25" s="6">
        <v>1</v>
      </c>
      <c r="F25" s="6">
        <v>2</v>
      </c>
      <c r="H25">
        <f>B25-'4 or greater'!B25-'6 or greater'!B25-'8 or greater'!B25-'12 or greater'!B25</f>
        <v>0</v>
      </c>
      <c r="I25">
        <f>C25-'4 or greater'!C25-'6 or greater'!C25-'8 or greater'!C25-'12 or greater'!C25</f>
        <v>1</v>
      </c>
      <c r="J25">
        <f>D25-'4 or greater'!D25-'6 or greater'!D25-'8 or greater'!D25-'12 or greater'!D25</f>
        <v>0</v>
      </c>
      <c r="K25">
        <f>E25-'4 or greater'!E25-'6 or greater'!E25-'8 or greater'!E25-'12 or greater'!E25</f>
        <v>1</v>
      </c>
      <c r="L25">
        <f>F25-'4 or greater'!F25-'6 or greater'!F25-'8 or greater'!F25-'12 or greater'!F25</f>
        <v>-2</v>
      </c>
    </row>
    <row r="26" spans="1:12" ht="33.5" thickBot="1" x14ac:dyDescent="0.4">
      <c r="A26" s="7" t="s">
        <v>25</v>
      </c>
      <c r="B26" s="8">
        <v>1</v>
      </c>
      <c r="C26" s="8">
        <v>0</v>
      </c>
      <c r="D26" s="8">
        <v>3</v>
      </c>
      <c r="E26" s="8">
        <v>0</v>
      </c>
      <c r="F26" s="8">
        <v>1</v>
      </c>
      <c r="H26">
        <f>B26-'4 or greater'!B26-'6 or greater'!B26-'8 or greater'!B26-'12 or greater'!B26</f>
        <v>0</v>
      </c>
      <c r="I26">
        <f>C26-'4 or greater'!C26-'6 or greater'!C26-'8 or greater'!C26-'12 or greater'!C26</f>
        <v>0</v>
      </c>
      <c r="J26">
        <f>D26-'4 or greater'!D26-'6 or greater'!D26-'8 or greater'!D26-'12 or greater'!D26</f>
        <v>2</v>
      </c>
      <c r="K26">
        <f>E26-'4 or greater'!E26-'6 or greater'!E26-'8 or greater'!E26-'12 or greater'!E26</f>
        <v>0</v>
      </c>
      <c r="L26">
        <f>F26-'4 or greater'!F26-'6 or greater'!F26-'8 or greater'!F26-'12 or greater'!F26</f>
        <v>1</v>
      </c>
    </row>
    <row r="27" spans="1:12" ht="33.5" thickBot="1" x14ac:dyDescent="0.4">
      <c r="A27" s="5" t="s">
        <v>26</v>
      </c>
      <c r="B27" s="6">
        <v>2</v>
      </c>
      <c r="C27" s="6">
        <v>4</v>
      </c>
      <c r="D27" s="6">
        <v>2</v>
      </c>
      <c r="E27" s="6">
        <v>0</v>
      </c>
      <c r="F27" s="6">
        <v>5</v>
      </c>
      <c r="H27">
        <f>B27-'4 or greater'!B27-'6 or greater'!B27-'8 or greater'!B27-'12 or greater'!B27</f>
        <v>-1</v>
      </c>
      <c r="I27">
        <f>C27-'4 or greater'!C27-'6 or greater'!C27-'8 or greater'!C27-'12 or greater'!C27</f>
        <v>1</v>
      </c>
      <c r="J27">
        <f>D27-'4 or greater'!D27-'6 or greater'!D27-'8 or greater'!D27-'12 or greater'!D27</f>
        <v>2</v>
      </c>
      <c r="K27">
        <f>E27-'4 or greater'!E27-'6 or greater'!E27-'8 or greater'!E27-'12 or greater'!E27</f>
        <v>0</v>
      </c>
      <c r="L27">
        <f>F27-'4 or greater'!F27-'6 or greater'!F27-'8 or greater'!F27-'12 or greater'!F27</f>
        <v>4</v>
      </c>
    </row>
    <row r="28" spans="1:12" ht="33.5" thickBot="1" x14ac:dyDescent="0.4">
      <c r="A28" s="7" t="s">
        <v>27</v>
      </c>
      <c r="B28" s="8">
        <v>1</v>
      </c>
      <c r="C28" s="8">
        <v>3</v>
      </c>
      <c r="D28" s="8">
        <v>2</v>
      </c>
      <c r="E28" s="8">
        <v>0</v>
      </c>
      <c r="F28" s="8">
        <v>2</v>
      </c>
      <c r="H28">
        <f>B28-'4 or greater'!B28-'6 or greater'!B28-'8 or greater'!B28-'12 or greater'!B28</f>
        <v>1</v>
      </c>
      <c r="I28">
        <f>C28-'4 or greater'!C28-'6 or greater'!C28-'8 or greater'!C28-'12 or greater'!C28</f>
        <v>1</v>
      </c>
      <c r="J28">
        <f>D28-'4 or greater'!D28-'6 or greater'!D28-'8 or greater'!D28-'12 or greater'!D28</f>
        <v>2</v>
      </c>
      <c r="K28">
        <f>E28-'4 or greater'!E28-'6 or greater'!E28-'8 or greater'!E28-'12 or greater'!E28</f>
        <v>0</v>
      </c>
      <c r="L28">
        <f>F28-'4 or greater'!F28-'6 or greater'!F28-'8 or greater'!F28-'12 or greater'!F28</f>
        <v>0</v>
      </c>
    </row>
    <row r="29" spans="1:12" ht="33.5" thickBot="1" x14ac:dyDescent="0.4">
      <c r="A29" s="5" t="s">
        <v>28</v>
      </c>
      <c r="B29" s="6">
        <v>1</v>
      </c>
      <c r="C29" s="6">
        <v>1</v>
      </c>
      <c r="D29" s="6">
        <v>0</v>
      </c>
      <c r="E29" s="6">
        <v>0</v>
      </c>
      <c r="F29" s="6">
        <v>2</v>
      </c>
      <c r="H29">
        <f>B29-'4 or greater'!B29-'6 or greater'!B29-'8 or greater'!B29-'12 or greater'!B29</f>
        <v>0</v>
      </c>
      <c r="I29">
        <f>C29-'4 or greater'!C29-'6 or greater'!C29-'8 or greater'!C29-'12 or greater'!C29</f>
        <v>1</v>
      </c>
      <c r="J29">
        <f>D29-'4 or greater'!D29-'6 or greater'!D29-'8 or greater'!D29-'12 or greater'!D29</f>
        <v>0</v>
      </c>
      <c r="K29">
        <f>E29-'4 or greater'!E29-'6 or greater'!E29-'8 or greater'!E29-'12 or greater'!E29</f>
        <v>0</v>
      </c>
      <c r="L29">
        <f>F29-'4 or greater'!F29-'6 or greater'!F29-'8 or greater'!F29-'12 or greater'!F29</f>
        <v>1</v>
      </c>
    </row>
    <row r="30" spans="1:12" ht="33.5" thickBot="1" x14ac:dyDescent="0.4">
      <c r="A30" s="7" t="s">
        <v>29</v>
      </c>
      <c r="B30" s="8">
        <v>1</v>
      </c>
      <c r="C30" s="8">
        <v>0</v>
      </c>
      <c r="D30" s="8">
        <v>4</v>
      </c>
      <c r="E30" s="8">
        <v>3</v>
      </c>
      <c r="F30" s="8">
        <v>0</v>
      </c>
      <c r="H30">
        <f>B30-'4 or greater'!B30-'6 or greater'!B30-'8 or greater'!B30-'12 or greater'!B30</f>
        <v>0</v>
      </c>
      <c r="I30">
        <f>C30-'4 or greater'!C30-'6 or greater'!C30-'8 or greater'!C30-'12 or greater'!C30</f>
        <v>0</v>
      </c>
      <c r="J30">
        <f>D30-'4 or greater'!D30-'6 or greater'!D30-'8 or greater'!D30-'12 or greater'!D30</f>
        <v>0</v>
      </c>
      <c r="K30">
        <f>E30-'4 or greater'!E30-'6 or greater'!E30-'8 or greater'!E30-'12 or greater'!E30</f>
        <v>2</v>
      </c>
      <c r="L30">
        <f>F30-'4 or greater'!F30-'6 or greater'!F30-'8 or greater'!F30-'12 or greater'!F30</f>
        <v>0</v>
      </c>
    </row>
    <row r="31" spans="1:12" ht="33.5" thickBot="1" x14ac:dyDescent="0.4">
      <c r="A31" s="5" t="s">
        <v>30</v>
      </c>
      <c r="B31" s="6">
        <v>2</v>
      </c>
      <c r="C31" s="6">
        <v>1</v>
      </c>
      <c r="D31" s="6">
        <v>1</v>
      </c>
      <c r="E31" s="6">
        <v>1</v>
      </c>
      <c r="F31" s="6">
        <v>1</v>
      </c>
      <c r="H31">
        <f>B31-'4 or greater'!B31-'6 or greater'!B31-'8 or greater'!B31-'12 or greater'!B31</f>
        <v>1</v>
      </c>
      <c r="I31">
        <f>C31-'4 or greater'!C31-'6 or greater'!C31-'8 or greater'!C31-'12 or greater'!C31</f>
        <v>1</v>
      </c>
      <c r="J31">
        <f>D31-'4 or greater'!D31-'6 or greater'!D31-'8 or greater'!D31-'12 or greater'!D31</f>
        <v>-1</v>
      </c>
      <c r="K31">
        <f>E31-'4 or greater'!E31-'6 or greater'!E31-'8 or greater'!E31-'12 or greater'!E31</f>
        <v>1</v>
      </c>
      <c r="L31">
        <f>F31-'4 or greater'!F31-'6 or greater'!F31-'8 or greater'!F31-'12 or greater'!F31</f>
        <v>1</v>
      </c>
    </row>
    <row r="32" spans="1:12" ht="33.5" thickBot="1" x14ac:dyDescent="0.4">
      <c r="A32" s="7" t="s">
        <v>31</v>
      </c>
      <c r="B32" s="8">
        <v>4</v>
      </c>
      <c r="C32" s="8">
        <v>1</v>
      </c>
      <c r="D32" s="8">
        <v>1</v>
      </c>
      <c r="E32" s="8">
        <v>1</v>
      </c>
      <c r="F32" s="8">
        <v>2</v>
      </c>
      <c r="H32">
        <f>B32-'4 or greater'!B32-'6 or greater'!B32-'8 or greater'!B32-'12 or greater'!B32</f>
        <v>-6</v>
      </c>
      <c r="I32">
        <f>C32-'4 or greater'!C32-'6 or greater'!C32-'8 or greater'!C32-'12 or greater'!C32</f>
        <v>1</v>
      </c>
      <c r="J32">
        <f>D32-'4 or greater'!D32-'6 or greater'!D32-'8 or greater'!D32-'12 or greater'!D32</f>
        <v>1</v>
      </c>
      <c r="K32">
        <f>E32-'4 or greater'!E32-'6 or greater'!E32-'8 or greater'!E32-'12 or greater'!E32</f>
        <v>1</v>
      </c>
      <c r="L32">
        <f>F32-'4 or greater'!F32-'6 or greater'!F32-'8 or greater'!F32-'12 or greater'!F32</f>
        <v>2</v>
      </c>
    </row>
    <row r="33" spans="1:12" ht="33.5" thickBot="1" x14ac:dyDescent="0.4">
      <c r="A33" s="5" t="s">
        <v>32</v>
      </c>
      <c r="B33" s="6">
        <v>2</v>
      </c>
      <c r="C33" s="6">
        <v>2</v>
      </c>
      <c r="D33" s="6">
        <v>0</v>
      </c>
      <c r="E33" s="6">
        <v>3</v>
      </c>
      <c r="F33" s="6">
        <v>0</v>
      </c>
      <c r="H33">
        <f>B33-'4 or greater'!B33-'6 or greater'!B33-'8 or greater'!B33-'12 or greater'!B33</f>
        <v>2</v>
      </c>
      <c r="I33">
        <f>C33-'4 or greater'!C33-'6 or greater'!C33-'8 or greater'!C33-'12 or greater'!C33</f>
        <v>2</v>
      </c>
      <c r="J33">
        <f>D33-'4 or greater'!D33-'6 or greater'!D33-'8 or greater'!D33-'12 or greater'!D33</f>
        <v>0</v>
      </c>
      <c r="K33">
        <f>E33-'4 or greater'!E33-'6 or greater'!E33-'8 or greater'!E33-'12 or greater'!E33</f>
        <v>2</v>
      </c>
      <c r="L33">
        <f>F33-'4 or greater'!F33-'6 or greater'!F33-'8 or greater'!F33-'12 or greater'!F33</f>
        <v>0</v>
      </c>
    </row>
    <row r="34" spans="1:12" ht="33.5" thickBot="1" x14ac:dyDescent="0.4">
      <c r="A34" s="7" t="s">
        <v>33</v>
      </c>
      <c r="B34" s="8">
        <v>1</v>
      </c>
      <c r="C34" s="8">
        <v>0</v>
      </c>
      <c r="D34" s="8">
        <v>0</v>
      </c>
      <c r="E34" s="8">
        <v>3</v>
      </c>
      <c r="F34" s="8">
        <v>0</v>
      </c>
      <c r="H34">
        <f>B34-'4 or greater'!B34-'6 or greater'!B34-'8 or greater'!B34-'12 or greater'!B34</f>
        <v>0</v>
      </c>
      <c r="I34">
        <f>C34-'4 or greater'!C34-'6 or greater'!C34-'8 or greater'!C34-'12 or greater'!C34</f>
        <v>0</v>
      </c>
      <c r="J34">
        <f>D34-'4 or greater'!D34-'6 or greater'!D34-'8 or greater'!D34-'12 or greater'!D34</f>
        <v>0</v>
      </c>
      <c r="K34">
        <f>E34-'4 or greater'!E34-'6 or greater'!E34-'8 or greater'!E34-'12 or greater'!E34</f>
        <v>3</v>
      </c>
      <c r="L34">
        <f>F34-'4 or greater'!F34-'6 or greater'!F34-'8 or greater'!F34-'12 or greater'!F34</f>
        <v>0</v>
      </c>
    </row>
    <row r="35" spans="1:12" ht="33.5" thickBot="1" x14ac:dyDescent="0.4">
      <c r="A35" s="5" t="s">
        <v>34</v>
      </c>
      <c r="B35" s="6">
        <v>5</v>
      </c>
      <c r="C35" s="6">
        <v>1</v>
      </c>
      <c r="D35" s="6">
        <v>1</v>
      </c>
      <c r="E35" s="6">
        <v>4</v>
      </c>
      <c r="F35" s="6">
        <v>3</v>
      </c>
      <c r="H35">
        <f>B35-'4 or greater'!B35-'6 or greater'!B35-'8 or greater'!B35-'12 or greater'!B35</f>
        <v>4</v>
      </c>
      <c r="I35">
        <f>C35-'4 or greater'!C35-'6 or greater'!C35-'8 or greater'!C35-'12 or greater'!C35</f>
        <v>0</v>
      </c>
      <c r="J35">
        <f>D35-'4 or greater'!D35-'6 or greater'!D35-'8 or greater'!D35-'12 or greater'!D35</f>
        <v>1</v>
      </c>
      <c r="K35">
        <f>E35-'4 or greater'!E35-'6 or greater'!E35-'8 or greater'!E35-'12 or greater'!E35</f>
        <v>3</v>
      </c>
      <c r="L35">
        <f>F35-'4 or greater'!F35-'6 or greater'!F35-'8 or greater'!F35-'12 or greater'!F35</f>
        <v>-2</v>
      </c>
    </row>
    <row r="36" spans="1:12" ht="33.5" thickBot="1" x14ac:dyDescent="0.4">
      <c r="A36" s="7" t="s">
        <v>35</v>
      </c>
      <c r="B36" s="8">
        <v>1</v>
      </c>
      <c r="C36" s="8">
        <v>1</v>
      </c>
      <c r="D36" s="8">
        <v>4</v>
      </c>
      <c r="E36" s="8">
        <v>1</v>
      </c>
      <c r="F36" s="8">
        <v>0</v>
      </c>
      <c r="H36">
        <f>B36-'4 or greater'!B36-'6 or greater'!B36-'8 or greater'!B36-'12 or greater'!B36</f>
        <v>1</v>
      </c>
      <c r="I36">
        <f>C36-'4 or greater'!C36-'6 or greater'!C36-'8 or greater'!C36-'12 or greater'!C36</f>
        <v>1</v>
      </c>
      <c r="J36">
        <f>D36-'4 or greater'!D36-'6 or greater'!D36-'8 or greater'!D36-'12 or greater'!D36</f>
        <v>2</v>
      </c>
      <c r="K36">
        <f>E36-'4 or greater'!E36-'6 or greater'!E36-'8 or greater'!E36-'12 or greater'!E36</f>
        <v>1</v>
      </c>
      <c r="L36">
        <f>F36-'4 or greater'!F36-'6 or greater'!F36-'8 or greater'!F36-'12 or greater'!F36</f>
        <v>0</v>
      </c>
    </row>
    <row r="37" spans="1:12" ht="33.5" thickBot="1" x14ac:dyDescent="0.4">
      <c r="A37" s="5" t="s">
        <v>36</v>
      </c>
      <c r="B37" s="6">
        <v>0</v>
      </c>
      <c r="C37" s="6">
        <v>1</v>
      </c>
      <c r="D37" s="6">
        <v>1</v>
      </c>
      <c r="E37" s="6">
        <v>0</v>
      </c>
      <c r="F37" s="6">
        <v>0</v>
      </c>
      <c r="H37">
        <f>B37-'4 or greater'!B37-'6 or greater'!B37-'8 or greater'!B37-'12 or greater'!B37</f>
        <v>0</v>
      </c>
      <c r="I37">
        <f>C37-'4 or greater'!C37-'6 or greater'!C37-'8 or greater'!C37-'12 or greater'!C37</f>
        <v>1</v>
      </c>
      <c r="J37">
        <f>D37-'4 or greater'!D37-'6 or greater'!D37-'8 or greater'!D37-'12 or greater'!D37</f>
        <v>0</v>
      </c>
      <c r="K37">
        <f>E37-'4 or greater'!E37-'6 or greater'!E37-'8 or greater'!E37-'12 or greater'!E37</f>
        <v>0</v>
      </c>
      <c r="L37">
        <f>F37-'4 or greater'!F37-'6 or greater'!F37-'8 or greater'!F37-'12 or greater'!F37</f>
        <v>0</v>
      </c>
    </row>
    <row r="38" spans="1:12" ht="33.5" thickBot="1" x14ac:dyDescent="0.4">
      <c r="A38" s="7" t="s">
        <v>37</v>
      </c>
      <c r="B38" s="8">
        <v>5</v>
      </c>
      <c r="C38" s="8">
        <v>2</v>
      </c>
      <c r="D38" s="8">
        <v>3</v>
      </c>
      <c r="E38" s="8">
        <v>2</v>
      </c>
      <c r="F38" s="8">
        <v>1</v>
      </c>
      <c r="H38">
        <f>B38-'4 or greater'!B38-'6 or greater'!B38-'8 or greater'!B38-'12 or greater'!B38</f>
        <v>2</v>
      </c>
      <c r="I38">
        <f>C38-'4 or greater'!C38-'6 or greater'!C38-'8 or greater'!C38-'12 or greater'!C38</f>
        <v>-1</v>
      </c>
      <c r="J38">
        <f>D38-'4 or greater'!D38-'6 or greater'!D38-'8 or greater'!D38-'12 or greater'!D38</f>
        <v>3</v>
      </c>
      <c r="K38">
        <f>E38-'4 or greater'!E38-'6 or greater'!E38-'8 or greater'!E38-'12 or greater'!E38</f>
        <v>1</v>
      </c>
      <c r="L38">
        <f>F38-'4 or greater'!F38-'6 or greater'!F38-'8 or greater'!F38-'12 or greater'!F38</f>
        <v>-1</v>
      </c>
    </row>
    <row r="39" spans="1:12" ht="33.5" thickBot="1" x14ac:dyDescent="0.4">
      <c r="A39" s="5" t="s">
        <v>38</v>
      </c>
      <c r="B39" s="6">
        <v>1</v>
      </c>
      <c r="C39" s="6">
        <v>3</v>
      </c>
      <c r="D39" s="6">
        <v>3</v>
      </c>
      <c r="E39" s="6">
        <v>1</v>
      </c>
      <c r="F39" s="6">
        <v>4</v>
      </c>
      <c r="H39">
        <f>B39-'4 or greater'!B39-'6 or greater'!B39-'8 or greater'!B39-'12 or greater'!B39</f>
        <v>1</v>
      </c>
      <c r="I39">
        <f>C39-'4 or greater'!C39-'6 or greater'!C39-'8 or greater'!C39-'12 or greater'!C39</f>
        <v>3</v>
      </c>
      <c r="J39">
        <f>D39-'4 or greater'!D39-'6 or greater'!D39-'8 or greater'!D39-'12 or greater'!D39</f>
        <v>3</v>
      </c>
      <c r="K39">
        <f>E39-'4 or greater'!E39-'6 or greater'!E39-'8 or greater'!E39-'12 or greater'!E39</f>
        <v>1</v>
      </c>
      <c r="L39">
        <f>F39-'4 or greater'!F39-'6 or greater'!F39-'8 or greater'!F39-'12 or greater'!F39</f>
        <v>-5</v>
      </c>
    </row>
    <row r="40" spans="1:12" ht="33.5" thickBot="1" x14ac:dyDescent="0.4">
      <c r="A40" s="7" t="s">
        <v>39</v>
      </c>
      <c r="B40" s="8">
        <v>4</v>
      </c>
      <c r="C40" s="8">
        <v>4</v>
      </c>
      <c r="D40" s="8">
        <v>2</v>
      </c>
      <c r="E40" s="8">
        <v>2</v>
      </c>
      <c r="F40" s="8">
        <v>2</v>
      </c>
      <c r="H40">
        <f>B40-'4 or greater'!B40-'6 or greater'!B40-'8 or greater'!B40-'12 or greater'!B40</f>
        <v>-3</v>
      </c>
      <c r="I40">
        <f>C40-'4 or greater'!C40-'6 or greater'!C40-'8 or greater'!C40-'12 or greater'!C40</f>
        <v>2</v>
      </c>
      <c r="J40">
        <f>D40-'4 or greater'!D40-'6 or greater'!D40-'8 or greater'!D40-'12 or greater'!D40</f>
        <v>2</v>
      </c>
      <c r="K40">
        <f>E40-'4 or greater'!E40-'6 or greater'!E40-'8 or greater'!E40-'12 or greater'!E40</f>
        <v>2</v>
      </c>
      <c r="L40">
        <f>F40-'4 or greater'!F40-'6 or greater'!F40-'8 or greater'!F40-'12 or greater'!F40</f>
        <v>-1</v>
      </c>
    </row>
    <row r="41" spans="1:12" ht="33.5" thickBot="1" x14ac:dyDescent="0.4">
      <c r="A41" s="5" t="s">
        <v>40</v>
      </c>
      <c r="B41" s="6">
        <v>0</v>
      </c>
      <c r="C41" s="6">
        <v>2</v>
      </c>
      <c r="D41" s="6">
        <v>0</v>
      </c>
      <c r="E41" s="6">
        <v>1</v>
      </c>
      <c r="F41" s="6">
        <v>3</v>
      </c>
      <c r="H41">
        <f>B41-'4 or greater'!B41-'6 or greater'!B41-'8 or greater'!B41-'12 or greater'!B41</f>
        <v>0</v>
      </c>
      <c r="I41">
        <f>C41-'4 or greater'!C41-'6 or greater'!C41-'8 or greater'!C41-'12 or greater'!C41</f>
        <v>-3</v>
      </c>
      <c r="J41">
        <f>D41-'4 or greater'!D41-'6 or greater'!D41-'8 or greater'!D41-'12 or greater'!D41</f>
        <v>0</v>
      </c>
      <c r="K41">
        <f>E41-'4 or greater'!E41-'6 or greater'!E41-'8 or greater'!E41-'12 or greater'!E41</f>
        <v>-1</v>
      </c>
      <c r="L41">
        <f>F41-'4 or greater'!F41-'6 or greater'!F41-'8 or greater'!F41-'12 or greater'!F41</f>
        <v>2</v>
      </c>
    </row>
    <row r="42" spans="1:12" ht="33.5" thickBot="1" x14ac:dyDescent="0.4">
      <c r="A42" s="7" t="s">
        <v>41</v>
      </c>
      <c r="B42" s="8">
        <v>3</v>
      </c>
      <c r="C42" s="8">
        <v>2</v>
      </c>
      <c r="D42" s="8">
        <v>4</v>
      </c>
      <c r="E42" s="8">
        <v>2</v>
      </c>
      <c r="F42" s="8">
        <v>3</v>
      </c>
      <c r="H42">
        <f>B42-'4 or greater'!B42-'6 or greater'!B42-'8 or greater'!B42-'12 or greater'!B42</f>
        <v>0</v>
      </c>
      <c r="I42">
        <f>C42-'4 or greater'!C42-'6 or greater'!C42-'8 or greater'!C42-'12 or greater'!C42</f>
        <v>2</v>
      </c>
      <c r="J42">
        <f>D42-'4 or greater'!D42-'6 or greater'!D42-'8 or greater'!D42-'12 or greater'!D42</f>
        <v>-4</v>
      </c>
      <c r="K42">
        <f>E42-'4 or greater'!E42-'6 or greater'!E42-'8 or greater'!E42-'12 or greater'!E42</f>
        <v>2</v>
      </c>
      <c r="L42">
        <f>F42-'4 or greater'!F42-'6 or greater'!F42-'8 or greater'!F42-'12 or greater'!F42</f>
        <v>2</v>
      </c>
    </row>
    <row r="43" spans="1:12" ht="33.5" thickBot="1" x14ac:dyDescent="0.4">
      <c r="A43" s="5" t="s">
        <v>42</v>
      </c>
      <c r="B43" s="6">
        <v>0</v>
      </c>
      <c r="C43" s="6">
        <v>0</v>
      </c>
      <c r="D43" s="6">
        <v>1</v>
      </c>
      <c r="E43" s="6">
        <v>1</v>
      </c>
      <c r="F43" s="6">
        <v>0</v>
      </c>
      <c r="H43">
        <f>B43-'4 or greater'!B43-'6 or greater'!B43-'8 or greater'!B43-'12 or greater'!B43</f>
        <v>0</v>
      </c>
      <c r="I43">
        <f>C43-'4 or greater'!C43-'6 or greater'!C43-'8 or greater'!C43-'12 or greater'!C43</f>
        <v>0</v>
      </c>
      <c r="J43">
        <f>D43-'4 or greater'!D43-'6 or greater'!D43-'8 or greater'!D43-'12 or greater'!D43</f>
        <v>1</v>
      </c>
      <c r="K43">
        <f>E43-'4 or greater'!E43-'6 or greater'!E43-'8 or greater'!E43-'12 or greater'!E43</f>
        <v>1</v>
      </c>
      <c r="L43">
        <f>F43-'4 or greater'!F43-'6 or greater'!F43-'8 or greater'!F43-'12 or greater'!F43</f>
        <v>0</v>
      </c>
    </row>
    <row r="44" spans="1:12" ht="33.5" thickBot="1" x14ac:dyDescent="0.4">
      <c r="A44" s="7" t="s">
        <v>43</v>
      </c>
      <c r="B44" s="8">
        <v>1</v>
      </c>
      <c r="C44" s="8">
        <v>0</v>
      </c>
      <c r="D44" s="8">
        <v>2</v>
      </c>
      <c r="E44" s="8">
        <v>2</v>
      </c>
      <c r="F44" s="8">
        <v>3</v>
      </c>
      <c r="H44">
        <f>B44-'4 or greater'!B44-'6 or greater'!B44-'8 or greater'!B44-'12 or greater'!B44</f>
        <v>1</v>
      </c>
      <c r="I44">
        <f>C44-'4 or greater'!C44-'6 or greater'!C44-'8 or greater'!C44-'12 or greater'!C44</f>
        <v>0</v>
      </c>
      <c r="J44">
        <f>D44-'4 or greater'!D44-'6 or greater'!D44-'8 or greater'!D44-'12 or greater'!D44</f>
        <v>1</v>
      </c>
      <c r="K44">
        <f>E44-'4 or greater'!E44-'6 or greater'!E44-'8 or greater'!E44-'12 or greater'!E44</f>
        <v>2</v>
      </c>
      <c r="L44">
        <f>F44-'4 or greater'!F44-'6 or greater'!F44-'8 or greater'!F44-'12 or greater'!F44</f>
        <v>3</v>
      </c>
    </row>
    <row r="45" spans="1:12" ht="33.5" thickBot="1" x14ac:dyDescent="0.4">
      <c r="A45" s="5" t="s">
        <v>44</v>
      </c>
      <c r="B45" s="6">
        <v>2</v>
      </c>
      <c r="C45" s="6">
        <v>3</v>
      </c>
      <c r="D45" s="6">
        <v>3</v>
      </c>
      <c r="E45" s="6">
        <v>3</v>
      </c>
      <c r="F45" s="6">
        <v>2</v>
      </c>
      <c r="H45">
        <f>B45-'4 or greater'!B45-'6 or greater'!B45-'8 or greater'!B45-'12 or greater'!B45</f>
        <v>-1</v>
      </c>
      <c r="I45">
        <f>C45-'4 or greater'!C45-'6 or greater'!C45-'8 or greater'!C45-'12 or greater'!C45</f>
        <v>1</v>
      </c>
      <c r="J45">
        <f>D45-'4 or greater'!D45-'6 or greater'!D45-'8 or greater'!D45-'12 or greater'!D45</f>
        <v>3</v>
      </c>
      <c r="K45">
        <f>E45-'4 or greater'!E45-'6 or greater'!E45-'8 or greater'!E45-'12 or greater'!E45</f>
        <v>1</v>
      </c>
      <c r="L45">
        <f>F45-'4 or greater'!F45-'6 or greater'!F45-'8 or greater'!F45-'12 or greater'!F45</f>
        <v>2</v>
      </c>
    </row>
    <row r="46" spans="1:12" ht="33.5" thickBot="1" x14ac:dyDescent="0.4">
      <c r="A46" s="7" t="s">
        <v>45</v>
      </c>
      <c r="B46" s="8">
        <v>2</v>
      </c>
      <c r="C46" s="8">
        <v>2</v>
      </c>
      <c r="D46" s="8">
        <v>0</v>
      </c>
      <c r="E46" s="8">
        <v>0</v>
      </c>
      <c r="F46" s="8">
        <v>2</v>
      </c>
      <c r="H46">
        <f>B46-'4 or greater'!B46-'6 or greater'!B46-'8 or greater'!B46-'12 or greater'!B46</f>
        <v>1</v>
      </c>
      <c r="I46">
        <f>C46-'4 or greater'!C46-'6 or greater'!C46-'8 or greater'!C46-'12 or greater'!C46</f>
        <v>0</v>
      </c>
      <c r="J46">
        <f>D46-'4 or greater'!D46-'6 or greater'!D46-'8 or greater'!D46-'12 or greater'!D46</f>
        <v>0</v>
      </c>
      <c r="K46">
        <f>E46-'4 or greater'!E46-'6 or greater'!E46-'8 or greater'!E46-'12 or greater'!E46</f>
        <v>0</v>
      </c>
      <c r="L46">
        <f>F46-'4 or greater'!F46-'6 or greater'!F46-'8 or greater'!F46-'12 or greater'!F46</f>
        <v>2</v>
      </c>
    </row>
    <row r="47" spans="1:12" ht="33.5" thickBot="1" x14ac:dyDescent="0.4">
      <c r="A47" s="5" t="s">
        <v>46</v>
      </c>
      <c r="B47" s="6">
        <v>0</v>
      </c>
      <c r="C47" s="6">
        <v>1</v>
      </c>
      <c r="D47" s="6">
        <v>3</v>
      </c>
      <c r="E47" s="6">
        <v>0</v>
      </c>
      <c r="F47" s="6">
        <v>3</v>
      </c>
      <c r="H47">
        <f>B47-'4 or greater'!B47-'6 or greater'!B47-'8 or greater'!B47-'12 or greater'!B47</f>
        <v>0</v>
      </c>
      <c r="I47">
        <f>C47-'4 or greater'!C47-'6 or greater'!C47-'8 or greater'!C47-'12 or greater'!C47</f>
        <v>1</v>
      </c>
      <c r="J47">
        <f>D47-'4 or greater'!D47-'6 or greater'!D47-'8 or greater'!D47-'12 or greater'!D47</f>
        <v>2</v>
      </c>
      <c r="K47">
        <f>E47-'4 or greater'!E47-'6 or greater'!E47-'8 or greater'!E47-'12 or greater'!E47</f>
        <v>0</v>
      </c>
      <c r="L47">
        <f>F47-'4 or greater'!F47-'6 or greater'!F47-'8 or greater'!F47-'12 or greater'!F47</f>
        <v>1</v>
      </c>
    </row>
    <row r="48" spans="1:12" ht="33.5" thickBot="1" x14ac:dyDescent="0.4">
      <c r="A48" s="7" t="s">
        <v>47</v>
      </c>
      <c r="B48" s="8">
        <v>4</v>
      </c>
      <c r="C48" s="8">
        <v>1</v>
      </c>
      <c r="D48" s="8">
        <v>2</v>
      </c>
      <c r="E48" s="8">
        <v>1</v>
      </c>
      <c r="F48" s="8">
        <v>3</v>
      </c>
      <c r="H48">
        <f>B48-'4 or greater'!B48-'6 or greater'!B48-'8 or greater'!B48-'12 or greater'!B48</f>
        <v>1</v>
      </c>
      <c r="I48">
        <f>C48-'4 or greater'!C48-'6 or greater'!C48-'8 or greater'!C48-'12 or greater'!C48</f>
        <v>1</v>
      </c>
      <c r="J48">
        <f>D48-'4 or greater'!D48-'6 or greater'!D48-'8 or greater'!D48-'12 or greater'!D48</f>
        <v>1</v>
      </c>
      <c r="K48">
        <f>E48-'4 or greater'!E48-'6 or greater'!E48-'8 or greater'!E48-'12 or greater'!E48</f>
        <v>1</v>
      </c>
      <c r="L48">
        <f>F48-'4 or greater'!F48-'6 or greater'!F48-'8 or greater'!F48-'12 or greater'!F48</f>
        <v>2</v>
      </c>
    </row>
    <row r="49" spans="1:12" ht="33.5" thickBot="1" x14ac:dyDescent="0.4">
      <c r="A49" s="5" t="s">
        <v>48</v>
      </c>
      <c r="B49" s="6">
        <v>0</v>
      </c>
      <c r="C49" s="6">
        <v>1</v>
      </c>
      <c r="D49" s="6">
        <v>5</v>
      </c>
      <c r="E49" s="6">
        <v>1</v>
      </c>
      <c r="F49" s="6">
        <v>5</v>
      </c>
      <c r="H49">
        <f>B49-'4 or greater'!B49-'6 or greater'!B49-'8 or greater'!B49-'12 or greater'!B49</f>
        <v>0</v>
      </c>
      <c r="I49">
        <f>C49-'4 or greater'!C49-'6 or greater'!C49-'8 or greater'!C49-'12 or greater'!C49</f>
        <v>1</v>
      </c>
      <c r="J49">
        <f>D49-'4 or greater'!D49-'6 or greater'!D49-'8 or greater'!D49-'12 or greater'!D49</f>
        <v>3</v>
      </c>
      <c r="K49">
        <f>E49-'4 or greater'!E49-'6 or greater'!E49-'8 or greater'!E49-'12 or greater'!E49</f>
        <v>1</v>
      </c>
      <c r="L49">
        <f>F49-'4 or greater'!F49-'6 or greater'!F49-'8 or greater'!F49-'12 or greater'!F49</f>
        <v>4</v>
      </c>
    </row>
    <row r="50" spans="1:12" ht="33.5" thickBot="1" x14ac:dyDescent="0.4">
      <c r="A50" s="7" t="s">
        <v>49</v>
      </c>
      <c r="B50" s="8">
        <v>0</v>
      </c>
      <c r="C50" s="8">
        <v>3</v>
      </c>
      <c r="D50" s="8">
        <v>0</v>
      </c>
      <c r="E50" s="8">
        <v>3</v>
      </c>
      <c r="F50" s="8">
        <v>1</v>
      </c>
      <c r="H50">
        <f>B50-'4 or greater'!B50-'6 or greater'!B50-'8 or greater'!B50-'12 or greater'!B50</f>
        <v>0</v>
      </c>
      <c r="I50">
        <f>C50-'4 or greater'!C50-'6 or greater'!C50-'8 or greater'!C50-'12 or greater'!C50</f>
        <v>3</v>
      </c>
      <c r="J50">
        <f>D50-'4 or greater'!D50-'6 or greater'!D50-'8 or greater'!D50-'12 or greater'!D50</f>
        <v>0</v>
      </c>
      <c r="K50">
        <f>E50-'4 or greater'!E50-'6 or greater'!E50-'8 or greater'!E50-'12 or greater'!E50</f>
        <v>2</v>
      </c>
      <c r="L50">
        <f>F50-'4 or greater'!F50-'6 or greater'!F50-'8 or greater'!F50-'12 or greater'!F50</f>
        <v>1</v>
      </c>
    </row>
    <row r="51" spans="1:12" ht="33.5" thickBot="1" x14ac:dyDescent="0.4">
      <c r="A51" s="5" t="s">
        <v>50</v>
      </c>
      <c r="B51" s="6">
        <v>0</v>
      </c>
      <c r="C51" s="6">
        <v>3</v>
      </c>
      <c r="D51" s="6">
        <v>2</v>
      </c>
      <c r="E51" s="6">
        <v>3</v>
      </c>
      <c r="F51" s="6">
        <v>0</v>
      </c>
      <c r="H51">
        <f>B51-'4 or greater'!B51-'6 or greater'!B51-'8 or greater'!B51-'12 or greater'!B51</f>
        <v>0</v>
      </c>
      <c r="I51">
        <f>C51-'4 or greater'!C51-'6 or greater'!C51-'8 or greater'!C51-'12 or greater'!C51</f>
        <v>2</v>
      </c>
      <c r="J51">
        <f>D51-'4 or greater'!D51-'6 or greater'!D51-'8 or greater'!D51-'12 or greater'!D51</f>
        <v>-1</v>
      </c>
      <c r="K51">
        <f>E51-'4 or greater'!E51-'6 or greater'!E51-'8 or greater'!E51-'12 or greater'!E51</f>
        <v>3</v>
      </c>
      <c r="L51">
        <f>F51-'4 or greater'!F51-'6 or greater'!F51-'8 or greater'!F51-'12 or greater'!F51</f>
        <v>0</v>
      </c>
    </row>
    <row r="52" spans="1:12" ht="33.5" thickBot="1" x14ac:dyDescent="0.4">
      <c r="A52" s="7" t="s">
        <v>51</v>
      </c>
      <c r="B52" s="8">
        <v>4</v>
      </c>
      <c r="C52" s="8">
        <v>2</v>
      </c>
      <c r="D52" s="8">
        <v>1</v>
      </c>
      <c r="E52" s="8">
        <v>1</v>
      </c>
      <c r="F52" s="8">
        <v>2</v>
      </c>
      <c r="H52">
        <f>B52-'4 or greater'!B52-'6 or greater'!B52-'8 or greater'!B52-'12 or greater'!B52</f>
        <v>3</v>
      </c>
      <c r="I52">
        <f>C52-'4 or greater'!C52-'6 or greater'!C52-'8 or greater'!C52-'12 or greater'!C52</f>
        <v>0</v>
      </c>
      <c r="J52">
        <f>D52-'4 or greater'!D52-'6 or greater'!D52-'8 or greater'!D52-'12 or greater'!D52</f>
        <v>-1</v>
      </c>
      <c r="K52">
        <f>E52-'4 or greater'!E52-'6 or greater'!E52-'8 or greater'!E52-'12 or greater'!E52</f>
        <v>1</v>
      </c>
      <c r="L52">
        <f>F52-'4 or greater'!F52-'6 or greater'!F52-'8 or greater'!F52-'12 or greater'!F52</f>
        <v>2</v>
      </c>
    </row>
    <row r="53" spans="1:12" ht="33.5" thickBot="1" x14ac:dyDescent="0.4">
      <c r="A53" s="5" t="s">
        <v>52</v>
      </c>
      <c r="B53" s="6">
        <v>1</v>
      </c>
      <c r="C53" s="6">
        <v>0</v>
      </c>
      <c r="D53" s="6">
        <v>3</v>
      </c>
      <c r="E53" s="6">
        <v>3</v>
      </c>
      <c r="F53" s="6">
        <v>1</v>
      </c>
      <c r="H53">
        <f>B53-'4 or greater'!B53-'6 or greater'!B53-'8 or greater'!B53-'12 or greater'!B53</f>
        <v>0</v>
      </c>
      <c r="I53">
        <f>C53-'4 or greater'!C53-'6 or greater'!C53-'8 or greater'!C53-'12 or greater'!C53</f>
        <v>0</v>
      </c>
      <c r="J53">
        <f>D53-'4 or greater'!D53-'6 or greater'!D53-'8 or greater'!D53-'12 or greater'!D53</f>
        <v>3</v>
      </c>
      <c r="K53">
        <f>E53-'4 or greater'!E53-'6 or greater'!E53-'8 or greater'!E53-'12 or greater'!E53</f>
        <v>2</v>
      </c>
      <c r="L53">
        <f>F53-'4 or greater'!F53-'6 or greater'!F53-'8 or greater'!F53-'12 or greater'!F53</f>
        <v>1</v>
      </c>
    </row>
    <row r="54" spans="1:12" ht="33.5" thickBot="1" x14ac:dyDescent="0.4">
      <c r="A54" s="7" t="s">
        <v>53</v>
      </c>
      <c r="B54" s="8">
        <v>0</v>
      </c>
      <c r="C54" s="8">
        <v>6</v>
      </c>
      <c r="D54" s="8">
        <v>2</v>
      </c>
      <c r="E54" s="8">
        <v>0</v>
      </c>
      <c r="F54" s="8">
        <v>2</v>
      </c>
      <c r="H54">
        <f>B54-'4 or greater'!B54-'6 or greater'!B54-'8 or greater'!B54-'12 or greater'!B54</f>
        <v>0</v>
      </c>
      <c r="I54">
        <f>C54-'4 or greater'!C54-'6 or greater'!C54-'8 or greater'!C54-'12 or greater'!C54</f>
        <v>1</v>
      </c>
      <c r="J54">
        <f>D54-'4 or greater'!D54-'6 or greater'!D54-'8 or greater'!D54-'12 or greater'!D54</f>
        <v>2</v>
      </c>
      <c r="K54">
        <f>E54-'4 or greater'!E54-'6 or greater'!E54-'8 or greater'!E54-'12 or greater'!E54</f>
        <v>0</v>
      </c>
      <c r="L54">
        <f>F54-'4 or greater'!F54-'6 or greater'!F54-'8 or greater'!F54-'12 or greater'!F54</f>
        <v>2</v>
      </c>
    </row>
    <row r="55" spans="1:12" ht="33.5" thickBot="1" x14ac:dyDescent="0.4">
      <c r="A55" s="5" t="s">
        <v>54</v>
      </c>
      <c r="B55" s="6">
        <v>0</v>
      </c>
      <c r="C55" s="6">
        <v>4</v>
      </c>
      <c r="D55" s="6">
        <v>5</v>
      </c>
      <c r="E55" s="6">
        <v>0</v>
      </c>
      <c r="F55" s="6">
        <v>1</v>
      </c>
      <c r="H55">
        <f>B55-'4 or greater'!B55-'6 or greater'!B55-'8 or greater'!B55-'12 or greater'!B55</f>
        <v>0</v>
      </c>
      <c r="I55">
        <f>C55-'4 or greater'!C55-'6 or greater'!C55-'8 or greater'!C55-'12 or greater'!C55</f>
        <v>0</v>
      </c>
      <c r="J55">
        <f>D55-'4 or greater'!D55-'6 or greater'!D55-'8 or greater'!D55-'12 or greater'!D55</f>
        <v>3</v>
      </c>
      <c r="K55">
        <f>E55-'4 or greater'!E55-'6 or greater'!E55-'8 or greater'!E55-'12 or greater'!E55</f>
        <v>0</v>
      </c>
      <c r="L55">
        <f>F55-'4 or greater'!F55-'6 or greater'!F55-'8 or greater'!F55-'12 or greater'!F55</f>
        <v>0</v>
      </c>
    </row>
    <row r="56" spans="1:12" ht="33.5" thickBot="1" x14ac:dyDescent="0.4">
      <c r="A56" s="7" t="s">
        <v>55</v>
      </c>
      <c r="B56" s="8">
        <v>0</v>
      </c>
      <c r="C56" s="8">
        <v>0</v>
      </c>
      <c r="D56" s="8">
        <v>2</v>
      </c>
      <c r="E56" s="8">
        <v>0</v>
      </c>
      <c r="F56" s="8">
        <v>0</v>
      </c>
      <c r="H56">
        <f>B56-'4 or greater'!B56-'6 or greater'!B56-'8 or greater'!B56-'12 or greater'!B56</f>
        <v>0</v>
      </c>
      <c r="I56">
        <f>C56-'4 or greater'!C56-'6 or greater'!C56-'8 or greater'!C56-'12 or greater'!C56</f>
        <v>0</v>
      </c>
      <c r="J56">
        <f>D56-'4 or greater'!D56-'6 or greater'!D56-'8 or greater'!D56-'12 or greater'!D56</f>
        <v>2</v>
      </c>
      <c r="K56">
        <f>E56-'4 or greater'!E56-'6 or greater'!E56-'8 or greater'!E56-'12 or greater'!E56</f>
        <v>0</v>
      </c>
      <c r="L56">
        <f>F56-'4 or greater'!F56-'6 or greater'!F56-'8 or greater'!F56-'12 or greater'!F56</f>
        <v>0</v>
      </c>
    </row>
    <row r="57" spans="1:12" ht="33.5" thickBot="1" x14ac:dyDescent="0.4">
      <c r="A57" s="5" t="s">
        <v>56</v>
      </c>
      <c r="B57" s="6">
        <v>1</v>
      </c>
      <c r="C57" s="6">
        <v>2</v>
      </c>
      <c r="D57" s="6">
        <v>6</v>
      </c>
      <c r="E57" s="6">
        <v>4</v>
      </c>
      <c r="F57" s="6">
        <v>1</v>
      </c>
      <c r="H57">
        <f>B57-'4 or greater'!B57-'6 or greater'!B57-'8 or greater'!B57-'12 or greater'!B57</f>
        <v>1</v>
      </c>
      <c r="I57">
        <f>C57-'4 or greater'!C57-'6 or greater'!C57-'8 or greater'!C57-'12 or greater'!C57</f>
        <v>0</v>
      </c>
      <c r="J57">
        <f>D57-'4 or greater'!D57-'6 or greater'!D57-'8 or greater'!D57-'12 or greater'!D57</f>
        <v>1</v>
      </c>
      <c r="K57">
        <f>E57-'4 or greater'!E57-'6 or greater'!E57-'8 or greater'!E57-'12 or greater'!E57</f>
        <v>1</v>
      </c>
      <c r="L57">
        <f>F57-'4 or greater'!F57-'6 or greater'!F57-'8 or greater'!F57-'12 or greater'!F57</f>
        <v>1</v>
      </c>
    </row>
    <row r="58" spans="1:12" ht="33.5" thickBot="1" x14ac:dyDescent="0.4">
      <c r="A58" s="7" t="s">
        <v>57</v>
      </c>
      <c r="B58" s="8">
        <v>0</v>
      </c>
      <c r="C58" s="8">
        <v>0</v>
      </c>
      <c r="D58" s="8">
        <v>2</v>
      </c>
      <c r="E58" s="8">
        <v>1</v>
      </c>
      <c r="F58" s="8">
        <v>2</v>
      </c>
      <c r="H58">
        <f>B58-'4 or greater'!B58-'6 or greater'!B58-'8 or greater'!B58-'12 or greater'!B58</f>
        <v>0</v>
      </c>
      <c r="I58">
        <f>C58-'4 or greater'!C58-'6 or greater'!C58-'8 or greater'!C58-'12 or greater'!C58</f>
        <v>0</v>
      </c>
      <c r="J58">
        <f>D58-'4 or greater'!D58-'6 or greater'!D58-'8 or greater'!D58-'12 or greater'!D58</f>
        <v>0</v>
      </c>
      <c r="K58">
        <f>E58-'4 or greater'!E58-'6 or greater'!E58-'8 or greater'!E58-'12 or greater'!E58</f>
        <v>1</v>
      </c>
      <c r="L58">
        <f>F58-'4 or greater'!F58-'6 or greater'!F58-'8 or greater'!F58-'12 or greater'!F58</f>
        <v>-1</v>
      </c>
    </row>
    <row r="59" spans="1:12" ht="33.5" thickBot="1" x14ac:dyDescent="0.4">
      <c r="A59" s="5" t="s">
        <v>58</v>
      </c>
      <c r="B59" s="6">
        <v>1</v>
      </c>
      <c r="C59" s="6">
        <v>0</v>
      </c>
      <c r="D59" s="6">
        <v>1</v>
      </c>
      <c r="E59" s="6">
        <v>3</v>
      </c>
      <c r="F59" s="6">
        <v>6</v>
      </c>
      <c r="H59">
        <f>B59-'4 or greater'!B59-'6 or greater'!B59-'8 or greater'!B59-'12 or greater'!B59</f>
        <v>1</v>
      </c>
      <c r="I59">
        <f>C59-'4 or greater'!C59-'6 or greater'!C59-'8 or greater'!C59-'12 or greater'!C59</f>
        <v>0</v>
      </c>
      <c r="J59">
        <f>D59-'4 or greater'!D59-'6 or greater'!D59-'8 or greater'!D59-'12 or greater'!D59</f>
        <v>-1</v>
      </c>
      <c r="K59">
        <f>E59-'4 or greater'!E59-'6 or greater'!E59-'8 or greater'!E59-'12 or greater'!E59</f>
        <v>3</v>
      </c>
      <c r="L59">
        <f>F59-'4 or greater'!F59-'6 or greater'!F59-'8 or greater'!F59-'12 or greater'!F59</f>
        <v>0</v>
      </c>
    </row>
    <row r="60" spans="1:12" ht="33.5" thickBot="1" x14ac:dyDescent="0.4">
      <c r="A60" s="7" t="s">
        <v>59</v>
      </c>
      <c r="B60" s="8">
        <v>0</v>
      </c>
      <c r="C60" s="8">
        <v>1</v>
      </c>
      <c r="D60" s="8">
        <v>1</v>
      </c>
      <c r="E60" s="8">
        <v>0</v>
      </c>
      <c r="F60" s="8">
        <v>4</v>
      </c>
      <c r="H60">
        <f>B60-'4 or greater'!B60-'6 or greater'!B60-'8 or greater'!B60-'12 or greater'!B60</f>
        <v>0</v>
      </c>
      <c r="I60">
        <f>C60-'4 or greater'!C60-'6 or greater'!C60-'8 or greater'!C60-'12 or greater'!C60</f>
        <v>0</v>
      </c>
      <c r="J60">
        <f>D60-'4 or greater'!D60-'6 or greater'!D60-'8 or greater'!D60-'12 or greater'!D60</f>
        <v>1</v>
      </c>
      <c r="K60">
        <f>E60-'4 or greater'!E60-'6 or greater'!E60-'8 or greater'!E60-'12 or greater'!E60</f>
        <v>0</v>
      </c>
      <c r="L60">
        <f>F60-'4 or greater'!F60-'6 or greater'!F60-'8 or greater'!F60-'12 or greater'!F60</f>
        <v>4</v>
      </c>
    </row>
    <row r="61" spans="1:12" ht="33.5" thickBot="1" x14ac:dyDescent="0.4">
      <c r="A61" s="5" t="s">
        <v>60</v>
      </c>
      <c r="B61" s="6">
        <v>1</v>
      </c>
      <c r="C61" s="6">
        <v>0</v>
      </c>
      <c r="D61" s="6">
        <v>0</v>
      </c>
      <c r="E61" s="6">
        <v>0</v>
      </c>
      <c r="F61" s="6">
        <v>2</v>
      </c>
      <c r="H61">
        <f>B61-'4 or greater'!B61-'6 or greater'!B61-'8 or greater'!B61-'12 or greater'!B61</f>
        <v>0</v>
      </c>
      <c r="I61">
        <f>C61-'4 or greater'!C61-'6 or greater'!C61-'8 or greater'!C61-'12 or greater'!C61</f>
        <v>0</v>
      </c>
      <c r="J61">
        <f>D61-'4 or greater'!D61-'6 or greater'!D61-'8 or greater'!D61-'12 or greater'!D61</f>
        <v>0</v>
      </c>
      <c r="K61">
        <f>E61-'4 or greater'!E61-'6 or greater'!E61-'8 or greater'!E61-'12 or greater'!E61</f>
        <v>0</v>
      </c>
      <c r="L61">
        <f>F61-'4 or greater'!F61-'6 or greater'!F61-'8 or greater'!F61-'12 or greater'!F61</f>
        <v>1</v>
      </c>
    </row>
    <row r="62" spans="1:12" ht="33.5" thickBot="1" x14ac:dyDescent="0.4">
      <c r="A62" s="7" t="s">
        <v>61</v>
      </c>
      <c r="B62" s="8">
        <v>0</v>
      </c>
      <c r="C62" s="8">
        <v>3</v>
      </c>
      <c r="D62" s="8">
        <v>0</v>
      </c>
      <c r="E62" s="8">
        <v>5</v>
      </c>
      <c r="F62" s="8">
        <v>3</v>
      </c>
      <c r="H62">
        <f>B62-'4 or greater'!B62-'6 or greater'!B62-'8 or greater'!B62-'12 or greater'!B62</f>
        <v>0</v>
      </c>
      <c r="I62">
        <f>C62-'4 or greater'!C62-'6 or greater'!C62-'8 or greater'!C62-'12 or greater'!C62</f>
        <v>1</v>
      </c>
      <c r="J62">
        <f>D62-'4 or greater'!D62-'6 or greater'!D62-'8 or greater'!D62-'12 or greater'!D62</f>
        <v>0</v>
      </c>
      <c r="K62">
        <f>E62-'4 or greater'!E62-'6 or greater'!E62-'8 or greater'!E62-'12 or greater'!E62</f>
        <v>2</v>
      </c>
      <c r="L62">
        <f>F62-'4 or greater'!F62-'6 or greater'!F62-'8 or greater'!F62-'12 or greater'!F62</f>
        <v>-2</v>
      </c>
    </row>
    <row r="63" spans="1:12" ht="33.5" thickBot="1" x14ac:dyDescent="0.4">
      <c r="A63" s="5" t="s">
        <v>62</v>
      </c>
      <c r="B63" s="6">
        <v>0</v>
      </c>
      <c r="C63" s="6">
        <v>0</v>
      </c>
      <c r="D63" s="6">
        <v>1</v>
      </c>
      <c r="E63" s="6">
        <v>1</v>
      </c>
      <c r="F63" s="6">
        <v>2</v>
      </c>
      <c r="H63">
        <f>B63-'4 or greater'!B63-'6 or greater'!B63-'8 or greater'!B63-'12 or greater'!B63</f>
        <v>0</v>
      </c>
      <c r="I63">
        <f>C63-'4 or greater'!C63-'6 or greater'!C63-'8 or greater'!C63-'12 or greater'!C63</f>
        <v>0</v>
      </c>
      <c r="J63">
        <f>D63-'4 or greater'!D63-'6 or greater'!D63-'8 or greater'!D63-'12 or greater'!D63</f>
        <v>1</v>
      </c>
      <c r="K63">
        <f>E63-'4 or greater'!E63-'6 or greater'!E63-'8 or greater'!E63-'12 or greater'!E63</f>
        <v>-1</v>
      </c>
      <c r="L63">
        <f>F63-'4 or greater'!F63-'6 or greater'!F63-'8 or greater'!F63-'12 or greater'!F63</f>
        <v>-1</v>
      </c>
    </row>
    <row r="64" spans="1:12" ht="33.5" thickBot="1" x14ac:dyDescent="0.4">
      <c r="A64" s="7" t="s">
        <v>63</v>
      </c>
      <c r="B64" s="8">
        <v>1</v>
      </c>
      <c r="C64" s="8">
        <v>0</v>
      </c>
      <c r="D64" s="8">
        <v>2</v>
      </c>
      <c r="E64" s="8">
        <v>0</v>
      </c>
      <c r="F64" s="8">
        <v>0</v>
      </c>
      <c r="H64">
        <f>B64-'4 or greater'!B64-'6 or greater'!B64-'8 or greater'!B64-'12 or greater'!B64</f>
        <v>0</v>
      </c>
      <c r="I64">
        <f>C64-'4 or greater'!C64-'6 or greater'!C64-'8 or greater'!C64-'12 or greater'!C64</f>
        <v>0</v>
      </c>
      <c r="J64">
        <f>D64-'4 or greater'!D64-'6 or greater'!D64-'8 or greater'!D64-'12 or greater'!D64</f>
        <v>2</v>
      </c>
      <c r="K64">
        <f>E64-'4 or greater'!E64-'6 or greater'!E64-'8 or greater'!E64-'12 or greater'!E64</f>
        <v>0</v>
      </c>
      <c r="L64">
        <f>F64-'4 or greater'!F64-'6 or greater'!F64-'8 or greater'!F64-'12 or greater'!F64</f>
        <v>0</v>
      </c>
    </row>
    <row r="65" spans="1:12" ht="33.5" thickBot="1" x14ac:dyDescent="0.4">
      <c r="A65" s="5" t="s">
        <v>64</v>
      </c>
      <c r="B65" s="6">
        <v>1</v>
      </c>
      <c r="C65" s="6">
        <v>0</v>
      </c>
      <c r="D65" s="6">
        <v>0</v>
      </c>
      <c r="E65" s="6">
        <v>1</v>
      </c>
      <c r="F65" s="6">
        <v>0</v>
      </c>
      <c r="H65">
        <f>B65-'4 or greater'!B65-'6 or greater'!B65-'8 or greater'!B65-'12 or greater'!B65</f>
        <v>1</v>
      </c>
      <c r="I65">
        <f>C65-'4 or greater'!C65-'6 or greater'!C65-'8 or greater'!C65-'12 or greater'!C65</f>
        <v>0</v>
      </c>
      <c r="J65">
        <f>D65-'4 or greater'!D65-'6 or greater'!D65-'8 or greater'!D65-'12 or greater'!D65</f>
        <v>0</v>
      </c>
      <c r="K65">
        <f>E65-'4 or greater'!E65-'6 or greater'!E65-'8 or greater'!E65-'12 or greater'!E65</f>
        <v>1</v>
      </c>
      <c r="L65">
        <f>F65-'4 or greater'!F65-'6 or greater'!F65-'8 or greater'!F65-'12 or greater'!F65</f>
        <v>0</v>
      </c>
    </row>
    <row r="66" spans="1:12" ht="33.5" thickBot="1" x14ac:dyDescent="0.4">
      <c r="A66" s="7" t="s">
        <v>65</v>
      </c>
      <c r="B66" s="8">
        <v>1</v>
      </c>
      <c r="C66" s="8">
        <v>0</v>
      </c>
      <c r="D66" s="8">
        <v>0</v>
      </c>
      <c r="E66" s="8">
        <v>0</v>
      </c>
      <c r="F66" s="8">
        <v>0</v>
      </c>
      <c r="H66">
        <f>B66-'4 or greater'!B66-'6 or greater'!B66-'8 or greater'!B66-'12 or greater'!B66</f>
        <v>-1</v>
      </c>
      <c r="I66">
        <f>C66-'4 or greater'!C66-'6 or greater'!C66-'8 or greater'!C66-'12 or greater'!C66</f>
        <v>0</v>
      </c>
      <c r="J66">
        <f>D66-'4 or greater'!D66-'6 or greater'!D66-'8 or greater'!D66-'12 or greater'!D66</f>
        <v>0</v>
      </c>
      <c r="K66">
        <f>E66-'4 or greater'!E66-'6 or greater'!E66-'8 or greater'!E66-'12 or greater'!E66</f>
        <v>0</v>
      </c>
      <c r="L66">
        <f>F66-'4 or greater'!F66-'6 or greater'!F66-'8 or greater'!F66-'12 or greater'!F66</f>
        <v>0</v>
      </c>
    </row>
    <row r="67" spans="1:12" ht="33.5" thickBot="1" x14ac:dyDescent="0.4">
      <c r="A67" s="5" t="s">
        <v>66</v>
      </c>
      <c r="B67" s="6">
        <v>1</v>
      </c>
      <c r="C67" s="6">
        <v>0</v>
      </c>
      <c r="D67" s="6">
        <v>1</v>
      </c>
      <c r="E67" s="6">
        <v>2</v>
      </c>
      <c r="F67" s="6">
        <v>1</v>
      </c>
      <c r="H67">
        <f>B67-'4 or greater'!B67-'6 or greater'!B67-'8 or greater'!B67-'12 or greater'!B67</f>
        <v>0</v>
      </c>
      <c r="I67">
        <f>C67-'4 or greater'!C67-'6 or greater'!C67-'8 or greater'!C67-'12 or greater'!C67</f>
        <v>0</v>
      </c>
      <c r="J67">
        <f>D67-'4 or greater'!D67-'6 or greater'!D67-'8 or greater'!D67-'12 or greater'!D67</f>
        <v>1</v>
      </c>
      <c r="K67">
        <f>E67-'4 or greater'!E67-'6 or greater'!E67-'8 or greater'!E67-'12 or greater'!E67</f>
        <v>1</v>
      </c>
      <c r="L67">
        <f>F67-'4 or greater'!F67-'6 or greater'!F67-'8 or greater'!F67-'12 or greater'!F67</f>
        <v>1</v>
      </c>
    </row>
    <row r="68" spans="1:12" ht="33.5" thickBot="1" x14ac:dyDescent="0.4">
      <c r="A68" s="7" t="s">
        <v>67</v>
      </c>
      <c r="B68" s="8">
        <v>1</v>
      </c>
      <c r="C68" s="8">
        <v>2</v>
      </c>
      <c r="D68" s="8">
        <v>1</v>
      </c>
      <c r="E68" s="8">
        <v>0</v>
      </c>
      <c r="F68" s="8">
        <v>3</v>
      </c>
      <c r="H68">
        <f>B68-'4 or greater'!B68-'6 or greater'!B68-'8 or greater'!B68-'12 or greater'!B68</f>
        <v>1</v>
      </c>
      <c r="I68">
        <f>C68-'4 or greater'!C68-'6 or greater'!C68-'8 or greater'!C68-'12 or greater'!C68</f>
        <v>2</v>
      </c>
      <c r="J68">
        <f>D68-'4 or greater'!D68-'6 or greater'!D68-'8 or greater'!D68-'12 or greater'!D68</f>
        <v>1</v>
      </c>
      <c r="K68">
        <f>E68-'4 or greater'!E68-'6 or greater'!E68-'8 or greater'!E68-'12 or greater'!E68</f>
        <v>0</v>
      </c>
      <c r="L68">
        <f>F68-'4 or greater'!F68-'6 or greater'!F68-'8 or greater'!F68-'12 or greater'!F68</f>
        <v>2</v>
      </c>
    </row>
    <row r="69" spans="1:12" ht="33.5" thickBot="1" x14ac:dyDescent="0.4">
      <c r="A69" s="5" t="s">
        <v>68</v>
      </c>
      <c r="B69" s="6">
        <v>2</v>
      </c>
      <c r="C69" s="6">
        <v>0</v>
      </c>
      <c r="D69" s="6">
        <v>1</v>
      </c>
      <c r="E69" s="6">
        <v>2</v>
      </c>
      <c r="F69" s="6">
        <v>0</v>
      </c>
      <c r="H69">
        <f>B69-'4 or greater'!B69-'6 or greater'!B69-'8 or greater'!B69-'12 or greater'!B69</f>
        <v>2</v>
      </c>
      <c r="I69">
        <f>C69-'4 or greater'!C69-'6 or greater'!C69-'8 or greater'!C69-'12 or greater'!C69</f>
        <v>0</v>
      </c>
      <c r="J69">
        <f>D69-'4 or greater'!D69-'6 or greater'!D69-'8 or greater'!D69-'12 or greater'!D69</f>
        <v>1</v>
      </c>
      <c r="K69">
        <f>E69-'4 or greater'!E69-'6 or greater'!E69-'8 or greater'!E69-'12 or greater'!E69</f>
        <v>0</v>
      </c>
      <c r="L69">
        <f>F69-'4 or greater'!F69-'6 or greater'!F69-'8 or greater'!F69-'12 or greater'!F69</f>
        <v>0</v>
      </c>
    </row>
    <row r="70" spans="1:12" ht="33.5" thickBot="1" x14ac:dyDescent="0.4">
      <c r="A70" s="7" t="s">
        <v>69</v>
      </c>
      <c r="B70" s="8">
        <v>0</v>
      </c>
      <c r="C70" s="8">
        <v>0</v>
      </c>
      <c r="D70" s="8">
        <v>0</v>
      </c>
      <c r="E70" s="8">
        <v>0</v>
      </c>
      <c r="F70" s="8">
        <v>1</v>
      </c>
      <c r="H70">
        <f>B70-'4 or greater'!B70-'6 or greater'!B70-'8 or greater'!B70-'12 or greater'!B70</f>
        <v>0</v>
      </c>
      <c r="I70">
        <f>C70-'4 or greater'!C70-'6 or greater'!C70-'8 or greater'!C70-'12 or greater'!C70</f>
        <v>0</v>
      </c>
      <c r="J70">
        <f>D70-'4 or greater'!D70-'6 or greater'!D70-'8 or greater'!D70-'12 or greater'!D70</f>
        <v>0</v>
      </c>
      <c r="K70">
        <f>E70-'4 or greater'!E70-'6 or greater'!E70-'8 or greater'!E70-'12 or greater'!E70</f>
        <v>0</v>
      </c>
      <c r="L70">
        <f>F70-'4 or greater'!F70-'6 or greater'!F70-'8 or greater'!F70-'12 or greater'!F70</f>
        <v>-1</v>
      </c>
    </row>
    <row r="71" spans="1:12" ht="33.5" thickBot="1" x14ac:dyDescent="0.4">
      <c r="A71" s="5" t="s">
        <v>70</v>
      </c>
      <c r="B71" s="6">
        <v>2</v>
      </c>
      <c r="C71" s="6">
        <v>1</v>
      </c>
      <c r="D71" s="6">
        <v>1</v>
      </c>
      <c r="E71" s="6">
        <v>4</v>
      </c>
      <c r="F71" s="6">
        <v>2</v>
      </c>
      <c r="H71">
        <f>B71-'4 or greater'!B71-'6 or greater'!B71-'8 or greater'!B71-'12 or greater'!B71</f>
        <v>0</v>
      </c>
      <c r="I71">
        <f>C71-'4 or greater'!C71-'6 or greater'!C71-'8 or greater'!C71-'12 or greater'!C71</f>
        <v>1</v>
      </c>
      <c r="J71">
        <f>D71-'4 or greater'!D71-'6 or greater'!D71-'8 or greater'!D71-'12 or greater'!D71</f>
        <v>1</v>
      </c>
      <c r="K71">
        <f>E71-'4 or greater'!E71-'6 or greater'!E71-'8 or greater'!E71-'12 or greater'!E71</f>
        <v>3</v>
      </c>
      <c r="L71">
        <f>F71-'4 or greater'!F71-'6 or greater'!F71-'8 or greater'!F71-'12 or greater'!F71</f>
        <v>2</v>
      </c>
    </row>
    <row r="72" spans="1:12" ht="33.5" thickBot="1" x14ac:dyDescent="0.4">
      <c r="A72" s="7" t="s">
        <v>71</v>
      </c>
      <c r="B72" s="8">
        <v>3</v>
      </c>
      <c r="C72" s="8">
        <v>3</v>
      </c>
      <c r="D72" s="8">
        <v>2</v>
      </c>
      <c r="E72" s="8">
        <v>3</v>
      </c>
      <c r="F72" s="8">
        <v>3</v>
      </c>
      <c r="H72">
        <f>B72-'4 or greater'!B72-'6 or greater'!B72-'8 or greater'!B72-'12 or greater'!B72</f>
        <v>2</v>
      </c>
      <c r="I72">
        <f>C72-'4 or greater'!C72-'6 or greater'!C72-'8 or greater'!C72-'12 or greater'!C72</f>
        <v>1</v>
      </c>
      <c r="J72">
        <f>D72-'4 or greater'!D72-'6 or greater'!D72-'8 or greater'!D72-'12 or greater'!D72</f>
        <v>1</v>
      </c>
      <c r="K72">
        <f>E72-'4 or greater'!E72-'6 or greater'!E72-'8 or greater'!E72-'12 or greater'!E72</f>
        <v>0</v>
      </c>
      <c r="L72">
        <f>F72-'4 or greater'!F72-'6 or greater'!F72-'8 or greater'!F72-'12 or greater'!F72</f>
        <v>-1</v>
      </c>
    </row>
    <row r="73" spans="1:12" ht="33.5" thickBot="1" x14ac:dyDescent="0.4">
      <c r="A73" s="5" t="s">
        <v>72</v>
      </c>
      <c r="B73" s="6">
        <v>1</v>
      </c>
      <c r="C73" s="6">
        <v>4</v>
      </c>
      <c r="D73" s="6">
        <v>2</v>
      </c>
      <c r="E73" s="6">
        <v>1</v>
      </c>
      <c r="F73" s="6">
        <v>7</v>
      </c>
      <c r="H73">
        <f>B73-'4 or greater'!B73-'6 or greater'!B73-'8 or greater'!B73-'12 or greater'!B73</f>
        <v>1</v>
      </c>
      <c r="I73">
        <f>C73-'4 or greater'!C73-'6 or greater'!C73-'8 or greater'!C73-'12 or greater'!C73</f>
        <v>2</v>
      </c>
      <c r="J73">
        <f>D73-'4 or greater'!D73-'6 or greater'!D73-'8 or greater'!D73-'12 or greater'!D73</f>
        <v>2</v>
      </c>
      <c r="K73">
        <f>E73-'4 or greater'!E73-'6 or greater'!E73-'8 or greater'!E73-'12 or greater'!E73</f>
        <v>-1</v>
      </c>
      <c r="L73">
        <f>F73-'4 or greater'!F73-'6 or greater'!F73-'8 or greater'!F73-'12 or greater'!F73</f>
        <v>1</v>
      </c>
    </row>
    <row r="74" spans="1:12" ht="33.5" thickBot="1" x14ac:dyDescent="0.4">
      <c r="A74" s="7" t="s">
        <v>73</v>
      </c>
      <c r="B74" s="8">
        <v>0</v>
      </c>
      <c r="C74" s="8">
        <v>1</v>
      </c>
      <c r="D74" s="8">
        <v>2</v>
      </c>
      <c r="E74" s="8">
        <v>1</v>
      </c>
      <c r="F74" s="8">
        <v>2</v>
      </c>
      <c r="H74">
        <f>B74-'4 or greater'!B74-'6 or greater'!B74-'8 or greater'!B74-'12 or greater'!B74</f>
        <v>0</v>
      </c>
      <c r="I74">
        <f>C74-'4 or greater'!C74-'6 or greater'!C74-'8 or greater'!C74-'12 or greater'!C74</f>
        <v>1</v>
      </c>
      <c r="J74">
        <f>D74-'4 or greater'!D74-'6 or greater'!D74-'8 or greater'!D74-'12 or greater'!D74</f>
        <v>0</v>
      </c>
      <c r="K74">
        <f>E74-'4 or greater'!E74-'6 or greater'!E74-'8 or greater'!E74-'12 or greater'!E74</f>
        <v>-1</v>
      </c>
      <c r="L74">
        <f>F74-'4 or greater'!F74-'6 or greater'!F74-'8 or greater'!F74-'12 or greater'!F74</f>
        <v>2</v>
      </c>
    </row>
    <row r="75" spans="1:12" ht="33.5" thickBot="1" x14ac:dyDescent="0.4">
      <c r="A75" s="5" t="s">
        <v>74</v>
      </c>
      <c r="B75" s="6">
        <v>0</v>
      </c>
      <c r="C75" s="6">
        <v>0</v>
      </c>
      <c r="D75" s="6">
        <v>2</v>
      </c>
      <c r="E75" s="6">
        <v>0</v>
      </c>
      <c r="F75" s="6">
        <v>1</v>
      </c>
      <c r="H75">
        <f>B75-'4 or greater'!B75-'6 or greater'!B75-'8 or greater'!B75-'12 or greater'!B75</f>
        <v>0</v>
      </c>
      <c r="I75">
        <f>C75-'4 or greater'!C75-'6 or greater'!C75-'8 or greater'!C75-'12 or greater'!C75</f>
        <v>0</v>
      </c>
      <c r="J75">
        <f>D75-'4 or greater'!D75-'6 or greater'!D75-'8 or greater'!D75-'12 or greater'!D75</f>
        <v>1</v>
      </c>
      <c r="K75">
        <f>E75-'4 or greater'!E75-'6 or greater'!E75-'8 or greater'!E75-'12 or greater'!E75</f>
        <v>0</v>
      </c>
      <c r="L75">
        <f>F75-'4 or greater'!F75-'6 or greater'!F75-'8 or greater'!F75-'12 or greater'!F75</f>
        <v>-1</v>
      </c>
    </row>
    <row r="76" spans="1:12" ht="33.5" thickBot="1" x14ac:dyDescent="0.4">
      <c r="A76" s="7" t="s">
        <v>75</v>
      </c>
      <c r="B76" s="8">
        <v>4</v>
      </c>
      <c r="C76" s="8">
        <v>1</v>
      </c>
      <c r="D76" s="8">
        <v>0</v>
      </c>
      <c r="E76" s="8">
        <v>2</v>
      </c>
      <c r="F76" s="8">
        <v>1</v>
      </c>
      <c r="H76">
        <f>B76-'4 or greater'!B76-'6 or greater'!B76-'8 or greater'!B76-'12 or greater'!B76</f>
        <v>1</v>
      </c>
      <c r="I76">
        <f>C76-'4 or greater'!C76-'6 or greater'!C76-'8 or greater'!C76-'12 or greater'!C76</f>
        <v>0</v>
      </c>
      <c r="J76">
        <f>D76-'4 or greater'!D76-'6 or greater'!D76-'8 or greater'!D76-'12 or greater'!D76</f>
        <v>0</v>
      </c>
      <c r="K76">
        <f>E76-'4 or greater'!E76-'6 or greater'!E76-'8 or greater'!E76-'12 or greater'!E76</f>
        <v>1</v>
      </c>
      <c r="L76">
        <f>F76-'4 or greater'!F76-'6 or greater'!F76-'8 or greater'!F76-'12 or greater'!F76</f>
        <v>0</v>
      </c>
    </row>
    <row r="77" spans="1:12" ht="33.5" thickBot="1" x14ac:dyDescent="0.4">
      <c r="A77" s="5" t="s">
        <v>76</v>
      </c>
      <c r="B77" s="6">
        <v>1</v>
      </c>
      <c r="C77" s="6">
        <v>0</v>
      </c>
      <c r="D77" s="6">
        <v>2</v>
      </c>
      <c r="E77" s="6">
        <v>0</v>
      </c>
      <c r="F77" s="6">
        <v>0</v>
      </c>
      <c r="H77">
        <f>B77-'4 or greater'!B77-'6 or greater'!B77-'8 or greater'!B77-'12 or greater'!B77</f>
        <v>1</v>
      </c>
      <c r="I77">
        <f>C77-'4 or greater'!C77-'6 or greater'!C77-'8 or greater'!C77-'12 or greater'!C77</f>
        <v>0</v>
      </c>
      <c r="J77">
        <f>D77-'4 or greater'!D77-'6 or greater'!D77-'8 or greater'!D77-'12 or greater'!D77</f>
        <v>2</v>
      </c>
      <c r="K77">
        <f>E77-'4 or greater'!E77-'6 or greater'!E77-'8 or greater'!E77-'12 or greater'!E77</f>
        <v>0</v>
      </c>
      <c r="L77">
        <f>F77-'4 or greater'!F77-'6 or greater'!F77-'8 or greater'!F77-'12 or greater'!F77</f>
        <v>0</v>
      </c>
    </row>
    <row r="78" spans="1:12" ht="33.5" thickBot="1" x14ac:dyDescent="0.4">
      <c r="A78" s="7" t="s">
        <v>77</v>
      </c>
      <c r="B78" s="8">
        <v>0</v>
      </c>
      <c r="C78" s="8">
        <v>1</v>
      </c>
      <c r="D78" s="8">
        <v>0</v>
      </c>
      <c r="E78" s="8">
        <v>2</v>
      </c>
      <c r="F78" s="8">
        <v>0</v>
      </c>
      <c r="H78">
        <f>B78-'4 or greater'!B78-'6 or greater'!B78-'8 or greater'!B78-'12 or greater'!B78</f>
        <v>0</v>
      </c>
      <c r="I78">
        <f>C78-'4 or greater'!C78-'6 or greater'!C78-'8 or greater'!C78-'12 or greater'!C78</f>
        <v>-2</v>
      </c>
      <c r="J78">
        <f>D78-'4 or greater'!D78-'6 or greater'!D78-'8 or greater'!D78-'12 or greater'!D78</f>
        <v>0</v>
      </c>
      <c r="K78">
        <f>E78-'4 or greater'!E78-'6 or greater'!E78-'8 or greater'!E78-'12 or greater'!E78</f>
        <v>1</v>
      </c>
      <c r="L78">
        <f>F78-'4 or greater'!F78-'6 or greater'!F78-'8 or greater'!F78-'12 or greater'!F78</f>
        <v>0</v>
      </c>
    </row>
    <row r="79" spans="1:12" ht="33.5" thickBot="1" x14ac:dyDescent="0.4">
      <c r="A79" s="5" t="s">
        <v>78</v>
      </c>
      <c r="B79" s="6">
        <v>0</v>
      </c>
      <c r="C79" s="6">
        <v>0</v>
      </c>
      <c r="D79" s="6">
        <v>2</v>
      </c>
      <c r="E79" s="6">
        <v>4</v>
      </c>
      <c r="F79" s="6">
        <v>0</v>
      </c>
      <c r="H79">
        <f>B79-'4 or greater'!B79-'6 or greater'!B79-'8 or greater'!B79-'12 or greater'!B79</f>
        <v>0</v>
      </c>
      <c r="I79">
        <f>C79-'4 or greater'!C79-'6 or greater'!C79-'8 or greater'!C79-'12 or greater'!C79</f>
        <v>0</v>
      </c>
      <c r="J79">
        <f>D79-'4 or greater'!D79-'6 or greater'!D79-'8 or greater'!D79-'12 or greater'!D79</f>
        <v>2</v>
      </c>
      <c r="K79">
        <f>E79-'4 or greater'!E79-'6 or greater'!E79-'8 or greater'!E79-'12 or greater'!E79</f>
        <v>4</v>
      </c>
      <c r="L79">
        <f>F79-'4 or greater'!F79-'6 or greater'!F79-'8 or greater'!F79-'12 or greater'!F79</f>
        <v>0</v>
      </c>
    </row>
    <row r="80" spans="1:12" ht="33.5" thickBot="1" x14ac:dyDescent="0.4">
      <c r="A80" s="7" t="s">
        <v>79</v>
      </c>
      <c r="B80" s="8">
        <v>1</v>
      </c>
      <c r="C80" s="8">
        <v>0</v>
      </c>
      <c r="D80" s="8">
        <v>0</v>
      </c>
      <c r="E80" s="8">
        <v>1</v>
      </c>
      <c r="F80" s="8">
        <v>1</v>
      </c>
      <c r="H80">
        <f>B80-'4 or greater'!B80-'6 or greater'!B80-'8 or greater'!B80-'12 or greater'!B80</f>
        <v>-2</v>
      </c>
      <c r="I80">
        <f>C80-'4 or greater'!C80-'6 or greater'!C80-'8 or greater'!C80-'12 or greater'!C80</f>
        <v>0</v>
      </c>
      <c r="J80">
        <f>D80-'4 or greater'!D80-'6 or greater'!D80-'8 or greater'!D80-'12 or greater'!D80</f>
        <v>0</v>
      </c>
      <c r="K80">
        <f>E80-'4 or greater'!E80-'6 or greater'!E80-'8 or greater'!E80-'12 or greater'!E80</f>
        <v>1</v>
      </c>
      <c r="L80">
        <f>F80-'4 or greater'!F80-'6 or greater'!F80-'8 or greater'!F80-'12 or greater'!F80</f>
        <v>1</v>
      </c>
    </row>
    <row r="81" spans="1:12" ht="33.5" thickBot="1" x14ac:dyDescent="0.4">
      <c r="A81" s="5" t="s">
        <v>80</v>
      </c>
      <c r="B81" s="6">
        <v>0</v>
      </c>
      <c r="C81" s="6">
        <v>1</v>
      </c>
      <c r="D81" s="6">
        <v>1</v>
      </c>
      <c r="E81" s="6">
        <v>1</v>
      </c>
      <c r="F81" s="6">
        <v>1</v>
      </c>
      <c r="H81">
        <f>B81-'4 or greater'!B81-'6 or greater'!B81-'8 or greater'!B81-'12 or greater'!B81</f>
        <v>0</v>
      </c>
      <c r="I81">
        <f>C81-'4 or greater'!C81-'6 or greater'!C81-'8 or greater'!C81-'12 or greater'!C81</f>
        <v>1</v>
      </c>
      <c r="J81">
        <f>D81-'4 or greater'!D81-'6 or greater'!D81-'8 or greater'!D81-'12 or greater'!D81</f>
        <v>1</v>
      </c>
      <c r="K81">
        <f>E81-'4 or greater'!E81-'6 or greater'!E81-'8 or greater'!E81-'12 or greater'!E81</f>
        <v>1</v>
      </c>
      <c r="L81">
        <f>F81-'4 or greater'!F81-'6 or greater'!F81-'8 or greater'!F81-'12 or greater'!F81</f>
        <v>-2</v>
      </c>
    </row>
    <row r="82" spans="1:12" ht="33.5" thickBot="1" x14ac:dyDescent="0.4">
      <c r="A82" s="7" t="s">
        <v>81</v>
      </c>
      <c r="B82" s="8">
        <v>1</v>
      </c>
      <c r="C82" s="8">
        <v>1</v>
      </c>
      <c r="D82" s="8">
        <v>0</v>
      </c>
      <c r="E82" s="8">
        <v>0</v>
      </c>
      <c r="F82" s="8">
        <v>1</v>
      </c>
      <c r="H82">
        <f>B82-'4 or greater'!B82-'6 or greater'!B82-'8 or greater'!B82-'12 or greater'!B82</f>
        <v>1</v>
      </c>
      <c r="I82">
        <f>C82-'4 or greater'!C82-'6 or greater'!C82-'8 or greater'!C82-'12 or greater'!C82</f>
        <v>0</v>
      </c>
      <c r="J82">
        <f>D82-'4 or greater'!D82-'6 or greater'!D82-'8 or greater'!D82-'12 or greater'!D82</f>
        <v>0</v>
      </c>
      <c r="K82">
        <f>E82-'4 or greater'!E82-'6 or greater'!E82-'8 or greater'!E82-'12 or greater'!E82</f>
        <v>0</v>
      </c>
      <c r="L82">
        <f>F82-'4 or greater'!F82-'6 or greater'!F82-'8 or greater'!F82-'12 or greater'!F82</f>
        <v>1</v>
      </c>
    </row>
    <row r="83" spans="1:12" ht="33.5" thickBot="1" x14ac:dyDescent="0.4">
      <c r="A83" s="5" t="s">
        <v>82</v>
      </c>
      <c r="B83" s="6">
        <v>4</v>
      </c>
      <c r="C83" s="6">
        <v>2</v>
      </c>
      <c r="D83" s="6">
        <v>0</v>
      </c>
      <c r="E83" s="6">
        <v>1</v>
      </c>
      <c r="F83" s="6">
        <v>1</v>
      </c>
      <c r="H83">
        <f>B83-'4 or greater'!B83-'6 or greater'!B83-'8 or greater'!B83-'12 or greater'!B83</f>
        <v>-3</v>
      </c>
      <c r="I83">
        <f>C83-'4 or greater'!C83-'6 or greater'!C83-'8 or greater'!C83-'12 or greater'!C83</f>
        <v>1</v>
      </c>
      <c r="J83">
        <f>D83-'4 or greater'!D83-'6 or greater'!D83-'8 or greater'!D83-'12 or greater'!D83</f>
        <v>0</v>
      </c>
      <c r="K83">
        <f>E83-'4 or greater'!E83-'6 or greater'!E83-'8 or greater'!E83-'12 or greater'!E83</f>
        <v>1</v>
      </c>
      <c r="L83">
        <f>F83-'4 or greater'!F83-'6 or greater'!F83-'8 or greater'!F83-'12 or greater'!F83</f>
        <v>1</v>
      </c>
    </row>
    <row r="84" spans="1:12" ht="33.5" thickBot="1" x14ac:dyDescent="0.4">
      <c r="A84" s="7" t="s">
        <v>83</v>
      </c>
      <c r="B84" s="8">
        <v>0</v>
      </c>
      <c r="C84" s="8">
        <v>1</v>
      </c>
      <c r="D84" s="8">
        <v>1</v>
      </c>
      <c r="E84" s="8">
        <v>2</v>
      </c>
      <c r="F84" s="8">
        <v>4</v>
      </c>
      <c r="H84">
        <f>B84-'4 or greater'!B84-'6 or greater'!B84-'8 or greater'!B84-'12 or greater'!B84</f>
        <v>0</v>
      </c>
      <c r="I84">
        <f>C84-'4 or greater'!C84-'6 or greater'!C84-'8 or greater'!C84-'12 or greater'!C84</f>
        <v>0</v>
      </c>
      <c r="J84">
        <f>D84-'4 or greater'!D84-'6 or greater'!D84-'8 or greater'!D84-'12 or greater'!D84</f>
        <v>1</v>
      </c>
      <c r="K84">
        <f>E84-'4 or greater'!E84-'6 or greater'!E84-'8 or greater'!E84-'12 or greater'!E84</f>
        <v>2</v>
      </c>
      <c r="L84">
        <f>F84-'4 or greater'!F84-'6 or greater'!F84-'8 or greater'!F84-'12 or greater'!F84</f>
        <v>-1</v>
      </c>
    </row>
    <row r="85" spans="1:12" ht="33.5" thickBot="1" x14ac:dyDescent="0.4">
      <c r="A85" s="5" t="s">
        <v>84</v>
      </c>
      <c r="B85" s="6">
        <v>0</v>
      </c>
      <c r="C85" s="6">
        <v>1</v>
      </c>
      <c r="D85" s="6">
        <v>1</v>
      </c>
      <c r="E85" s="6">
        <v>1</v>
      </c>
      <c r="F85" s="6">
        <v>1</v>
      </c>
      <c r="H85">
        <f>B85-'4 or greater'!B85-'6 or greater'!B85-'8 or greater'!B85-'12 or greater'!B85</f>
        <v>0</v>
      </c>
      <c r="I85">
        <f>C85-'4 or greater'!C85-'6 or greater'!C85-'8 or greater'!C85-'12 or greater'!C85</f>
        <v>1</v>
      </c>
      <c r="J85">
        <f>D85-'4 or greater'!D85-'6 or greater'!D85-'8 or greater'!D85-'12 or greater'!D85</f>
        <v>1</v>
      </c>
      <c r="K85">
        <f>E85-'4 or greater'!E85-'6 or greater'!E85-'8 or greater'!E85-'12 or greater'!E85</f>
        <v>-2</v>
      </c>
      <c r="L85">
        <f>F85-'4 or greater'!F85-'6 or greater'!F85-'8 or greater'!F85-'12 or greater'!F85</f>
        <v>1</v>
      </c>
    </row>
    <row r="86" spans="1:12" ht="33.5" thickBot="1" x14ac:dyDescent="0.4">
      <c r="A86" s="7" t="s">
        <v>85</v>
      </c>
      <c r="B86" s="8">
        <v>0</v>
      </c>
      <c r="C86" s="8">
        <v>0</v>
      </c>
      <c r="D86" s="8">
        <v>2</v>
      </c>
      <c r="E86" s="8">
        <v>2</v>
      </c>
      <c r="F86" s="8">
        <v>1</v>
      </c>
      <c r="H86">
        <f>B86-'4 or greater'!B86-'6 or greater'!B86-'8 or greater'!B86-'12 or greater'!B86</f>
        <v>0</v>
      </c>
      <c r="I86">
        <f>C86-'4 or greater'!C86-'6 or greater'!C86-'8 or greater'!C86-'12 or greater'!C86</f>
        <v>0</v>
      </c>
      <c r="J86">
        <f>D86-'4 or greater'!D86-'6 or greater'!D86-'8 or greater'!D86-'12 or greater'!D86</f>
        <v>2</v>
      </c>
      <c r="K86">
        <f>E86-'4 or greater'!E86-'6 or greater'!E86-'8 or greater'!E86-'12 or greater'!E86</f>
        <v>2</v>
      </c>
      <c r="L86">
        <f>F86-'4 or greater'!F86-'6 or greater'!F86-'8 or greater'!F86-'12 or greater'!F86</f>
        <v>0</v>
      </c>
    </row>
    <row r="87" spans="1:12" ht="33.5" thickBot="1" x14ac:dyDescent="0.4">
      <c r="A87" s="5" t="s">
        <v>86</v>
      </c>
      <c r="B87" s="6">
        <v>0</v>
      </c>
      <c r="C87" s="6">
        <v>2</v>
      </c>
      <c r="D87" s="6">
        <v>3</v>
      </c>
      <c r="E87" s="6">
        <v>2</v>
      </c>
      <c r="F87" s="6">
        <v>1</v>
      </c>
      <c r="H87">
        <f>B87-'4 or greater'!B87-'6 or greater'!B87-'8 or greater'!B87-'12 or greater'!B87</f>
        <v>0</v>
      </c>
      <c r="I87">
        <f>C87-'4 or greater'!C87-'6 or greater'!C87-'8 or greater'!C87-'12 or greater'!C87</f>
        <v>2</v>
      </c>
      <c r="J87">
        <f>D87-'4 or greater'!D87-'6 or greater'!D87-'8 or greater'!D87-'12 or greater'!D87</f>
        <v>2</v>
      </c>
      <c r="K87">
        <f>E87-'4 or greater'!E87-'6 or greater'!E87-'8 or greater'!E87-'12 or greater'!E87</f>
        <v>2</v>
      </c>
      <c r="L87">
        <f>F87-'4 or greater'!F87-'6 or greater'!F87-'8 or greater'!F87-'12 or greater'!F87</f>
        <v>0</v>
      </c>
    </row>
    <row r="88" spans="1:12" ht="33.5" thickBot="1" x14ac:dyDescent="0.4">
      <c r="A88" s="7" t="s">
        <v>87</v>
      </c>
      <c r="B88" s="8">
        <v>0</v>
      </c>
      <c r="C88" s="8">
        <v>1</v>
      </c>
      <c r="D88" s="8">
        <v>1</v>
      </c>
      <c r="E88" s="8">
        <v>4</v>
      </c>
      <c r="F88" s="8">
        <v>2</v>
      </c>
      <c r="H88">
        <f>B88-'4 or greater'!B88-'6 or greater'!B88-'8 or greater'!B88-'12 or greater'!B88</f>
        <v>0</v>
      </c>
      <c r="I88">
        <f>C88-'4 or greater'!C88-'6 or greater'!C88-'8 or greater'!C88-'12 or greater'!C88</f>
        <v>1</v>
      </c>
      <c r="J88">
        <f>D88-'4 or greater'!D88-'6 or greater'!D88-'8 or greater'!D88-'12 or greater'!D88</f>
        <v>1</v>
      </c>
      <c r="K88">
        <f>E88-'4 or greater'!E88-'6 or greater'!E88-'8 or greater'!E88-'12 or greater'!E88</f>
        <v>1</v>
      </c>
      <c r="L88">
        <f>F88-'4 or greater'!F88-'6 or greater'!F88-'8 or greater'!F88-'12 or greater'!F88</f>
        <v>-1</v>
      </c>
    </row>
    <row r="89" spans="1:12" ht="33.5" thickBot="1" x14ac:dyDescent="0.4">
      <c r="A89" s="5" t="s">
        <v>88</v>
      </c>
      <c r="B89" s="6">
        <v>1</v>
      </c>
      <c r="C89" s="6">
        <v>2</v>
      </c>
      <c r="D89" s="6">
        <v>4</v>
      </c>
      <c r="E89" s="6">
        <v>0</v>
      </c>
      <c r="F89" s="6">
        <v>1</v>
      </c>
      <c r="H89">
        <f>B89-'4 or greater'!B89-'6 or greater'!B89-'8 or greater'!B89-'12 or greater'!B89</f>
        <v>-2</v>
      </c>
      <c r="I89">
        <f>C89-'4 or greater'!C89-'6 or greater'!C89-'8 or greater'!C89-'12 or greater'!C89</f>
        <v>0</v>
      </c>
      <c r="J89">
        <f>D89-'4 or greater'!D89-'6 or greater'!D89-'8 or greater'!D89-'12 or greater'!D89</f>
        <v>3</v>
      </c>
      <c r="K89">
        <f>E89-'4 or greater'!E89-'6 or greater'!E89-'8 or greater'!E89-'12 or greater'!E89</f>
        <v>0</v>
      </c>
      <c r="L89">
        <f>F89-'4 or greater'!F89-'6 or greater'!F89-'8 or greater'!F89-'12 or greater'!F89</f>
        <v>1</v>
      </c>
    </row>
    <row r="90" spans="1:12" ht="33.5" thickBot="1" x14ac:dyDescent="0.4">
      <c r="A90" s="7" t="s">
        <v>89</v>
      </c>
      <c r="B90" s="8">
        <v>1</v>
      </c>
      <c r="C90" s="8">
        <v>1</v>
      </c>
      <c r="D90" s="8">
        <v>1</v>
      </c>
      <c r="E90" s="8">
        <v>0</v>
      </c>
      <c r="F90" s="8">
        <v>2</v>
      </c>
      <c r="H90">
        <f>B90-'4 or greater'!B90-'6 or greater'!B90-'8 or greater'!B90-'12 or greater'!B90</f>
        <v>1</v>
      </c>
      <c r="I90">
        <f>C90-'4 or greater'!C90-'6 or greater'!C90-'8 or greater'!C90-'12 or greater'!C90</f>
        <v>1</v>
      </c>
      <c r="J90">
        <f>D90-'4 or greater'!D90-'6 or greater'!D90-'8 or greater'!D90-'12 or greater'!D90</f>
        <v>1</v>
      </c>
      <c r="K90">
        <f>E90-'4 or greater'!E90-'6 or greater'!E90-'8 or greater'!E90-'12 or greater'!E90</f>
        <v>0</v>
      </c>
      <c r="L90">
        <f>F90-'4 or greater'!F90-'6 or greater'!F90-'8 or greater'!F90-'12 or greater'!F90</f>
        <v>2</v>
      </c>
    </row>
    <row r="91" spans="1:12" ht="33.5" thickBot="1" x14ac:dyDescent="0.4">
      <c r="A91" s="5" t="s">
        <v>90</v>
      </c>
      <c r="B91" s="6">
        <v>0</v>
      </c>
      <c r="C91" s="6">
        <v>2</v>
      </c>
      <c r="D91" s="6">
        <v>0</v>
      </c>
      <c r="E91" s="6">
        <v>2</v>
      </c>
      <c r="F91" s="6">
        <v>2</v>
      </c>
      <c r="H91">
        <f>B91-'4 or greater'!B91-'6 or greater'!B91-'8 or greater'!B91-'12 or greater'!B91</f>
        <v>0</v>
      </c>
      <c r="I91">
        <f>C91-'4 or greater'!C91-'6 or greater'!C91-'8 or greater'!C91-'12 or greater'!C91</f>
        <v>-1</v>
      </c>
      <c r="J91">
        <f>D91-'4 or greater'!D91-'6 or greater'!D91-'8 or greater'!D91-'12 or greater'!D91</f>
        <v>0</v>
      </c>
      <c r="K91">
        <f>E91-'4 or greater'!E91-'6 or greater'!E91-'8 or greater'!E91-'12 or greater'!E91</f>
        <v>1</v>
      </c>
      <c r="L91">
        <f>F91-'4 or greater'!F91-'6 or greater'!F91-'8 or greater'!F91-'12 or greater'!F91</f>
        <v>2</v>
      </c>
    </row>
    <row r="92" spans="1:12" ht="33.5" thickBot="1" x14ac:dyDescent="0.4">
      <c r="A92" s="7" t="s">
        <v>91</v>
      </c>
      <c r="B92" s="8">
        <v>0</v>
      </c>
      <c r="C92" s="8">
        <v>0</v>
      </c>
      <c r="D92" s="8">
        <v>3</v>
      </c>
      <c r="E92" s="8">
        <v>2</v>
      </c>
      <c r="F92" s="8">
        <v>2</v>
      </c>
      <c r="H92">
        <f>B92-'4 or greater'!B92-'6 or greater'!B92-'8 or greater'!B92-'12 or greater'!B92</f>
        <v>0</v>
      </c>
      <c r="I92">
        <f>C92-'4 or greater'!C92-'6 or greater'!C92-'8 or greater'!C92-'12 or greater'!C92</f>
        <v>0</v>
      </c>
      <c r="J92">
        <f>D92-'4 or greater'!D92-'6 or greater'!D92-'8 or greater'!D92-'12 or greater'!D92</f>
        <v>1</v>
      </c>
      <c r="K92">
        <f>E92-'4 or greater'!E92-'6 or greater'!E92-'8 or greater'!E92-'12 or greater'!E92</f>
        <v>2</v>
      </c>
      <c r="L92">
        <f>F92-'4 or greater'!F92-'6 or greater'!F92-'8 or greater'!F92-'12 or greater'!F92</f>
        <v>1</v>
      </c>
    </row>
    <row r="93" spans="1:12" ht="33.5" thickBot="1" x14ac:dyDescent="0.4">
      <c r="A93" s="5" t="s">
        <v>92</v>
      </c>
      <c r="B93" s="6">
        <v>1</v>
      </c>
      <c r="C93" s="6">
        <v>0</v>
      </c>
      <c r="D93" s="6">
        <v>0</v>
      </c>
      <c r="E93" s="6">
        <v>2</v>
      </c>
      <c r="F93" s="6">
        <v>0</v>
      </c>
      <c r="H93">
        <f>B93-'4 or greater'!B93-'6 or greater'!B93-'8 or greater'!B93-'12 or greater'!B93</f>
        <v>1</v>
      </c>
      <c r="I93">
        <f>C93-'4 or greater'!C93-'6 or greater'!C93-'8 or greater'!C93-'12 or greater'!C93</f>
        <v>0</v>
      </c>
      <c r="J93">
        <f>D93-'4 or greater'!D93-'6 or greater'!D93-'8 or greater'!D93-'12 or greater'!D93</f>
        <v>0</v>
      </c>
      <c r="K93">
        <f>E93-'4 or greater'!E93-'6 or greater'!E93-'8 or greater'!E93-'12 or greater'!E93</f>
        <v>1</v>
      </c>
      <c r="L93">
        <f>F93-'4 or greater'!F93-'6 or greater'!F93-'8 or greater'!F93-'12 or greater'!F93</f>
        <v>0</v>
      </c>
    </row>
    <row r="94" spans="1:12" ht="33.5" thickBot="1" x14ac:dyDescent="0.4">
      <c r="A94" s="7" t="s">
        <v>93</v>
      </c>
      <c r="B94" s="8">
        <v>0</v>
      </c>
      <c r="C94" s="8">
        <v>1</v>
      </c>
      <c r="D94" s="8">
        <v>2</v>
      </c>
      <c r="E94" s="8">
        <v>1</v>
      </c>
      <c r="F94" s="8">
        <v>0</v>
      </c>
      <c r="H94">
        <f>B94-'4 or greater'!B94-'6 or greater'!B94-'8 or greater'!B94-'12 or greater'!B94</f>
        <v>0</v>
      </c>
      <c r="I94">
        <f>C94-'4 or greater'!C94-'6 or greater'!C94-'8 or greater'!C94-'12 or greater'!C94</f>
        <v>1</v>
      </c>
      <c r="J94">
        <f>D94-'4 or greater'!D94-'6 or greater'!D94-'8 or greater'!D94-'12 or greater'!D94</f>
        <v>1</v>
      </c>
      <c r="K94">
        <f>E94-'4 or greater'!E94-'6 or greater'!E94-'8 or greater'!E94-'12 or greater'!E94</f>
        <v>1</v>
      </c>
      <c r="L94">
        <f>F94-'4 or greater'!F94-'6 or greater'!F94-'8 or greater'!F94-'12 or greater'!F94</f>
        <v>0</v>
      </c>
    </row>
    <row r="95" spans="1:12" ht="33.5" thickBot="1" x14ac:dyDescent="0.4">
      <c r="A95" s="5" t="s">
        <v>94</v>
      </c>
      <c r="B95" s="6">
        <v>0</v>
      </c>
      <c r="C95" s="6">
        <v>0</v>
      </c>
      <c r="D95" s="6">
        <v>3</v>
      </c>
      <c r="E95" s="6">
        <v>2</v>
      </c>
      <c r="F95" s="6">
        <v>2</v>
      </c>
      <c r="H95">
        <f>B95-'4 or greater'!B95-'6 or greater'!B95-'8 or greater'!B95-'12 or greater'!B95</f>
        <v>0</v>
      </c>
      <c r="I95">
        <f>C95-'4 or greater'!C95-'6 or greater'!C95-'8 or greater'!C95-'12 or greater'!C95</f>
        <v>0</v>
      </c>
      <c r="J95">
        <f>D95-'4 or greater'!D95-'6 or greater'!D95-'8 or greater'!D95-'12 or greater'!D95</f>
        <v>2</v>
      </c>
      <c r="K95">
        <f>E95-'4 or greater'!E95-'6 or greater'!E95-'8 or greater'!E95-'12 or greater'!E95</f>
        <v>1</v>
      </c>
      <c r="L95">
        <f>F95-'4 or greater'!F95-'6 or greater'!F95-'8 or greater'!F95-'12 or greater'!F95</f>
        <v>2</v>
      </c>
    </row>
    <row r="96" spans="1:12" ht="33.5" thickBot="1" x14ac:dyDescent="0.4">
      <c r="A96" s="7" t="s">
        <v>95</v>
      </c>
      <c r="B96" s="8">
        <v>1</v>
      </c>
      <c r="C96" s="8">
        <v>3</v>
      </c>
      <c r="D96" s="8">
        <v>1</v>
      </c>
      <c r="E96" s="8">
        <v>0</v>
      </c>
      <c r="F96" s="8">
        <v>1</v>
      </c>
      <c r="H96">
        <f>B96-'4 or greater'!B96-'6 or greater'!B96-'8 or greater'!B96-'12 or greater'!B96</f>
        <v>1</v>
      </c>
      <c r="I96">
        <f>C96-'4 or greater'!C96-'6 or greater'!C96-'8 or greater'!C96-'12 or greater'!C96</f>
        <v>0</v>
      </c>
      <c r="J96">
        <f>D96-'4 or greater'!D96-'6 or greater'!D96-'8 or greater'!D96-'12 or greater'!D96</f>
        <v>1</v>
      </c>
      <c r="K96">
        <f>E96-'4 or greater'!E96-'6 or greater'!E96-'8 or greater'!E96-'12 or greater'!E96</f>
        <v>0</v>
      </c>
      <c r="L96">
        <f>F96-'4 or greater'!F96-'6 or greater'!F96-'8 or greater'!F96-'12 or greater'!F96</f>
        <v>0</v>
      </c>
    </row>
    <row r="97" spans="1:12" ht="33.5" thickBot="1" x14ac:dyDescent="0.4">
      <c r="A97" s="5" t="s">
        <v>96</v>
      </c>
      <c r="B97" s="6">
        <v>0</v>
      </c>
      <c r="C97" s="6">
        <v>4</v>
      </c>
      <c r="D97" s="6">
        <v>0</v>
      </c>
      <c r="E97" s="6">
        <v>0</v>
      </c>
      <c r="F97" s="6">
        <v>1</v>
      </c>
      <c r="H97">
        <f>B97-'4 or greater'!B97-'6 or greater'!B97-'8 or greater'!B97-'12 or greater'!B97</f>
        <v>0</v>
      </c>
      <c r="I97">
        <f>C97-'4 or greater'!C97-'6 or greater'!C97-'8 or greater'!C97-'12 or greater'!C97</f>
        <v>4</v>
      </c>
      <c r="J97">
        <f>D97-'4 or greater'!D97-'6 or greater'!D97-'8 or greater'!D97-'12 or greater'!D97</f>
        <v>0</v>
      </c>
      <c r="K97">
        <f>E97-'4 or greater'!E97-'6 or greater'!E97-'8 or greater'!E97-'12 or greater'!E97</f>
        <v>0</v>
      </c>
      <c r="L97">
        <f>F97-'4 or greater'!F97-'6 or greater'!F97-'8 or greater'!F97-'12 or greater'!F97</f>
        <v>1</v>
      </c>
    </row>
    <row r="98" spans="1:12" ht="33.5" thickBot="1" x14ac:dyDescent="0.4">
      <c r="A98" s="7" t="s">
        <v>97</v>
      </c>
      <c r="B98" s="8">
        <v>1</v>
      </c>
      <c r="C98" s="8">
        <v>0</v>
      </c>
      <c r="D98" s="8">
        <v>1</v>
      </c>
      <c r="E98" s="8">
        <v>0</v>
      </c>
      <c r="F98" s="8">
        <v>3</v>
      </c>
      <c r="H98">
        <f>B98-'4 or greater'!B98-'6 or greater'!B98-'8 or greater'!B98-'12 or greater'!B98</f>
        <v>1</v>
      </c>
      <c r="I98">
        <f>C98-'4 or greater'!C98-'6 or greater'!C98-'8 or greater'!C98-'12 or greater'!C98</f>
        <v>0</v>
      </c>
      <c r="J98">
        <f>D98-'4 or greater'!D98-'6 or greater'!D98-'8 or greater'!D98-'12 or greater'!D98</f>
        <v>0</v>
      </c>
      <c r="K98">
        <f>E98-'4 or greater'!E98-'6 or greater'!E98-'8 or greater'!E98-'12 or greater'!E98</f>
        <v>0</v>
      </c>
      <c r="L98">
        <f>F98-'4 or greater'!F98-'6 or greater'!F98-'8 or greater'!F98-'12 or greater'!F98</f>
        <v>2</v>
      </c>
    </row>
    <row r="99" spans="1:12" ht="33.5" thickBot="1" x14ac:dyDescent="0.4">
      <c r="A99" s="5" t="s">
        <v>98</v>
      </c>
      <c r="B99" s="6">
        <v>1</v>
      </c>
      <c r="C99" s="6">
        <v>3</v>
      </c>
      <c r="D99" s="6">
        <v>1</v>
      </c>
      <c r="E99" s="6">
        <v>0</v>
      </c>
      <c r="F99" s="6">
        <v>0</v>
      </c>
      <c r="H99">
        <f>B99-'4 or greater'!B99-'6 or greater'!B99-'8 or greater'!B99-'12 or greater'!B99</f>
        <v>1</v>
      </c>
      <c r="I99">
        <f>C99-'4 or greater'!C99-'6 or greater'!C99-'8 or greater'!C99-'12 or greater'!C99</f>
        <v>2</v>
      </c>
      <c r="J99">
        <f>D99-'4 or greater'!D99-'6 or greater'!D99-'8 or greater'!D99-'12 or greater'!D99</f>
        <v>1</v>
      </c>
      <c r="K99">
        <f>E99-'4 or greater'!E99-'6 or greater'!E99-'8 or greater'!E99-'12 or greater'!E99</f>
        <v>0</v>
      </c>
      <c r="L99">
        <f>F99-'4 or greater'!F99-'6 or greater'!F99-'8 or greater'!F99-'12 or greater'!F99</f>
        <v>0</v>
      </c>
    </row>
    <row r="100" spans="1:12" ht="33.5" thickBot="1" x14ac:dyDescent="0.4">
      <c r="A100" s="7" t="s">
        <v>99</v>
      </c>
      <c r="B100" s="8">
        <v>0</v>
      </c>
      <c r="C100" s="8">
        <v>0</v>
      </c>
      <c r="D100" s="8">
        <v>1</v>
      </c>
      <c r="E100" s="8">
        <v>0</v>
      </c>
      <c r="F100" s="8">
        <v>1</v>
      </c>
      <c r="H100">
        <f>B100-'4 or greater'!B100-'6 or greater'!B100-'8 or greater'!B100-'12 or greater'!B100</f>
        <v>0</v>
      </c>
      <c r="I100">
        <f>C100-'4 or greater'!C100-'6 or greater'!C100-'8 or greater'!C100-'12 or greater'!C100</f>
        <v>0</v>
      </c>
      <c r="J100">
        <f>D100-'4 or greater'!D100-'6 or greater'!D100-'8 or greater'!D100-'12 or greater'!D100</f>
        <v>1</v>
      </c>
      <c r="K100">
        <f>E100-'4 or greater'!E100-'6 or greater'!E100-'8 or greater'!E100-'12 or greater'!E100</f>
        <v>0</v>
      </c>
      <c r="L100">
        <f>F100-'4 or greater'!F100-'6 or greater'!F100-'8 or greater'!F100-'12 or greater'!F100</f>
        <v>-2</v>
      </c>
    </row>
    <row r="101" spans="1:12" ht="33.5" thickBot="1" x14ac:dyDescent="0.4">
      <c r="A101" s="5" t="s">
        <v>100</v>
      </c>
      <c r="B101" s="6">
        <v>0</v>
      </c>
      <c r="C101" s="6">
        <v>0</v>
      </c>
      <c r="D101" s="6">
        <v>2</v>
      </c>
      <c r="E101" s="6">
        <v>0</v>
      </c>
      <c r="F101" s="6">
        <v>1</v>
      </c>
      <c r="H101">
        <f>B101-'4 or greater'!B101-'6 or greater'!B101-'8 or greater'!B101-'12 or greater'!B101</f>
        <v>0</v>
      </c>
      <c r="I101">
        <f>C101-'4 or greater'!C101-'6 or greater'!C101-'8 or greater'!C101-'12 or greater'!C101</f>
        <v>0</v>
      </c>
      <c r="J101">
        <f>D101-'4 or greater'!D101-'6 or greater'!D101-'8 or greater'!D101-'12 or greater'!D101</f>
        <v>1</v>
      </c>
      <c r="K101">
        <f>E101-'4 or greater'!E101-'6 or greater'!E101-'8 or greater'!E101-'12 or greater'!E101</f>
        <v>0</v>
      </c>
      <c r="L101">
        <f>F101-'4 or greater'!F101-'6 or greater'!F101-'8 or greater'!F101-'12 or greater'!F101</f>
        <v>1</v>
      </c>
    </row>
    <row r="102" spans="1:12" ht="33.5" thickBot="1" x14ac:dyDescent="0.4">
      <c r="A102" s="7" t="s">
        <v>101</v>
      </c>
      <c r="B102" s="8">
        <v>4</v>
      </c>
      <c r="C102" s="8">
        <v>1</v>
      </c>
      <c r="D102" s="8">
        <v>1</v>
      </c>
      <c r="E102" s="8">
        <v>2</v>
      </c>
      <c r="F102" s="8">
        <v>0</v>
      </c>
      <c r="H102">
        <f>B102-'4 or greater'!B102-'6 or greater'!B102-'8 or greater'!B102-'12 or greater'!B102</f>
        <v>3</v>
      </c>
      <c r="I102">
        <f>C102-'4 or greater'!C102-'6 or greater'!C102-'8 or greater'!C102-'12 or greater'!C102</f>
        <v>1</v>
      </c>
      <c r="J102">
        <f>D102-'4 or greater'!D102-'6 or greater'!D102-'8 or greater'!D102-'12 or greater'!D102</f>
        <v>1</v>
      </c>
      <c r="K102">
        <f>E102-'4 or greater'!E102-'6 or greater'!E102-'8 or greater'!E102-'12 or greater'!E102</f>
        <v>0</v>
      </c>
      <c r="L102">
        <f>F102-'4 or greater'!F102-'6 or greater'!F102-'8 or greater'!F102-'12 or greater'!F102</f>
        <v>0</v>
      </c>
    </row>
    <row r="103" spans="1:12" ht="33.5" thickBot="1" x14ac:dyDescent="0.4">
      <c r="A103" s="5" t="s">
        <v>102</v>
      </c>
      <c r="B103" s="6">
        <v>0</v>
      </c>
      <c r="C103" s="6">
        <v>2</v>
      </c>
      <c r="D103" s="6">
        <v>1</v>
      </c>
      <c r="E103" s="6">
        <v>1</v>
      </c>
      <c r="F103" s="6">
        <v>0</v>
      </c>
      <c r="H103">
        <f>B103-'4 or greater'!B103-'6 or greater'!B103-'8 or greater'!B103-'12 or greater'!B103</f>
        <v>0</v>
      </c>
      <c r="I103">
        <f>C103-'4 or greater'!C103-'6 or greater'!C103-'8 or greater'!C103-'12 or greater'!C103</f>
        <v>1</v>
      </c>
      <c r="J103">
        <f>D103-'4 or greater'!D103-'6 or greater'!D103-'8 or greater'!D103-'12 or greater'!D103</f>
        <v>1</v>
      </c>
      <c r="K103">
        <f>E103-'4 or greater'!E103-'6 or greater'!E103-'8 or greater'!E103-'12 or greater'!E103</f>
        <v>1</v>
      </c>
      <c r="L103">
        <f>F103-'4 or greater'!F103-'6 or greater'!F103-'8 or greater'!F103-'12 or greater'!F103</f>
        <v>0</v>
      </c>
    </row>
    <row r="104" spans="1:12" ht="33.5" thickBot="1" x14ac:dyDescent="0.4">
      <c r="A104" s="7" t="s">
        <v>103</v>
      </c>
      <c r="B104" s="8">
        <v>2</v>
      </c>
      <c r="C104" s="8">
        <v>3</v>
      </c>
      <c r="D104" s="8">
        <v>5</v>
      </c>
      <c r="E104" s="8">
        <v>1</v>
      </c>
      <c r="F104" s="8">
        <v>3</v>
      </c>
      <c r="H104">
        <f>B104-'4 or greater'!B104-'6 or greater'!B104-'8 or greater'!B104-'12 or greater'!B104</f>
        <v>2</v>
      </c>
      <c r="I104">
        <f>C104-'4 or greater'!C104-'6 or greater'!C104-'8 or greater'!C104-'12 or greater'!C104</f>
        <v>3</v>
      </c>
      <c r="J104">
        <f>D104-'4 or greater'!D104-'6 or greater'!D104-'8 or greater'!D104-'12 or greater'!D104</f>
        <v>5</v>
      </c>
      <c r="K104">
        <f>E104-'4 or greater'!E104-'6 or greater'!E104-'8 or greater'!E104-'12 or greater'!E104</f>
        <v>1</v>
      </c>
      <c r="L104">
        <f>F104-'4 or greater'!F104-'6 or greater'!F104-'8 or greater'!F104-'12 or greater'!F104</f>
        <v>1</v>
      </c>
    </row>
    <row r="105" spans="1:12" ht="33.5" thickBot="1" x14ac:dyDescent="0.4">
      <c r="A105" s="5" t="s">
        <v>104</v>
      </c>
      <c r="B105" s="6">
        <v>0</v>
      </c>
      <c r="C105" s="6">
        <v>0</v>
      </c>
      <c r="D105" s="6">
        <v>0</v>
      </c>
      <c r="E105" s="6">
        <v>2</v>
      </c>
      <c r="F105" s="6">
        <v>0</v>
      </c>
      <c r="H105">
        <f>B105-'4 or greater'!B105-'6 or greater'!B105-'8 or greater'!B105-'12 or greater'!B105</f>
        <v>0</v>
      </c>
      <c r="I105">
        <f>C105-'4 or greater'!C105-'6 or greater'!C105-'8 or greater'!C105-'12 or greater'!C105</f>
        <v>0</v>
      </c>
      <c r="J105">
        <f>D105-'4 or greater'!D105-'6 or greater'!D105-'8 or greater'!D105-'12 or greater'!D105</f>
        <v>0</v>
      </c>
      <c r="K105">
        <f>E105-'4 or greater'!E105-'6 or greater'!E105-'8 or greater'!E105-'12 or greater'!E105</f>
        <v>2</v>
      </c>
      <c r="L105">
        <f>F105-'4 or greater'!F105-'6 or greater'!F105-'8 or greater'!F105-'12 or greater'!F105</f>
        <v>0</v>
      </c>
    </row>
    <row r="106" spans="1:12" ht="33.5" thickBot="1" x14ac:dyDescent="0.4">
      <c r="A106" s="7" t="s">
        <v>105</v>
      </c>
      <c r="B106" s="8">
        <v>0</v>
      </c>
      <c r="C106" s="8">
        <v>1</v>
      </c>
      <c r="D106" s="8">
        <v>0</v>
      </c>
      <c r="E106" s="8">
        <v>1</v>
      </c>
      <c r="F106" s="8">
        <v>1</v>
      </c>
      <c r="H106">
        <f>B106-'4 or greater'!B106-'6 or greater'!B106-'8 or greater'!B106-'12 or greater'!B106</f>
        <v>0</v>
      </c>
      <c r="I106">
        <f>C106-'4 or greater'!C106-'6 or greater'!C106-'8 or greater'!C106-'12 or greater'!C106</f>
        <v>1</v>
      </c>
      <c r="J106">
        <f>D106-'4 or greater'!D106-'6 or greater'!D106-'8 or greater'!D106-'12 or greater'!D106</f>
        <v>0</v>
      </c>
      <c r="K106">
        <f>E106-'4 or greater'!E106-'6 or greater'!E106-'8 or greater'!E106-'12 or greater'!E106</f>
        <v>1</v>
      </c>
      <c r="L106">
        <f>F106-'4 or greater'!F106-'6 or greater'!F106-'8 or greater'!F106-'12 or greater'!F106</f>
        <v>-2</v>
      </c>
    </row>
    <row r="107" spans="1:12" ht="33.5" thickBot="1" x14ac:dyDescent="0.4">
      <c r="A107" s="5" t="s">
        <v>106</v>
      </c>
      <c r="B107" s="6">
        <v>0</v>
      </c>
      <c r="C107" s="6">
        <v>3</v>
      </c>
      <c r="D107" s="6">
        <v>4</v>
      </c>
      <c r="E107" s="6">
        <v>2</v>
      </c>
      <c r="F107" s="6">
        <v>3</v>
      </c>
      <c r="H107">
        <f>B107-'4 or greater'!B107-'6 or greater'!B107-'8 or greater'!B107-'12 or greater'!B107</f>
        <v>0</v>
      </c>
      <c r="I107">
        <f>C107-'4 or greater'!C107-'6 or greater'!C107-'8 or greater'!C107-'12 or greater'!C107</f>
        <v>3</v>
      </c>
      <c r="J107">
        <f>D107-'4 or greater'!D107-'6 or greater'!D107-'8 or greater'!D107-'12 or greater'!D107</f>
        <v>-1</v>
      </c>
      <c r="K107">
        <f>E107-'4 or greater'!E107-'6 or greater'!E107-'8 or greater'!E107-'12 or greater'!E107</f>
        <v>2</v>
      </c>
      <c r="L107">
        <f>F107-'4 or greater'!F107-'6 or greater'!F107-'8 or greater'!F107-'12 or greater'!F107</f>
        <v>-6</v>
      </c>
    </row>
    <row r="108" spans="1:12" ht="33.5" thickBot="1" x14ac:dyDescent="0.4">
      <c r="A108" s="7" t="s">
        <v>107</v>
      </c>
      <c r="B108" s="8">
        <v>1</v>
      </c>
      <c r="C108" s="8">
        <v>2</v>
      </c>
      <c r="D108" s="8">
        <v>5</v>
      </c>
      <c r="E108" s="8">
        <v>0</v>
      </c>
      <c r="F108" s="8">
        <v>1</v>
      </c>
      <c r="H108">
        <f>B108-'4 or greater'!B108-'6 or greater'!B108-'8 or greater'!B108-'12 or greater'!B108</f>
        <v>1</v>
      </c>
      <c r="I108">
        <f>C108-'4 or greater'!C108-'6 or greater'!C108-'8 or greater'!C108-'12 or greater'!C108</f>
        <v>2</v>
      </c>
      <c r="J108">
        <f>D108-'4 or greater'!D108-'6 or greater'!D108-'8 or greater'!D108-'12 or greater'!D108</f>
        <v>2</v>
      </c>
      <c r="K108">
        <f>E108-'4 or greater'!E108-'6 or greater'!E108-'8 or greater'!E108-'12 or greater'!E108</f>
        <v>0</v>
      </c>
      <c r="L108">
        <f>F108-'4 or greater'!F108-'6 or greater'!F108-'8 or greater'!F108-'12 or greater'!F108</f>
        <v>1</v>
      </c>
    </row>
    <row r="109" spans="1:12" ht="33.5" thickBot="1" x14ac:dyDescent="0.4">
      <c r="A109" s="5" t="s">
        <v>108</v>
      </c>
      <c r="B109" s="6">
        <v>0</v>
      </c>
      <c r="C109" s="6">
        <v>1</v>
      </c>
      <c r="D109" s="6">
        <v>2</v>
      </c>
      <c r="E109" s="6">
        <v>1</v>
      </c>
      <c r="F109" s="6">
        <v>1</v>
      </c>
      <c r="H109">
        <f>B109-'4 or greater'!B109-'6 or greater'!B109-'8 or greater'!B109-'12 or greater'!B109</f>
        <v>0</v>
      </c>
      <c r="I109">
        <f>C109-'4 or greater'!C109-'6 or greater'!C109-'8 or greater'!C109-'12 or greater'!C109</f>
        <v>1</v>
      </c>
      <c r="J109">
        <f>D109-'4 or greater'!D109-'6 or greater'!D109-'8 or greater'!D109-'12 or greater'!D109</f>
        <v>0</v>
      </c>
      <c r="K109">
        <f>E109-'4 or greater'!E109-'6 or greater'!E109-'8 or greater'!E109-'12 or greater'!E109</f>
        <v>1</v>
      </c>
      <c r="L109">
        <f>F109-'4 or greater'!F109-'6 or greater'!F109-'8 or greater'!F109-'12 or greater'!F109</f>
        <v>-2</v>
      </c>
    </row>
    <row r="110" spans="1:12" ht="33.5" thickBot="1" x14ac:dyDescent="0.4">
      <c r="A110" s="7" t="s">
        <v>109</v>
      </c>
      <c r="B110" s="8">
        <v>0</v>
      </c>
      <c r="C110" s="8">
        <v>0</v>
      </c>
      <c r="D110" s="8">
        <v>1</v>
      </c>
      <c r="E110" s="8">
        <v>2</v>
      </c>
      <c r="F110" s="8">
        <v>0</v>
      </c>
      <c r="H110">
        <f>B110-'4 or greater'!B110-'6 or greater'!B110-'8 or greater'!B110-'12 or greater'!B110</f>
        <v>0</v>
      </c>
      <c r="I110">
        <f>C110-'4 or greater'!C110-'6 or greater'!C110-'8 or greater'!C110-'12 or greater'!C110</f>
        <v>0</v>
      </c>
      <c r="J110">
        <f>D110-'4 or greater'!D110-'6 or greater'!D110-'8 or greater'!D110-'12 or greater'!D110</f>
        <v>0</v>
      </c>
      <c r="K110">
        <f>E110-'4 or greater'!E110-'6 or greater'!E110-'8 or greater'!E110-'12 or greater'!E110</f>
        <v>2</v>
      </c>
      <c r="L110">
        <f>F110-'4 or greater'!F110-'6 or greater'!F110-'8 or greater'!F110-'12 or greater'!F110</f>
        <v>0</v>
      </c>
    </row>
    <row r="111" spans="1:12" ht="33.5" thickBot="1" x14ac:dyDescent="0.4">
      <c r="A111" s="5" t="s">
        <v>110</v>
      </c>
      <c r="B111" s="6">
        <v>0</v>
      </c>
      <c r="C111" s="6">
        <v>3</v>
      </c>
      <c r="D111" s="6">
        <v>0</v>
      </c>
      <c r="E111" s="6">
        <v>1</v>
      </c>
      <c r="F111" s="6">
        <v>2</v>
      </c>
      <c r="H111">
        <f>B111-'4 or greater'!B111-'6 or greater'!B111-'8 or greater'!B111-'12 or greater'!B111</f>
        <v>0</v>
      </c>
      <c r="I111">
        <f>C111-'4 or greater'!C111-'6 or greater'!C111-'8 or greater'!C111-'12 or greater'!C111</f>
        <v>0</v>
      </c>
      <c r="J111">
        <f>D111-'4 or greater'!D111-'6 or greater'!D111-'8 or greater'!D111-'12 or greater'!D111</f>
        <v>0</v>
      </c>
      <c r="K111">
        <f>E111-'4 or greater'!E111-'6 or greater'!E111-'8 or greater'!E111-'12 or greater'!E111</f>
        <v>-2</v>
      </c>
      <c r="L111">
        <f>F111-'4 or greater'!F111-'6 or greater'!F111-'8 or greater'!F111-'12 or greater'!F111</f>
        <v>2</v>
      </c>
    </row>
    <row r="112" spans="1:12" ht="33.5" thickBot="1" x14ac:dyDescent="0.4">
      <c r="A112" s="7" t="s">
        <v>111</v>
      </c>
      <c r="B112" s="8">
        <v>1</v>
      </c>
      <c r="C112" s="8">
        <v>3</v>
      </c>
      <c r="D112" s="8">
        <v>2</v>
      </c>
      <c r="E112" s="8">
        <v>0</v>
      </c>
      <c r="F112" s="8">
        <v>1</v>
      </c>
      <c r="H112">
        <f>B112-'4 or greater'!B112-'6 or greater'!B112-'8 or greater'!B112-'12 or greater'!B112</f>
        <v>-1</v>
      </c>
      <c r="I112">
        <f>C112-'4 or greater'!C112-'6 or greater'!C112-'8 or greater'!C112-'12 or greater'!C112</f>
        <v>2</v>
      </c>
      <c r="J112">
        <f>D112-'4 or greater'!D112-'6 or greater'!D112-'8 or greater'!D112-'12 or greater'!D112</f>
        <v>1</v>
      </c>
      <c r="K112">
        <f>E112-'4 or greater'!E112-'6 or greater'!E112-'8 or greater'!E112-'12 or greater'!E112</f>
        <v>0</v>
      </c>
      <c r="L112">
        <f>F112-'4 or greater'!F112-'6 or greater'!F112-'8 or greater'!F112-'12 or greater'!F112</f>
        <v>1</v>
      </c>
    </row>
    <row r="113" spans="1:12" ht="33.5" thickBot="1" x14ac:dyDescent="0.4">
      <c r="A113" s="5" t="s">
        <v>112</v>
      </c>
      <c r="B113" s="6">
        <v>0</v>
      </c>
      <c r="C113" s="6">
        <v>1</v>
      </c>
      <c r="D113" s="6">
        <v>2</v>
      </c>
      <c r="E113" s="6">
        <v>1</v>
      </c>
      <c r="F113" s="6">
        <v>1</v>
      </c>
      <c r="H113">
        <f>B113-'4 or greater'!B113-'6 or greater'!B113-'8 or greater'!B113-'12 or greater'!B113</f>
        <v>0</v>
      </c>
      <c r="I113">
        <f>C113-'4 or greater'!C113-'6 or greater'!C113-'8 or greater'!C113-'12 or greater'!C113</f>
        <v>1</v>
      </c>
      <c r="J113">
        <f>D113-'4 or greater'!D113-'6 or greater'!D113-'8 or greater'!D113-'12 or greater'!D113</f>
        <v>2</v>
      </c>
      <c r="K113">
        <f>E113-'4 or greater'!E113-'6 or greater'!E113-'8 or greater'!E113-'12 or greater'!E113</f>
        <v>1</v>
      </c>
      <c r="L113">
        <f>F113-'4 or greater'!F113-'6 or greater'!F113-'8 or greater'!F113-'12 or greater'!F113</f>
        <v>1</v>
      </c>
    </row>
    <row r="114" spans="1:12" ht="33.5" thickBot="1" x14ac:dyDescent="0.4">
      <c r="A114" s="7" t="s">
        <v>113</v>
      </c>
      <c r="B114" s="8">
        <v>1</v>
      </c>
      <c r="C114" s="8">
        <v>3</v>
      </c>
      <c r="D114" s="8">
        <v>3</v>
      </c>
      <c r="E114" s="8">
        <v>1</v>
      </c>
      <c r="F114" s="8">
        <v>0</v>
      </c>
      <c r="H114">
        <f>B114-'4 or greater'!B114-'6 or greater'!B114-'8 or greater'!B114-'12 or greater'!B114</f>
        <v>-2</v>
      </c>
      <c r="I114">
        <f>C114-'4 or greater'!C114-'6 or greater'!C114-'8 or greater'!C114-'12 or greater'!C114</f>
        <v>0</v>
      </c>
      <c r="J114">
        <f>D114-'4 or greater'!D114-'6 or greater'!D114-'8 or greater'!D114-'12 or greater'!D114</f>
        <v>3</v>
      </c>
      <c r="K114">
        <f>E114-'4 or greater'!E114-'6 or greater'!E114-'8 or greater'!E114-'12 or greater'!E114</f>
        <v>1</v>
      </c>
      <c r="L114">
        <f>F114-'4 or greater'!F114-'6 or greater'!F114-'8 or greater'!F114-'12 or greater'!F114</f>
        <v>0</v>
      </c>
    </row>
    <row r="115" spans="1:12" ht="33.5" thickBot="1" x14ac:dyDescent="0.4">
      <c r="A115" s="5" t="s">
        <v>114</v>
      </c>
      <c r="B115" s="6">
        <v>0</v>
      </c>
      <c r="C115" s="6">
        <v>2</v>
      </c>
      <c r="D115" s="6">
        <v>3</v>
      </c>
      <c r="E115" s="6">
        <v>4</v>
      </c>
      <c r="F115" s="6">
        <v>0</v>
      </c>
      <c r="H115">
        <f>B115-'4 or greater'!B115-'6 or greater'!B115-'8 or greater'!B115-'12 or greater'!B115</f>
        <v>0</v>
      </c>
      <c r="I115">
        <f>C115-'4 or greater'!C115-'6 or greater'!C115-'8 or greater'!C115-'12 or greater'!C115</f>
        <v>-1</v>
      </c>
      <c r="J115">
        <f>D115-'4 or greater'!D115-'6 or greater'!D115-'8 or greater'!D115-'12 or greater'!D115</f>
        <v>2</v>
      </c>
      <c r="K115">
        <f>E115-'4 or greater'!E115-'6 or greater'!E115-'8 or greater'!E115-'12 or greater'!E115</f>
        <v>-1</v>
      </c>
      <c r="L115">
        <f>F115-'4 or greater'!F115-'6 or greater'!F115-'8 or greater'!F115-'12 or greater'!F115</f>
        <v>0</v>
      </c>
    </row>
    <row r="116" spans="1:12" ht="33.5" thickBot="1" x14ac:dyDescent="0.4">
      <c r="A116" s="7" t="s">
        <v>115</v>
      </c>
      <c r="B116" s="8">
        <v>0</v>
      </c>
      <c r="C116" s="8">
        <v>1</v>
      </c>
      <c r="D116" s="8">
        <v>1</v>
      </c>
      <c r="E116" s="8">
        <v>1</v>
      </c>
      <c r="F116" s="8">
        <v>3</v>
      </c>
      <c r="H116">
        <f>B116-'4 or greater'!B116-'6 or greater'!B116-'8 or greater'!B116-'12 or greater'!B116</f>
        <v>0</v>
      </c>
      <c r="I116">
        <f>C116-'4 or greater'!C116-'6 or greater'!C116-'8 or greater'!C116-'12 or greater'!C116</f>
        <v>1</v>
      </c>
      <c r="J116">
        <f>D116-'4 or greater'!D116-'6 or greater'!D116-'8 or greater'!D116-'12 or greater'!D116</f>
        <v>-1</v>
      </c>
      <c r="K116">
        <f>E116-'4 or greater'!E116-'6 or greater'!E116-'8 or greater'!E116-'12 or greater'!E116</f>
        <v>-1</v>
      </c>
      <c r="L116">
        <f>F116-'4 or greater'!F116-'6 or greater'!F116-'8 or greater'!F116-'12 or greater'!F116</f>
        <v>1</v>
      </c>
    </row>
    <row r="117" spans="1:12" ht="33.5" thickBot="1" x14ac:dyDescent="0.4">
      <c r="A117" s="5" t="s">
        <v>116</v>
      </c>
      <c r="B117" s="6">
        <v>1</v>
      </c>
      <c r="C117" s="6">
        <v>2</v>
      </c>
      <c r="D117" s="6">
        <v>1</v>
      </c>
      <c r="E117" s="6">
        <v>2</v>
      </c>
      <c r="F117" s="6">
        <v>1</v>
      </c>
      <c r="H117">
        <f>B117-'4 or greater'!B117-'6 or greater'!B117-'8 or greater'!B117-'12 or greater'!B117</f>
        <v>1</v>
      </c>
      <c r="I117">
        <f>C117-'4 or greater'!C117-'6 or greater'!C117-'8 or greater'!C117-'12 or greater'!C117</f>
        <v>1</v>
      </c>
      <c r="J117">
        <f>D117-'4 or greater'!D117-'6 or greater'!D117-'8 or greater'!D117-'12 or greater'!D117</f>
        <v>1</v>
      </c>
      <c r="K117">
        <f>E117-'4 or greater'!E117-'6 or greater'!E117-'8 or greater'!E117-'12 or greater'!E117</f>
        <v>-1</v>
      </c>
      <c r="L117">
        <f>F117-'4 or greater'!F117-'6 or greater'!F117-'8 or greater'!F117-'12 or greater'!F117</f>
        <v>0</v>
      </c>
    </row>
    <row r="118" spans="1:12" ht="33.5" thickBot="1" x14ac:dyDescent="0.4">
      <c r="A118" s="7" t="s">
        <v>117</v>
      </c>
      <c r="B118" s="8">
        <v>3</v>
      </c>
      <c r="C118" s="8">
        <v>0</v>
      </c>
      <c r="D118" s="8">
        <v>3</v>
      </c>
      <c r="E118" s="8">
        <v>2</v>
      </c>
      <c r="F118" s="8">
        <v>1</v>
      </c>
      <c r="H118">
        <f>B118-'4 or greater'!B118-'6 or greater'!B118-'8 or greater'!B118-'12 or greater'!B118</f>
        <v>1</v>
      </c>
      <c r="I118">
        <f>C118-'4 or greater'!C118-'6 or greater'!C118-'8 or greater'!C118-'12 or greater'!C118</f>
        <v>0</v>
      </c>
      <c r="J118">
        <f>D118-'4 or greater'!D118-'6 or greater'!D118-'8 or greater'!D118-'12 or greater'!D118</f>
        <v>0</v>
      </c>
      <c r="K118">
        <f>E118-'4 or greater'!E118-'6 or greater'!E118-'8 or greater'!E118-'12 or greater'!E118</f>
        <v>2</v>
      </c>
      <c r="L118">
        <f>F118-'4 or greater'!F118-'6 or greater'!F118-'8 or greater'!F118-'12 or greater'!F118</f>
        <v>1</v>
      </c>
    </row>
    <row r="119" spans="1:12" ht="33.5" thickBot="1" x14ac:dyDescent="0.4">
      <c r="A119" s="5" t="s">
        <v>118</v>
      </c>
      <c r="B119" s="6">
        <v>0</v>
      </c>
      <c r="C119" s="6">
        <v>1</v>
      </c>
      <c r="D119" s="6">
        <v>3</v>
      </c>
      <c r="E119" s="6">
        <v>1</v>
      </c>
      <c r="F119" s="6">
        <v>0</v>
      </c>
      <c r="H119">
        <f>B119-'4 or greater'!B119-'6 or greater'!B119-'8 or greater'!B119-'12 or greater'!B119</f>
        <v>0</v>
      </c>
      <c r="I119">
        <f>C119-'4 or greater'!C119-'6 or greater'!C119-'8 or greater'!C119-'12 or greater'!C119</f>
        <v>0</v>
      </c>
      <c r="J119">
        <f>D119-'4 or greater'!D119-'6 or greater'!D119-'8 or greater'!D119-'12 or greater'!D119</f>
        <v>1</v>
      </c>
      <c r="K119">
        <f>E119-'4 or greater'!E119-'6 or greater'!E119-'8 or greater'!E119-'12 or greater'!E119</f>
        <v>0</v>
      </c>
      <c r="L119">
        <f>F119-'4 or greater'!F119-'6 or greater'!F119-'8 or greater'!F119-'12 or greater'!F119</f>
        <v>0</v>
      </c>
    </row>
    <row r="120" spans="1:12" ht="33.5" thickBot="1" x14ac:dyDescent="0.4">
      <c r="A120" s="7" t="s">
        <v>119</v>
      </c>
      <c r="B120" s="8">
        <v>0</v>
      </c>
      <c r="C120" s="8">
        <v>0</v>
      </c>
      <c r="D120" s="8">
        <v>1</v>
      </c>
      <c r="E120" s="8">
        <v>2</v>
      </c>
      <c r="F120" s="8">
        <v>1</v>
      </c>
      <c r="H120">
        <f>B120-'4 or greater'!B120-'6 or greater'!B120-'8 or greater'!B120-'12 or greater'!B120</f>
        <v>0</v>
      </c>
      <c r="I120">
        <f>C120-'4 or greater'!C120-'6 or greater'!C120-'8 or greater'!C120-'12 or greater'!C120</f>
        <v>0</v>
      </c>
      <c r="J120">
        <f>D120-'4 or greater'!D120-'6 or greater'!D120-'8 or greater'!D120-'12 or greater'!D120</f>
        <v>-1</v>
      </c>
      <c r="K120">
        <f>E120-'4 or greater'!E120-'6 or greater'!E120-'8 or greater'!E120-'12 or greater'!E120</f>
        <v>2</v>
      </c>
      <c r="L120">
        <f>F120-'4 or greater'!F120-'6 or greater'!F120-'8 or greater'!F120-'12 or greater'!F120</f>
        <v>1</v>
      </c>
    </row>
    <row r="121" spans="1:12" ht="33.5" thickBot="1" x14ac:dyDescent="0.4">
      <c r="A121" s="5" t="s">
        <v>120</v>
      </c>
      <c r="B121" s="6">
        <v>0</v>
      </c>
      <c r="C121" s="6">
        <v>4</v>
      </c>
      <c r="D121" s="6">
        <v>0</v>
      </c>
      <c r="E121" s="6">
        <v>0</v>
      </c>
      <c r="F121" s="6">
        <v>1</v>
      </c>
      <c r="H121">
        <f>B121-'4 or greater'!B121-'6 or greater'!B121-'8 or greater'!B121-'12 or greater'!B121</f>
        <v>0</v>
      </c>
      <c r="I121">
        <f>C121-'4 or greater'!C121-'6 or greater'!C121-'8 or greater'!C121-'12 or greater'!C121</f>
        <v>1</v>
      </c>
      <c r="J121">
        <f>D121-'4 or greater'!D121-'6 or greater'!D121-'8 or greater'!D121-'12 or greater'!D121</f>
        <v>0</v>
      </c>
      <c r="K121">
        <f>E121-'4 or greater'!E121-'6 or greater'!E121-'8 or greater'!E121-'12 or greater'!E121</f>
        <v>0</v>
      </c>
      <c r="L121">
        <f>F121-'4 or greater'!F121-'6 or greater'!F121-'8 or greater'!F121-'12 or greater'!F121</f>
        <v>0</v>
      </c>
    </row>
    <row r="122" spans="1:12" ht="33.5" thickBot="1" x14ac:dyDescent="0.4">
      <c r="A122" s="7" t="s">
        <v>121</v>
      </c>
      <c r="B122" s="8">
        <v>1</v>
      </c>
      <c r="C122" s="8">
        <v>0</v>
      </c>
      <c r="D122" s="8">
        <v>1</v>
      </c>
      <c r="E122" s="8">
        <v>1</v>
      </c>
      <c r="F122" s="8">
        <v>0</v>
      </c>
      <c r="H122">
        <f>B122-'4 or greater'!B122-'6 or greater'!B122-'8 or greater'!B122-'12 or greater'!B122</f>
        <v>1</v>
      </c>
      <c r="I122">
        <f>C122-'4 or greater'!C122-'6 or greater'!C122-'8 or greater'!C122-'12 or greater'!C122</f>
        <v>0</v>
      </c>
      <c r="J122">
        <f>D122-'4 or greater'!D122-'6 or greater'!D122-'8 or greater'!D122-'12 or greater'!D122</f>
        <v>1</v>
      </c>
      <c r="K122">
        <f>E122-'4 or greater'!E122-'6 or greater'!E122-'8 or greater'!E122-'12 or greater'!E122</f>
        <v>1</v>
      </c>
      <c r="L122">
        <f>F122-'4 or greater'!F122-'6 or greater'!F122-'8 or greater'!F122-'12 or greater'!F122</f>
        <v>0</v>
      </c>
    </row>
    <row r="123" spans="1:12" ht="33.5" thickBot="1" x14ac:dyDescent="0.4">
      <c r="A123" s="5" t="s">
        <v>122</v>
      </c>
      <c r="B123" s="6">
        <v>2</v>
      </c>
      <c r="C123" s="6">
        <v>1</v>
      </c>
      <c r="D123" s="6">
        <v>1</v>
      </c>
      <c r="E123" s="6">
        <v>1</v>
      </c>
      <c r="F123" s="6">
        <v>5</v>
      </c>
      <c r="H123">
        <f>B123-'4 or greater'!B123-'6 or greater'!B123-'8 or greater'!B123-'12 or greater'!B123</f>
        <v>2</v>
      </c>
      <c r="I123">
        <f>C123-'4 or greater'!C123-'6 or greater'!C123-'8 or greater'!C123-'12 or greater'!C123</f>
        <v>1</v>
      </c>
      <c r="J123">
        <f>D123-'4 or greater'!D123-'6 or greater'!D123-'8 or greater'!D123-'12 or greater'!D123</f>
        <v>1</v>
      </c>
      <c r="K123">
        <f>E123-'4 or greater'!E123-'6 or greater'!E123-'8 or greater'!E123-'12 or greater'!E123</f>
        <v>1</v>
      </c>
      <c r="L123">
        <f>F123-'4 or greater'!F123-'6 or greater'!F123-'8 or greater'!F123-'12 or greater'!F123</f>
        <v>3</v>
      </c>
    </row>
    <row r="124" spans="1:12" ht="33.5" thickBot="1" x14ac:dyDescent="0.4">
      <c r="A124" s="7" t="s">
        <v>123</v>
      </c>
      <c r="B124" s="8">
        <v>0</v>
      </c>
      <c r="C124" s="8">
        <v>0</v>
      </c>
      <c r="D124" s="8">
        <v>2</v>
      </c>
      <c r="E124" s="8">
        <v>2</v>
      </c>
      <c r="F124" s="8">
        <v>3</v>
      </c>
      <c r="H124">
        <f>B124-'4 or greater'!B124-'6 or greater'!B124-'8 or greater'!B124-'12 or greater'!B124</f>
        <v>0</v>
      </c>
      <c r="I124">
        <f>C124-'4 or greater'!C124-'6 or greater'!C124-'8 or greater'!C124-'12 or greater'!C124</f>
        <v>0</v>
      </c>
      <c r="J124">
        <f>D124-'4 or greater'!D124-'6 or greater'!D124-'8 or greater'!D124-'12 or greater'!D124</f>
        <v>2</v>
      </c>
      <c r="K124">
        <f>E124-'4 or greater'!E124-'6 or greater'!E124-'8 or greater'!E124-'12 or greater'!E124</f>
        <v>2</v>
      </c>
      <c r="L124">
        <f>F124-'4 or greater'!F124-'6 or greater'!F124-'8 or greater'!F124-'12 or greater'!F124</f>
        <v>1</v>
      </c>
    </row>
    <row r="125" spans="1:12" ht="33.5" thickBot="1" x14ac:dyDescent="0.4">
      <c r="A125" s="5" t="s">
        <v>124</v>
      </c>
      <c r="B125" s="6">
        <v>3</v>
      </c>
      <c r="C125" s="6">
        <v>0</v>
      </c>
      <c r="D125" s="6">
        <v>1</v>
      </c>
      <c r="E125" s="6">
        <v>3</v>
      </c>
      <c r="F125" s="6">
        <v>4</v>
      </c>
      <c r="H125">
        <f>B125-'4 or greater'!B125-'6 or greater'!B125-'8 or greater'!B125-'12 or greater'!B125</f>
        <v>1</v>
      </c>
      <c r="I125">
        <f>C125-'4 or greater'!C125-'6 or greater'!C125-'8 or greater'!C125-'12 or greater'!C125</f>
        <v>0</v>
      </c>
      <c r="J125">
        <f>D125-'4 or greater'!D125-'6 or greater'!D125-'8 or greater'!D125-'12 or greater'!D125</f>
        <v>0</v>
      </c>
      <c r="K125">
        <f>E125-'4 or greater'!E125-'6 or greater'!E125-'8 or greater'!E125-'12 or greater'!E125</f>
        <v>0</v>
      </c>
      <c r="L125">
        <f>F125-'4 or greater'!F125-'6 or greater'!F125-'8 or greater'!F125-'12 or greater'!F125</f>
        <v>0</v>
      </c>
    </row>
    <row r="126" spans="1:12" ht="33.5" thickBot="1" x14ac:dyDescent="0.4">
      <c r="A126" s="7" t="s">
        <v>125</v>
      </c>
      <c r="B126" s="8">
        <v>0</v>
      </c>
      <c r="C126" s="8">
        <v>0</v>
      </c>
      <c r="D126" s="8">
        <v>0</v>
      </c>
      <c r="E126" s="8">
        <v>2</v>
      </c>
      <c r="F126" s="8">
        <v>3</v>
      </c>
      <c r="H126">
        <f>B126-'4 or greater'!B126-'6 or greater'!B126-'8 or greater'!B126-'12 or greater'!B126</f>
        <v>0</v>
      </c>
      <c r="I126">
        <f>C126-'4 or greater'!C126-'6 or greater'!C126-'8 or greater'!C126-'12 or greater'!C126</f>
        <v>0</v>
      </c>
      <c r="J126">
        <f>D126-'4 or greater'!D126-'6 or greater'!D126-'8 or greater'!D126-'12 or greater'!D126</f>
        <v>0</v>
      </c>
      <c r="K126">
        <f>E126-'4 or greater'!E126-'6 or greater'!E126-'8 or greater'!E126-'12 or greater'!E126</f>
        <v>2</v>
      </c>
      <c r="L126">
        <f>F126-'4 or greater'!F126-'6 or greater'!F126-'8 or greater'!F126-'12 or greater'!F126</f>
        <v>2</v>
      </c>
    </row>
    <row r="127" spans="1:12" ht="33.5" thickBot="1" x14ac:dyDescent="0.4">
      <c r="A127" s="5" t="s">
        <v>126</v>
      </c>
      <c r="B127" s="6">
        <v>2</v>
      </c>
      <c r="C127" s="6">
        <v>0</v>
      </c>
      <c r="D127" s="6">
        <v>3</v>
      </c>
      <c r="E127" s="6">
        <v>0</v>
      </c>
      <c r="F127" s="6">
        <v>3</v>
      </c>
      <c r="H127">
        <f>B127-'4 or greater'!B127-'6 or greater'!B127-'8 or greater'!B127-'12 or greater'!B127</f>
        <v>1</v>
      </c>
      <c r="I127">
        <f>C127-'4 or greater'!C127-'6 or greater'!C127-'8 or greater'!C127-'12 or greater'!C127</f>
        <v>0</v>
      </c>
      <c r="J127">
        <f>D127-'4 or greater'!D127-'6 or greater'!D127-'8 or greater'!D127-'12 or greater'!D127</f>
        <v>3</v>
      </c>
      <c r="K127">
        <f>E127-'4 or greater'!E127-'6 or greater'!E127-'8 or greater'!E127-'12 or greater'!E127</f>
        <v>0</v>
      </c>
      <c r="L127">
        <f>F127-'4 or greater'!F127-'6 or greater'!F127-'8 or greater'!F127-'12 or greater'!F127</f>
        <v>2</v>
      </c>
    </row>
    <row r="128" spans="1:12" ht="33.5" thickBot="1" x14ac:dyDescent="0.4">
      <c r="A128" s="7" t="s">
        <v>127</v>
      </c>
      <c r="B128" s="8">
        <v>0</v>
      </c>
      <c r="C128" s="8">
        <v>0</v>
      </c>
      <c r="D128" s="8">
        <v>0</v>
      </c>
      <c r="E128" s="8">
        <v>0</v>
      </c>
      <c r="F128" s="8">
        <v>3</v>
      </c>
      <c r="H128">
        <f>B128-'4 or greater'!B128-'6 or greater'!B128-'8 or greater'!B128-'12 or greater'!B128</f>
        <v>0</v>
      </c>
      <c r="I128">
        <f>C128-'4 or greater'!C128-'6 or greater'!C128-'8 or greater'!C128-'12 or greater'!C128</f>
        <v>0</v>
      </c>
      <c r="J128">
        <f>D128-'4 or greater'!D128-'6 or greater'!D128-'8 or greater'!D128-'12 or greater'!D128</f>
        <v>0</v>
      </c>
      <c r="K128">
        <f>E128-'4 or greater'!E128-'6 or greater'!E128-'8 or greater'!E128-'12 or greater'!E128</f>
        <v>0</v>
      </c>
      <c r="L128">
        <f>F128-'4 or greater'!F128-'6 or greater'!F128-'8 or greater'!F128-'12 or greater'!F128</f>
        <v>2</v>
      </c>
    </row>
    <row r="129" spans="1:12" ht="33.5" thickBot="1" x14ac:dyDescent="0.4">
      <c r="A129" s="5" t="s">
        <v>128</v>
      </c>
      <c r="B129" s="6">
        <v>0</v>
      </c>
      <c r="C129" s="6">
        <v>1</v>
      </c>
      <c r="D129" s="6">
        <v>2</v>
      </c>
      <c r="E129" s="6">
        <v>1</v>
      </c>
      <c r="F129" s="6">
        <v>0</v>
      </c>
      <c r="H129">
        <f>B129-'4 or greater'!B129-'6 or greater'!B129-'8 or greater'!B129-'12 or greater'!B129</f>
        <v>0</v>
      </c>
      <c r="I129">
        <f>C129-'4 or greater'!C129-'6 or greater'!C129-'8 or greater'!C129-'12 or greater'!C129</f>
        <v>1</v>
      </c>
      <c r="J129">
        <f>D129-'4 or greater'!D129-'6 or greater'!D129-'8 or greater'!D129-'12 or greater'!D129</f>
        <v>2</v>
      </c>
      <c r="K129">
        <f>E129-'4 or greater'!E129-'6 or greater'!E129-'8 or greater'!E129-'12 or greater'!E129</f>
        <v>1</v>
      </c>
      <c r="L129">
        <f>F129-'4 or greater'!F129-'6 or greater'!F129-'8 or greater'!F129-'12 or greater'!F129</f>
        <v>0</v>
      </c>
    </row>
    <row r="130" spans="1:12" ht="33.5" thickBot="1" x14ac:dyDescent="0.4">
      <c r="A130" s="7" t="s">
        <v>129</v>
      </c>
      <c r="B130" s="8">
        <v>2</v>
      </c>
      <c r="C130" s="8">
        <v>2</v>
      </c>
      <c r="D130" s="8">
        <v>1</v>
      </c>
      <c r="E130" s="8">
        <v>0</v>
      </c>
      <c r="F130" s="8">
        <v>1</v>
      </c>
      <c r="H130">
        <f>B130-'4 or greater'!B130-'6 or greater'!B130-'8 or greater'!B130-'12 or greater'!B130</f>
        <v>2</v>
      </c>
      <c r="I130">
        <f>C130-'4 or greater'!C130-'6 or greater'!C130-'8 or greater'!C130-'12 or greater'!C130</f>
        <v>1</v>
      </c>
      <c r="J130">
        <f>D130-'4 or greater'!D130-'6 or greater'!D130-'8 or greater'!D130-'12 or greater'!D130</f>
        <v>1</v>
      </c>
      <c r="K130">
        <f>E130-'4 or greater'!E130-'6 or greater'!E130-'8 or greater'!E130-'12 or greater'!E130</f>
        <v>0</v>
      </c>
      <c r="L130">
        <f>F130-'4 or greater'!F130-'6 or greater'!F130-'8 or greater'!F130-'12 or greater'!F130</f>
        <v>-1</v>
      </c>
    </row>
    <row r="131" spans="1:12" ht="33.5" thickBot="1" x14ac:dyDescent="0.4">
      <c r="A131" s="5" t="s">
        <v>130</v>
      </c>
      <c r="B131" s="6">
        <v>1</v>
      </c>
      <c r="C131" s="6">
        <v>2</v>
      </c>
      <c r="D131" s="6">
        <v>2</v>
      </c>
      <c r="E131" s="6">
        <v>4</v>
      </c>
      <c r="F131" s="6">
        <v>1</v>
      </c>
      <c r="H131">
        <f>B131-'4 or greater'!B131-'6 or greater'!B131-'8 or greater'!B131-'12 or greater'!B131</f>
        <v>1</v>
      </c>
      <c r="I131">
        <f>C131-'4 or greater'!C131-'6 or greater'!C131-'8 or greater'!C131-'12 or greater'!C131</f>
        <v>2</v>
      </c>
      <c r="J131">
        <f>D131-'4 or greater'!D131-'6 or greater'!D131-'8 or greater'!D131-'12 or greater'!D131</f>
        <v>2</v>
      </c>
      <c r="K131">
        <f>E131-'4 or greater'!E131-'6 or greater'!E131-'8 or greater'!E131-'12 or greater'!E131</f>
        <v>2</v>
      </c>
      <c r="L131">
        <f>F131-'4 or greater'!F131-'6 or greater'!F131-'8 or greater'!F131-'12 or greater'!F131</f>
        <v>0</v>
      </c>
    </row>
    <row r="132" spans="1:12" ht="33.5" thickBot="1" x14ac:dyDescent="0.4">
      <c r="A132" s="7" t="s">
        <v>131</v>
      </c>
      <c r="B132" s="8">
        <v>2</v>
      </c>
      <c r="C132" s="8">
        <v>2</v>
      </c>
      <c r="D132" s="8">
        <v>0</v>
      </c>
      <c r="E132" s="8">
        <v>1</v>
      </c>
      <c r="F132" s="8">
        <v>2</v>
      </c>
      <c r="H132">
        <f>B132-'4 or greater'!B132-'6 or greater'!B132-'8 or greater'!B132-'12 or greater'!B132</f>
        <v>2</v>
      </c>
      <c r="I132">
        <f>C132-'4 or greater'!C132-'6 or greater'!C132-'8 or greater'!C132-'12 or greater'!C132</f>
        <v>2</v>
      </c>
      <c r="J132">
        <f>D132-'4 or greater'!D132-'6 or greater'!D132-'8 or greater'!D132-'12 or greater'!D132</f>
        <v>0</v>
      </c>
      <c r="K132">
        <f>E132-'4 or greater'!E132-'6 or greater'!E132-'8 or greater'!E132-'12 or greater'!E132</f>
        <v>1</v>
      </c>
      <c r="L132">
        <f>F132-'4 or greater'!F132-'6 or greater'!F132-'8 or greater'!F132-'12 or greater'!F132</f>
        <v>1</v>
      </c>
    </row>
    <row r="133" spans="1:12" ht="33.5" thickBot="1" x14ac:dyDescent="0.4">
      <c r="A133" s="5" t="s">
        <v>132</v>
      </c>
      <c r="B133" s="6">
        <v>2</v>
      </c>
      <c r="C133" s="6">
        <v>0</v>
      </c>
      <c r="D133" s="6">
        <v>2</v>
      </c>
      <c r="E133" s="6">
        <v>2</v>
      </c>
      <c r="F133" s="6">
        <v>1</v>
      </c>
      <c r="H133">
        <f>B133-'4 or greater'!B133-'6 or greater'!B133-'8 or greater'!B133-'12 or greater'!B133</f>
        <v>2</v>
      </c>
      <c r="I133">
        <f>C133-'4 or greater'!C133-'6 or greater'!C133-'8 or greater'!C133-'12 or greater'!C133</f>
        <v>0</v>
      </c>
      <c r="J133">
        <f>D133-'4 or greater'!D133-'6 or greater'!D133-'8 or greater'!D133-'12 or greater'!D133</f>
        <v>2</v>
      </c>
      <c r="K133">
        <f>E133-'4 or greater'!E133-'6 or greater'!E133-'8 or greater'!E133-'12 or greater'!E133</f>
        <v>2</v>
      </c>
      <c r="L133">
        <f>F133-'4 or greater'!F133-'6 or greater'!F133-'8 or greater'!F133-'12 or greater'!F133</f>
        <v>1</v>
      </c>
    </row>
    <row r="134" spans="1:12" ht="33.5" thickBot="1" x14ac:dyDescent="0.4">
      <c r="A134" s="7" t="s">
        <v>133</v>
      </c>
      <c r="B134" s="8">
        <v>0</v>
      </c>
      <c r="C134" s="8">
        <v>2</v>
      </c>
      <c r="D134" s="8">
        <v>2</v>
      </c>
      <c r="E134" s="8">
        <v>0</v>
      </c>
      <c r="F134" s="8">
        <v>2</v>
      </c>
      <c r="H134">
        <f>B134-'4 or greater'!B134-'6 or greater'!B134-'8 or greater'!B134-'12 or greater'!B134</f>
        <v>0</v>
      </c>
      <c r="I134">
        <f>C134-'4 or greater'!C134-'6 or greater'!C134-'8 or greater'!C134-'12 or greater'!C134</f>
        <v>1</v>
      </c>
      <c r="J134">
        <f>D134-'4 or greater'!D134-'6 or greater'!D134-'8 or greater'!D134-'12 or greater'!D134</f>
        <v>2</v>
      </c>
      <c r="K134">
        <f>E134-'4 or greater'!E134-'6 or greater'!E134-'8 or greater'!E134-'12 or greater'!E134</f>
        <v>0</v>
      </c>
      <c r="L134">
        <f>F134-'4 or greater'!F134-'6 or greater'!F134-'8 or greater'!F134-'12 or greater'!F134</f>
        <v>2</v>
      </c>
    </row>
    <row r="135" spans="1:12" ht="33.5" thickBot="1" x14ac:dyDescent="0.4">
      <c r="A135" s="5" t="s">
        <v>134</v>
      </c>
      <c r="B135" s="6">
        <v>0</v>
      </c>
      <c r="C135" s="6">
        <v>0</v>
      </c>
      <c r="D135" s="6">
        <v>0</v>
      </c>
      <c r="E135" s="6">
        <v>0</v>
      </c>
      <c r="F135" s="6">
        <v>0</v>
      </c>
      <c r="H135">
        <f>B135-'4 or greater'!B135-'6 or greater'!B135-'8 or greater'!B135-'12 or greater'!B135</f>
        <v>0</v>
      </c>
      <c r="I135">
        <f>C135-'4 or greater'!C135-'6 or greater'!C135-'8 or greater'!C135-'12 or greater'!C135</f>
        <v>0</v>
      </c>
      <c r="J135">
        <f>D135-'4 or greater'!D135-'6 or greater'!D135-'8 or greater'!D135-'12 or greater'!D135</f>
        <v>0</v>
      </c>
      <c r="K135">
        <f>E135-'4 or greater'!E135-'6 or greater'!E135-'8 or greater'!E135-'12 or greater'!E135</f>
        <v>0</v>
      </c>
      <c r="L135">
        <f>F135-'4 or greater'!F135-'6 or greater'!F135-'8 or greater'!F135-'12 or greater'!F135</f>
        <v>0</v>
      </c>
    </row>
    <row r="136" spans="1:12" ht="33.5" thickBot="1" x14ac:dyDescent="0.4">
      <c r="A136" s="7" t="s">
        <v>135</v>
      </c>
      <c r="B136" s="8">
        <v>1</v>
      </c>
      <c r="C136" s="8">
        <v>5</v>
      </c>
      <c r="D136" s="8">
        <v>1</v>
      </c>
      <c r="E136" s="8">
        <v>0</v>
      </c>
      <c r="F136" s="8">
        <v>2</v>
      </c>
      <c r="H136">
        <f>B136-'4 or greater'!B136-'6 or greater'!B136-'8 or greater'!B136-'12 or greater'!B136</f>
        <v>1</v>
      </c>
      <c r="I136">
        <f>C136-'4 or greater'!C136-'6 or greater'!C136-'8 or greater'!C136-'12 or greater'!C136</f>
        <v>5</v>
      </c>
      <c r="J136">
        <f>D136-'4 or greater'!D136-'6 or greater'!D136-'8 or greater'!D136-'12 or greater'!D136</f>
        <v>1</v>
      </c>
      <c r="K136">
        <f>E136-'4 or greater'!E136-'6 or greater'!E136-'8 or greater'!E136-'12 or greater'!E136</f>
        <v>0</v>
      </c>
      <c r="L136">
        <f>F136-'4 or greater'!F136-'6 or greater'!F136-'8 or greater'!F136-'12 or greater'!F136</f>
        <v>2</v>
      </c>
    </row>
    <row r="137" spans="1:12" ht="33.5" thickBot="1" x14ac:dyDescent="0.4">
      <c r="A137" s="5" t="s">
        <v>136</v>
      </c>
      <c r="B137" s="6">
        <v>4</v>
      </c>
      <c r="C137" s="6">
        <v>2</v>
      </c>
      <c r="D137" s="6">
        <v>2</v>
      </c>
      <c r="E137" s="6">
        <v>2</v>
      </c>
      <c r="F137" s="6">
        <v>0</v>
      </c>
      <c r="H137">
        <f>B137-'4 or greater'!B137-'6 or greater'!B137-'8 or greater'!B137-'12 or greater'!B137</f>
        <v>0</v>
      </c>
      <c r="I137">
        <f>C137-'4 or greater'!C137-'6 or greater'!C137-'8 or greater'!C137-'12 or greater'!C137</f>
        <v>2</v>
      </c>
      <c r="J137">
        <f>D137-'4 or greater'!D137-'6 or greater'!D137-'8 or greater'!D137-'12 or greater'!D137</f>
        <v>-2</v>
      </c>
      <c r="K137">
        <f>E137-'4 or greater'!E137-'6 or greater'!E137-'8 or greater'!E137-'12 or greater'!E137</f>
        <v>2</v>
      </c>
      <c r="L137">
        <f>F137-'4 or greater'!F137-'6 or greater'!F137-'8 or greater'!F137-'12 or greater'!F137</f>
        <v>0</v>
      </c>
    </row>
    <row r="138" spans="1:12" ht="33.5" thickBot="1" x14ac:dyDescent="0.4">
      <c r="A138" s="7" t="s">
        <v>137</v>
      </c>
      <c r="B138" s="8">
        <v>0</v>
      </c>
      <c r="C138" s="8">
        <v>2</v>
      </c>
      <c r="D138" s="8">
        <v>4</v>
      </c>
      <c r="E138" s="8">
        <v>0</v>
      </c>
      <c r="F138" s="8">
        <v>1</v>
      </c>
      <c r="H138">
        <f>B138-'4 or greater'!B138-'6 or greater'!B138-'8 or greater'!B138-'12 or greater'!B138</f>
        <v>0</v>
      </c>
      <c r="I138">
        <f>C138-'4 or greater'!C138-'6 or greater'!C138-'8 or greater'!C138-'12 or greater'!C138</f>
        <v>2</v>
      </c>
      <c r="J138">
        <f>D138-'4 or greater'!D138-'6 or greater'!D138-'8 or greater'!D138-'12 or greater'!D138</f>
        <v>4</v>
      </c>
      <c r="K138">
        <f>E138-'4 or greater'!E138-'6 or greater'!E138-'8 or greater'!E138-'12 or greater'!E138</f>
        <v>0</v>
      </c>
      <c r="L138">
        <f>F138-'4 or greater'!F138-'6 or greater'!F138-'8 or greater'!F138-'12 or greater'!F138</f>
        <v>-1</v>
      </c>
    </row>
    <row r="139" spans="1:12" ht="33" x14ac:dyDescent="0.35">
      <c r="A139" s="5" t="s">
        <v>138</v>
      </c>
      <c r="B139" s="6">
        <v>1</v>
      </c>
      <c r="C139" s="6">
        <v>3</v>
      </c>
      <c r="D139" s="6">
        <v>1</v>
      </c>
      <c r="E139" s="6">
        <v>0</v>
      </c>
      <c r="F139" s="6">
        <v>0</v>
      </c>
      <c r="H139">
        <f>B139-'4 or greater'!B139-'6 or greater'!B139-'8 or greater'!B139-'12 or greater'!B139</f>
        <v>0</v>
      </c>
      <c r="I139">
        <f>C139-'4 or greater'!C139-'6 or greater'!C139-'8 or greater'!C139-'12 or greater'!C139</f>
        <v>2</v>
      </c>
      <c r="J139">
        <f>D139-'4 or greater'!D139-'6 or greater'!D139-'8 or greater'!D139-'12 or greater'!D139</f>
        <v>1</v>
      </c>
      <c r="K139">
        <f>E139-'4 or greater'!E139-'6 or greater'!E139-'8 or greater'!E139-'12 or greater'!E139</f>
        <v>0</v>
      </c>
      <c r="L139">
        <f>F139-'4 or greater'!F139-'6 or greater'!F139-'8 or greater'!F139-'12 or greater'!F139</f>
        <v>0</v>
      </c>
    </row>
  </sheetData>
  <autoFilter ref="O1:X1" xr:uid="{0793DAD3-EF5C-4D8C-AF3D-C1E2100E35B0}">
    <sortState xmlns:xlrd2="http://schemas.microsoft.com/office/spreadsheetml/2017/richdata2" ref="O2:X10">
      <sortCondition ref="W1"/>
    </sortState>
  </autoFilter>
  <phoneticPr fontId="4" type="noConversion"/>
  <conditionalFormatting sqref="H2:L139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68D7F-E095-4870-A097-3B50F13AC068}">
  <dimension ref="A1:W139"/>
  <sheetViews>
    <sheetView topLeftCell="G1" workbookViewId="0">
      <selection activeCell="V1" sqref="V1:W4"/>
    </sheetView>
  </sheetViews>
  <sheetFormatPr defaultRowHeight="14.5" x14ac:dyDescent="0.35"/>
  <cols>
    <col min="7" max="7" width="9.1796875" style="19"/>
  </cols>
  <sheetData>
    <row r="1" spans="1:23" x14ac:dyDescent="0.35">
      <c r="B1" t="s">
        <v>140</v>
      </c>
      <c r="C1" t="s">
        <v>141</v>
      </c>
      <c r="D1" t="s">
        <v>142</v>
      </c>
      <c r="E1" t="s">
        <v>143</v>
      </c>
      <c r="F1" t="s">
        <v>144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N1" t="s">
        <v>140</v>
      </c>
      <c r="O1" t="s">
        <v>166</v>
      </c>
      <c r="P1" t="s">
        <v>141</v>
      </c>
      <c r="R1" t="s">
        <v>142</v>
      </c>
      <c r="T1" t="s">
        <v>143</v>
      </c>
      <c r="V1" t="s">
        <v>144</v>
      </c>
    </row>
    <row r="2" spans="1:23" ht="36.5" thickBot="1" x14ac:dyDescent="0.4">
      <c r="A2" s="9" t="s">
        <v>1</v>
      </c>
      <c r="B2" s="10">
        <v>0</v>
      </c>
      <c r="C2" s="10">
        <v>1</v>
      </c>
      <c r="D2" s="10">
        <v>0</v>
      </c>
      <c r="E2" s="10">
        <v>1</v>
      </c>
      <c r="F2" s="10">
        <v>0</v>
      </c>
      <c r="H2">
        <f>B2-'6 or greater'!B2-'8 or greater'!B2-'12 or greater'!B2</f>
        <v>0</v>
      </c>
      <c r="I2">
        <f>C2-'6 or greater'!C2-'8 or greater'!C2-'12 or greater'!C2</f>
        <v>-1</v>
      </c>
      <c r="J2">
        <f>D2-'6 or greater'!D2-'8 or greater'!D2-'12 or greater'!D2</f>
        <v>0</v>
      </c>
      <c r="K2">
        <f>E2-'6 or greater'!E2-'8 or greater'!E2-'12 or greater'!E2</f>
        <v>1</v>
      </c>
      <c r="L2">
        <f>F2-'6 or greater'!F2-'8 or greater'!F2-'12 or greater'!F2</f>
        <v>0</v>
      </c>
      <c r="N2">
        <v>3</v>
      </c>
      <c r="O2">
        <f>COUNTIF($H$2:$H$139,N2)</f>
        <v>1</v>
      </c>
      <c r="T2">
        <v>0</v>
      </c>
      <c r="U2">
        <v>109</v>
      </c>
      <c r="V2">
        <v>0</v>
      </c>
      <c r="W2">
        <v>106</v>
      </c>
    </row>
    <row r="3" spans="1:23" ht="36.5" thickBot="1" x14ac:dyDescent="0.4">
      <c r="A3" s="11" t="s">
        <v>2</v>
      </c>
      <c r="B3" s="12">
        <v>1</v>
      </c>
      <c r="C3" s="12">
        <v>1</v>
      </c>
      <c r="D3" s="12">
        <v>1</v>
      </c>
      <c r="E3" s="12">
        <v>0</v>
      </c>
      <c r="F3" s="12">
        <v>0</v>
      </c>
      <c r="H3">
        <f>B3-'6 or greater'!B3-'8 or greater'!B3-'12 or greater'!B3</f>
        <v>1</v>
      </c>
      <c r="I3">
        <f>C3-'6 or greater'!C3-'8 or greater'!C3-'12 or greater'!C3</f>
        <v>-1</v>
      </c>
      <c r="J3">
        <f>D3-'6 or greater'!D3-'8 or greater'!D3-'12 or greater'!D3</f>
        <v>1</v>
      </c>
      <c r="K3">
        <f>E3-'6 or greater'!E3-'8 or greater'!E3-'12 or greater'!E3</f>
        <v>0</v>
      </c>
      <c r="L3">
        <f>F3-'6 or greater'!F3-'8 or greater'!F3-'12 or greater'!F3</f>
        <v>0</v>
      </c>
      <c r="R3">
        <v>0</v>
      </c>
      <c r="S3">
        <v>107</v>
      </c>
      <c r="T3">
        <v>1</v>
      </c>
      <c r="U3">
        <f>COUNTIF($K$2:$K$139,T3)</f>
        <v>23</v>
      </c>
      <c r="V3">
        <v>1</v>
      </c>
      <c r="W3">
        <f t="shared" ref="W3:W4" si="0">COUNTIF($L$2:$L$139,V3)</f>
        <v>30</v>
      </c>
    </row>
    <row r="4" spans="1:23" ht="36.5" thickBot="1" x14ac:dyDescent="0.4">
      <c r="A4" s="13" t="s">
        <v>3</v>
      </c>
      <c r="B4" s="14">
        <v>1</v>
      </c>
      <c r="C4" s="14">
        <v>1</v>
      </c>
      <c r="D4" s="14">
        <v>1</v>
      </c>
      <c r="E4" s="14">
        <v>1</v>
      </c>
      <c r="F4" s="14">
        <v>0</v>
      </c>
      <c r="H4">
        <f>B4-'6 or greater'!B4-'8 or greater'!B4-'12 or greater'!B4</f>
        <v>0</v>
      </c>
      <c r="I4">
        <f>C4-'6 or greater'!C4-'8 or greater'!C4-'12 or greater'!C4</f>
        <v>1</v>
      </c>
      <c r="J4">
        <f>D4-'6 or greater'!D4-'8 or greater'!D4-'12 or greater'!D4</f>
        <v>1</v>
      </c>
      <c r="K4">
        <f>E4-'6 or greater'!E4-'8 or greater'!E4-'12 or greater'!E4</f>
        <v>1</v>
      </c>
      <c r="L4">
        <f>F4-'6 or greater'!F4-'8 or greater'!F4-'12 or greater'!F4</f>
        <v>0</v>
      </c>
      <c r="N4">
        <v>2</v>
      </c>
      <c r="O4">
        <f>COUNTIF($H$2:$H$139,N4)</f>
        <v>2</v>
      </c>
      <c r="P4">
        <v>2</v>
      </c>
      <c r="Q4">
        <f>COUNTIF($I$2:$I$139,P4)</f>
        <v>4</v>
      </c>
      <c r="R4">
        <v>2</v>
      </c>
      <c r="S4">
        <f>COUNTIF($J$2:$J$139,R4)</f>
        <v>6</v>
      </c>
      <c r="T4">
        <v>2</v>
      </c>
      <c r="U4">
        <f>COUNTIF($K$2:$K$139,T4)</f>
        <v>4</v>
      </c>
      <c r="V4">
        <v>2</v>
      </c>
      <c r="W4">
        <f t="shared" si="0"/>
        <v>2</v>
      </c>
    </row>
    <row r="5" spans="1:23" ht="36.5" thickBot="1" x14ac:dyDescent="0.4">
      <c r="A5" s="11" t="s">
        <v>4</v>
      </c>
      <c r="B5" s="12">
        <v>0</v>
      </c>
      <c r="C5" s="12">
        <v>0</v>
      </c>
      <c r="D5" s="12">
        <v>0</v>
      </c>
      <c r="E5" s="12">
        <v>5</v>
      </c>
      <c r="F5" s="12">
        <v>1</v>
      </c>
      <c r="H5">
        <f>B5-'6 or greater'!B5-'8 or greater'!B5-'12 or greater'!B5</f>
        <v>0</v>
      </c>
      <c r="I5">
        <f>C5-'6 or greater'!C5-'8 or greater'!C5-'12 or greater'!C5</f>
        <v>0</v>
      </c>
      <c r="J5">
        <f>D5-'6 or greater'!D5-'8 or greater'!D5-'12 or greater'!D5</f>
        <v>0</v>
      </c>
      <c r="K5">
        <f>E5-'6 or greater'!E5-'8 or greater'!E5-'12 or greater'!E5</f>
        <v>3</v>
      </c>
      <c r="L5">
        <f>F5-'6 or greater'!F5-'8 or greater'!F5-'12 or greater'!F5</f>
        <v>1</v>
      </c>
      <c r="M5" t="e">
        <f>SUM(W2,#REF!,#REF!,#REF!)</f>
        <v>#REF!</v>
      </c>
      <c r="R5">
        <v>1</v>
      </c>
      <c r="S5">
        <f>COUNTIF($J$2:$J$139,R5)</f>
        <v>24</v>
      </c>
      <c r="T5">
        <v>3</v>
      </c>
      <c r="U5">
        <f>COUNTIF($K$2:$K$139,T5)</f>
        <v>2</v>
      </c>
    </row>
    <row r="6" spans="1:23" ht="36.5" thickBot="1" x14ac:dyDescent="0.4">
      <c r="A6" s="13" t="s">
        <v>5</v>
      </c>
      <c r="B6" s="14">
        <v>0</v>
      </c>
      <c r="C6" s="14">
        <v>0</v>
      </c>
      <c r="D6" s="14">
        <v>1</v>
      </c>
      <c r="E6" s="14">
        <v>1</v>
      </c>
      <c r="F6" s="14">
        <v>0</v>
      </c>
      <c r="H6">
        <f>B6-'6 or greater'!B6-'8 or greater'!B6-'12 or greater'!B6</f>
        <v>0</v>
      </c>
      <c r="I6">
        <f>C6-'6 or greater'!C6-'8 or greater'!C6-'12 or greater'!C6</f>
        <v>0</v>
      </c>
      <c r="J6">
        <f>D6-'6 or greater'!D6-'8 or greater'!D6-'12 or greater'!D6</f>
        <v>-2</v>
      </c>
      <c r="K6">
        <f>E6-'6 or greater'!E6-'8 or greater'!E6-'12 or greater'!E6</f>
        <v>0</v>
      </c>
      <c r="L6">
        <f>F6-'6 or greater'!F6-'8 or greater'!F6-'12 or greater'!F6</f>
        <v>0</v>
      </c>
      <c r="N6">
        <v>0</v>
      </c>
      <c r="O6">
        <v>112</v>
      </c>
      <c r="P6">
        <v>1</v>
      </c>
      <c r="Q6">
        <f>COUNTIF($I$2:$I$139,P6)</f>
        <v>25</v>
      </c>
      <c r="R6">
        <v>3</v>
      </c>
      <c r="S6">
        <f>COUNTIF($J$2:$J$139,R6)</f>
        <v>1</v>
      </c>
    </row>
    <row r="7" spans="1:23" ht="36.5" thickBot="1" x14ac:dyDescent="0.4">
      <c r="A7" s="11" t="s">
        <v>6</v>
      </c>
      <c r="B7" s="12">
        <v>0</v>
      </c>
      <c r="C7" s="12">
        <v>2</v>
      </c>
      <c r="D7" s="12">
        <v>0</v>
      </c>
      <c r="E7" s="12">
        <v>0</v>
      </c>
      <c r="F7" s="12">
        <v>0</v>
      </c>
      <c r="H7">
        <f>B7-'6 or greater'!B7-'8 or greater'!B7-'12 or greater'!B7</f>
        <v>0</v>
      </c>
      <c r="I7">
        <f>C7-'6 or greater'!C7-'8 or greater'!C7-'12 or greater'!C7</f>
        <v>2</v>
      </c>
      <c r="J7">
        <f>D7-'6 or greater'!D7-'8 or greater'!D7-'12 or greater'!D7</f>
        <v>0</v>
      </c>
      <c r="K7">
        <f>E7-'6 or greater'!E7-'8 or greater'!E7-'12 or greater'!E7</f>
        <v>0</v>
      </c>
      <c r="L7">
        <f>F7-'6 or greater'!F7-'8 or greater'!F7-'12 or greater'!F7</f>
        <v>0</v>
      </c>
      <c r="P7">
        <v>0</v>
      </c>
      <c r="Q7">
        <v>109</v>
      </c>
    </row>
    <row r="8" spans="1:23" ht="36.5" thickBot="1" x14ac:dyDescent="0.4">
      <c r="A8" s="13" t="s">
        <v>7</v>
      </c>
      <c r="B8" s="14">
        <v>0</v>
      </c>
      <c r="C8" s="14">
        <v>0</v>
      </c>
      <c r="D8" s="14">
        <v>0</v>
      </c>
      <c r="E8" s="14">
        <v>1</v>
      </c>
      <c r="F8" s="14">
        <v>0</v>
      </c>
      <c r="H8">
        <f>B8-'6 or greater'!B8-'8 or greater'!B8-'12 or greater'!B8</f>
        <v>0</v>
      </c>
      <c r="I8">
        <f>C8-'6 or greater'!C8-'8 or greater'!C8-'12 or greater'!C8</f>
        <v>0</v>
      </c>
      <c r="J8">
        <f>D8-'6 or greater'!D8-'8 or greater'!D8-'12 or greater'!D8</f>
        <v>0</v>
      </c>
      <c r="K8">
        <f>E8-'6 or greater'!E8-'8 or greater'!E8-'12 or greater'!E8</f>
        <v>-1</v>
      </c>
      <c r="L8">
        <f>F8-'6 or greater'!F8-'8 or greater'!F8-'12 or greater'!F8</f>
        <v>0</v>
      </c>
      <c r="N8">
        <v>1</v>
      </c>
      <c r="O8">
        <f>COUNTIF($H$2:$H$139,N8)</f>
        <v>23</v>
      </c>
    </row>
    <row r="9" spans="1:23" ht="36.5" thickBot="1" x14ac:dyDescent="0.4">
      <c r="A9" s="11" t="s">
        <v>8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H9">
        <f>B9-'6 or greater'!B9-'8 or greater'!B9-'12 or greater'!B9</f>
        <v>0</v>
      </c>
      <c r="I9">
        <f>C9-'6 or greater'!C9-'8 or greater'!C9-'12 or greater'!C9</f>
        <v>0</v>
      </c>
      <c r="J9">
        <f>D9-'6 or greater'!D9-'8 or greater'!D9-'12 or greater'!D9</f>
        <v>0</v>
      </c>
      <c r="K9">
        <f>E9-'6 or greater'!E9-'8 or greater'!E9-'12 or greater'!E9</f>
        <v>0</v>
      </c>
      <c r="L9">
        <f>F9-'6 or greater'!F9-'8 or greater'!F9-'12 or greater'!F9</f>
        <v>0</v>
      </c>
    </row>
    <row r="10" spans="1:23" ht="36.5" thickBot="1" x14ac:dyDescent="0.4">
      <c r="A10" s="13" t="s">
        <v>9</v>
      </c>
      <c r="B10" s="14">
        <v>0</v>
      </c>
      <c r="C10" s="14">
        <v>1</v>
      </c>
      <c r="D10" s="14">
        <v>3</v>
      </c>
      <c r="E10" s="14">
        <v>2</v>
      </c>
      <c r="F10" s="14">
        <v>0</v>
      </c>
      <c r="H10">
        <f>B10-'6 or greater'!B10-'8 or greater'!B10-'12 or greater'!B10</f>
        <v>0</v>
      </c>
      <c r="I10">
        <f>C10-'6 or greater'!C10-'8 or greater'!C10-'12 or greater'!C10</f>
        <v>1</v>
      </c>
      <c r="J10">
        <f>D10-'6 or greater'!D10-'8 or greater'!D10-'12 or greater'!D10</f>
        <v>2</v>
      </c>
      <c r="K10">
        <f>E10-'6 or greater'!E10-'8 or greater'!E10-'12 or greater'!E10</f>
        <v>0</v>
      </c>
      <c r="L10">
        <f>F10-'6 or greater'!F10-'8 or greater'!F10-'12 or greater'!F10</f>
        <v>0</v>
      </c>
    </row>
    <row r="11" spans="1:23" ht="36.5" thickBot="1" x14ac:dyDescent="0.4">
      <c r="A11" s="11" t="s">
        <v>10</v>
      </c>
      <c r="B11" s="12">
        <v>0</v>
      </c>
      <c r="C11" s="12">
        <v>1</v>
      </c>
      <c r="D11" s="12">
        <v>0</v>
      </c>
      <c r="E11" s="12">
        <v>1</v>
      </c>
      <c r="F11" s="12">
        <v>1</v>
      </c>
      <c r="H11">
        <f>B11-'6 or greater'!B11-'8 or greater'!B11-'12 or greater'!B11</f>
        <v>0</v>
      </c>
      <c r="I11">
        <f>C11-'6 or greater'!C11-'8 or greater'!C11-'12 or greater'!C11</f>
        <v>-1</v>
      </c>
      <c r="J11">
        <f>D11-'6 or greater'!D11-'8 or greater'!D11-'12 or greater'!D11</f>
        <v>0</v>
      </c>
      <c r="K11">
        <f>E11-'6 or greater'!E11-'8 or greater'!E11-'12 or greater'!E11</f>
        <v>1</v>
      </c>
      <c r="L11">
        <f>F11-'6 or greater'!F11-'8 or greater'!F11-'12 or greater'!F11</f>
        <v>1</v>
      </c>
    </row>
    <row r="12" spans="1:23" ht="36.5" thickBot="1" x14ac:dyDescent="0.4">
      <c r="A12" s="13" t="s">
        <v>11</v>
      </c>
      <c r="B12" s="14">
        <v>0</v>
      </c>
      <c r="C12" s="14">
        <v>1</v>
      </c>
      <c r="D12" s="14">
        <v>0</v>
      </c>
      <c r="E12" s="14">
        <v>0</v>
      </c>
      <c r="F12" s="14">
        <v>0</v>
      </c>
      <c r="H12">
        <f>B12-'6 or greater'!B12-'8 or greater'!B12-'12 or greater'!B12</f>
        <v>0</v>
      </c>
      <c r="I12">
        <f>C12-'6 or greater'!C12-'8 or greater'!C12-'12 or greater'!C12</f>
        <v>1</v>
      </c>
      <c r="J12">
        <f>D12-'6 or greater'!D12-'8 or greater'!D12-'12 or greater'!D12</f>
        <v>0</v>
      </c>
      <c r="K12">
        <f>E12-'6 or greater'!E12-'8 or greater'!E12-'12 or greater'!E12</f>
        <v>0</v>
      </c>
      <c r="L12">
        <f>F12-'6 or greater'!F12-'8 or greater'!F12-'12 or greater'!F12</f>
        <v>0</v>
      </c>
    </row>
    <row r="13" spans="1:23" ht="36.5" thickBot="1" x14ac:dyDescent="0.4">
      <c r="A13" s="11" t="s">
        <v>12</v>
      </c>
      <c r="B13" s="12">
        <v>1</v>
      </c>
      <c r="C13" s="12">
        <v>3</v>
      </c>
      <c r="D13" s="12">
        <v>1</v>
      </c>
      <c r="E13" s="12">
        <v>1</v>
      </c>
      <c r="F13" s="12">
        <v>1</v>
      </c>
      <c r="H13">
        <f>B13-'6 or greater'!B13-'8 or greater'!B13-'12 or greater'!B13</f>
        <v>0</v>
      </c>
      <c r="I13">
        <f>C13-'6 or greater'!C13-'8 or greater'!C13-'12 or greater'!C13</f>
        <v>0</v>
      </c>
      <c r="J13">
        <f>D13-'6 or greater'!D13-'8 or greater'!D13-'12 or greater'!D13</f>
        <v>1</v>
      </c>
      <c r="K13">
        <f>E13-'6 or greater'!E13-'8 or greater'!E13-'12 or greater'!E13</f>
        <v>-1</v>
      </c>
      <c r="L13">
        <f>F13-'6 or greater'!F13-'8 or greater'!F13-'12 or greater'!F13</f>
        <v>1</v>
      </c>
    </row>
    <row r="14" spans="1:23" ht="36.5" thickBot="1" x14ac:dyDescent="0.4">
      <c r="A14" s="13" t="s">
        <v>13</v>
      </c>
      <c r="B14" s="14">
        <v>0</v>
      </c>
      <c r="C14" s="14">
        <v>2</v>
      </c>
      <c r="D14" s="14">
        <v>0</v>
      </c>
      <c r="E14" s="14">
        <v>1</v>
      </c>
      <c r="F14" s="14">
        <v>0</v>
      </c>
      <c r="H14">
        <f>B14-'6 or greater'!B14-'8 or greater'!B14-'12 or greater'!B14</f>
        <v>0</v>
      </c>
      <c r="I14">
        <f>C14-'6 or greater'!C14-'8 or greater'!C14-'12 or greater'!C14</f>
        <v>2</v>
      </c>
      <c r="J14">
        <f>D14-'6 or greater'!D14-'8 or greater'!D14-'12 or greater'!D14</f>
        <v>0</v>
      </c>
      <c r="K14">
        <f>E14-'6 or greater'!E14-'8 or greater'!E14-'12 or greater'!E14</f>
        <v>1</v>
      </c>
      <c r="L14">
        <f>F14-'6 or greater'!F14-'8 or greater'!F14-'12 or greater'!F14</f>
        <v>0</v>
      </c>
    </row>
    <row r="15" spans="1:23" ht="36.5" thickBot="1" x14ac:dyDescent="0.4">
      <c r="A15" s="11" t="s">
        <v>14</v>
      </c>
      <c r="B15" s="12">
        <v>0</v>
      </c>
      <c r="C15" s="12">
        <v>0</v>
      </c>
      <c r="D15" s="12">
        <v>1</v>
      </c>
      <c r="E15" s="12">
        <v>1</v>
      </c>
      <c r="F15" s="12">
        <v>0</v>
      </c>
      <c r="H15">
        <f>B15-'6 or greater'!B15-'8 or greater'!B15-'12 or greater'!B15</f>
        <v>0</v>
      </c>
      <c r="I15">
        <f>C15-'6 or greater'!C15-'8 or greater'!C15-'12 or greater'!C15</f>
        <v>0</v>
      </c>
      <c r="J15">
        <f>D15-'6 or greater'!D15-'8 or greater'!D15-'12 or greater'!D15</f>
        <v>1</v>
      </c>
      <c r="K15">
        <f>E15-'6 or greater'!E15-'8 or greater'!E15-'12 or greater'!E15</f>
        <v>0</v>
      </c>
      <c r="L15">
        <f>F15-'6 or greater'!F15-'8 or greater'!F15-'12 or greater'!F15</f>
        <v>0</v>
      </c>
    </row>
    <row r="16" spans="1:23" ht="36.5" thickBot="1" x14ac:dyDescent="0.4">
      <c r="A16" s="13" t="s">
        <v>15</v>
      </c>
      <c r="B16" s="14">
        <v>0</v>
      </c>
      <c r="C16" s="14">
        <v>1</v>
      </c>
      <c r="D16" s="14">
        <v>0</v>
      </c>
      <c r="E16" s="14">
        <v>0</v>
      </c>
      <c r="F16" s="14">
        <v>1</v>
      </c>
      <c r="H16">
        <f>B16-'6 or greater'!B16-'8 or greater'!B16-'12 or greater'!B16</f>
        <v>0</v>
      </c>
      <c r="I16">
        <f>C16-'6 or greater'!C16-'8 or greater'!C16-'12 or greater'!C16</f>
        <v>1</v>
      </c>
      <c r="J16">
        <f>D16-'6 or greater'!D16-'8 or greater'!D16-'12 or greater'!D16</f>
        <v>0</v>
      </c>
      <c r="K16">
        <f>E16-'6 or greater'!E16-'8 or greater'!E16-'12 or greater'!E16</f>
        <v>0</v>
      </c>
      <c r="L16">
        <f>F16-'6 or greater'!F16-'8 or greater'!F16-'12 or greater'!F16</f>
        <v>1</v>
      </c>
    </row>
    <row r="17" spans="1:12" ht="36.5" thickBot="1" x14ac:dyDescent="0.4">
      <c r="A17" s="11" t="s">
        <v>16</v>
      </c>
      <c r="B17" s="12">
        <v>0</v>
      </c>
      <c r="C17" s="12">
        <v>0</v>
      </c>
      <c r="D17" s="12">
        <v>0</v>
      </c>
      <c r="E17" s="12">
        <v>1</v>
      </c>
      <c r="F17" s="12">
        <v>1</v>
      </c>
      <c r="H17">
        <f>B17-'6 or greater'!B17-'8 or greater'!B17-'12 or greater'!B17</f>
        <v>0</v>
      </c>
      <c r="I17">
        <f>C17-'6 or greater'!C17-'8 or greater'!C17-'12 or greater'!C17</f>
        <v>0</v>
      </c>
      <c r="J17">
        <f>D17-'6 or greater'!D17-'8 or greater'!D17-'12 or greater'!D17</f>
        <v>0</v>
      </c>
      <c r="K17">
        <f>E17-'6 or greater'!E17-'8 or greater'!E17-'12 or greater'!E17</f>
        <v>1</v>
      </c>
      <c r="L17">
        <f>F17-'6 or greater'!F17-'8 or greater'!F17-'12 or greater'!F17</f>
        <v>-1</v>
      </c>
    </row>
    <row r="18" spans="1:12" ht="36.5" thickBot="1" x14ac:dyDescent="0.4">
      <c r="A18" s="13" t="s">
        <v>17</v>
      </c>
      <c r="B18" s="14">
        <v>0</v>
      </c>
      <c r="C18" s="14">
        <v>1</v>
      </c>
      <c r="D18" s="14">
        <v>0</v>
      </c>
      <c r="E18" s="14">
        <v>0</v>
      </c>
      <c r="F18" s="14">
        <v>2</v>
      </c>
      <c r="H18">
        <f>B18-'6 or greater'!B18-'8 or greater'!B18-'12 or greater'!B18</f>
        <v>0</v>
      </c>
      <c r="I18">
        <f>C18-'6 or greater'!C18-'8 or greater'!C18-'12 or greater'!C18</f>
        <v>1</v>
      </c>
      <c r="J18">
        <f>D18-'6 or greater'!D18-'8 or greater'!D18-'12 or greater'!D18</f>
        <v>0</v>
      </c>
      <c r="K18">
        <f>E18-'6 or greater'!E18-'8 or greater'!E18-'12 or greater'!E18</f>
        <v>0</v>
      </c>
      <c r="L18">
        <f>F18-'6 or greater'!F18-'8 or greater'!F18-'12 or greater'!F18</f>
        <v>0</v>
      </c>
    </row>
    <row r="19" spans="1:12" ht="36.5" thickBot="1" x14ac:dyDescent="0.4">
      <c r="A19" s="11" t="s">
        <v>18</v>
      </c>
      <c r="B19" s="12">
        <v>0</v>
      </c>
      <c r="C19" s="12">
        <v>0</v>
      </c>
      <c r="D19" s="12">
        <v>1</v>
      </c>
      <c r="E19" s="12">
        <v>0</v>
      </c>
      <c r="F19" s="12">
        <v>1</v>
      </c>
      <c r="H19">
        <f>B19-'6 or greater'!B19-'8 or greater'!B19-'12 or greater'!B19</f>
        <v>0</v>
      </c>
      <c r="I19">
        <f>C19-'6 or greater'!C19-'8 or greater'!C19-'12 or greater'!C19</f>
        <v>0</v>
      </c>
      <c r="J19">
        <f>D19-'6 or greater'!D19-'8 or greater'!D19-'12 or greater'!D19</f>
        <v>1</v>
      </c>
      <c r="K19">
        <f>E19-'6 or greater'!E19-'8 or greater'!E19-'12 or greater'!E19</f>
        <v>0</v>
      </c>
      <c r="L19">
        <f>F19-'6 or greater'!F19-'8 or greater'!F19-'12 or greater'!F19</f>
        <v>1</v>
      </c>
    </row>
    <row r="20" spans="1:12" ht="36.5" thickBot="1" x14ac:dyDescent="0.4">
      <c r="A20" s="13" t="s">
        <v>19</v>
      </c>
      <c r="B20" s="14">
        <v>1</v>
      </c>
      <c r="C20" s="14">
        <v>1</v>
      </c>
      <c r="D20" s="14">
        <v>1</v>
      </c>
      <c r="E20" s="14">
        <v>2</v>
      </c>
      <c r="F20" s="14">
        <v>1</v>
      </c>
      <c r="H20">
        <f>B20-'6 or greater'!B20-'8 or greater'!B20-'12 or greater'!B20</f>
        <v>1</v>
      </c>
      <c r="I20">
        <f>C20-'6 or greater'!C20-'8 or greater'!C20-'12 or greater'!C20</f>
        <v>-1</v>
      </c>
      <c r="J20">
        <f>D20-'6 or greater'!D20-'8 or greater'!D20-'12 or greater'!D20</f>
        <v>0</v>
      </c>
      <c r="K20">
        <f>E20-'6 or greater'!E20-'8 or greater'!E20-'12 or greater'!E20</f>
        <v>1</v>
      </c>
      <c r="L20">
        <f>F20-'6 or greater'!F20-'8 or greater'!F20-'12 or greater'!F20</f>
        <v>0</v>
      </c>
    </row>
    <row r="21" spans="1:12" ht="36.5" thickBot="1" x14ac:dyDescent="0.4">
      <c r="A21" s="11" t="s">
        <v>20</v>
      </c>
      <c r="B21" s="12">
        <v>0</v>
      </c>
      <c r="C21" s="12">
        <v>0</v>
      </c>
      <c r="D21" s="12">
        <v>0</v>
      </c>
      <c r="E21" s="12">
        <v>0</v>
      </c>
      <c r="F21" s="12">
        <v>1</v>
      </c>
      <c r="H21">
        <f>B21-'6 or greater'!B21-'8 or greater'!B21-'12 or greater'!B21</f>
        <v>0</v>
      </c>
      <c r="I21">
        <f>C21-'6 or greater'!C21-'8 or greater'!C21-'12 or greater'!C21</f>
        <v>0</v>
      </c>
      <c r="J21">
        <f>D21-'6 or greater'!D21-'8 or greater'!D21-'12 or greater'!D21</f>
        <v>0</v>
      </c>
      <c r="K21">
        <f>E21-'6 or greater'!E21-'8 or greater'!E21-'12 or greater'!E21</f>
        <v>0</v>
      </c>
      <c r="L21">
        <f>F21-'6 or greater'!F21-'8 or greater'!F21-'12 or greater'!F21</f>
        <v>1</v>
      </c>
    </row>
    <row r="22" spans="1:12" ht="36.5" thickBot="1" x14ac:dyDescent="0.4">
      <c r="A22" s="13" t="s">
        <v>21</v>
      </c>
      <c r="B22" s="14">
        <v>1</v>
      </c>
      <c r="C22" s="14">
        <v>0</v>
      </c>
      <c r="D22" s="14">
        <v>0</v>
      </c>
      <c r="E22" s="14">
        <v>0</v>
      </c>
      <c r="F22" s="14">
        <v>1</v>
      </c>
      <c r="H22">
        <f>B22-'6 or greater'!B22-'8 or greater'!B22-'12 or greater'!B22</f>
        <v>1</v>
      </c>
      <c r="I22">
        <f>C22-'6 or greater'!C22-'8 or greater'!C22-'12 or greater'!C22</f>
        <v>0</v>
      </c>
      <c r="J22">
        <f>D22-'6 or greater'!D22-'8 or greater'!D22-'12 or greater'!D22</f>
        <v>0</v>
      </c>
      <c r="K22">
        <f>E22-'6 or greater'!E22-'8 or greater'!E22-'12 or greater'!E22</f>
        <v>0</v>
      </c>
      <c r="L22">
        <f>F22-'6 or greater'!F22-'8 or greater'!F22-'12 or greater'!F22</f>
        <v>-1</v>
      </c>
    </row>
    <row r="23" spans="1:12" ht="36.5" thickBot="1" x14ac:dyDescent="0.4">
      <c r="A23" s="11" t="s">
        <v>22</v>
      </c>
      <c r="B23" s="12">
        <v>0</v>
      </c>
      <c r="C23" s="12">
        <v>3</v>
      </c>
      <c r="D23" s="12">
        <v>0</v>
      </c>
      <c r="E23" s="12">
        <v>2</v>
      </c>
      <c r="F23" s="12">
        <v>1</v>
      </c>
      <c r="H23">
        <f>B23-'6 or greater'!B23-'8 or greater'!B23-'12 or greater'!B23</f>
        <v>0</v>
      </c>
      <c r="I23">
        <f>C23-'6 or greater'!C23-'8 or greater'!C23-'12 or greater'!C23</f>
        <v>0</v>
      </c>
      <c r="J23">
        <f>D23-'6 or greater'!D23-'8 or greater'!D23-'12 or greater'!D23</f>
        <v>0</v>
      </c>
      <c r="K23">
        <f>E23-'6 or greater'!E23-'8 or greater'!E23-'12 or greater'!E23</f>
        <v>2</v>
      </c>
      <c r="L23">
        <f>F23-'6 or greater'!F23-'8 or greater'!F23-'12 or greater'!F23</f>
        <v>0</v>
      </c>
    </row>
    <row r="24" spans="1:12" ht="36.5" thickBot="1" x14ac:dyDescent="0.4">
      <c r="A24" s="13" t="s">
        <v>23</v>
      </c>
      <c r="B24" s="14">
        <v>0</v>
      </c>
      <c r="C24" s="14">
        <v>0</v>
      </c>
      <c r="D24" s="14">
        <v>2</v>
      </c>
      <c r="E24" s="14">
        <v>0</v>
      </c>
      <c r="F24" s="14">
        <v>0</v>
      </c>
      <c r="H24">
        <f>B24-'6 or greater'!B24-'8 or greater'!B24-'12 or greater'!B24</f>
        <v>0</v>
      </c>
      <c r="I24">
        <f>C24-'6 or greater'!C24-'8 or greater'!C24-'12 or greater'!C24</f>
        <v>0</v>
      </c>
      <c r="J24">
        <f>D24-'6 or greater'!D24-'8 or greater'!D24-'12 or greater'!D24</f>
        <v>0</v>
      </c>
      <c r="K24">
        <f>E24-'6 or greater'!E24-'8 or greater'!E24-'12 or greater'!E24</f>
        <v>0</v>
      </c>
      <c r="L24">
        <f>F24-'6 or greater'!F24-'8 or greater'!F24-'12 or greater'!F24</f>
        <v>0</v>
      </c>
    </row>
    <row r="25" spans="1:12" ht="36.5" thickBot="1" x14ac:dyDescent="0.4">
      <c r="A25" s="11" t="s">
        <v>24</v>
      </c>
      <c r="B25" s="12">
        <v>0</v>
      </c>
      <c r="C25" s="12">
        <v>0</v>
      </c>
      <c r="D25" s="12">
        <v>3</v>
      </c>
      <c r="E25" s="12">
        <v>0</v>
      </c>
      <c r="F25" s="12">
        <v>1</v>
      </c>
      <c r="H25">
        <f>B25-'6 or greater'!B25-'8 or greater'!B25-'12 or greater'!B25</f>
        <v>0</v>
      </c>
      <c r="I25">
        <f>C25-'6 or greater'!C25-'8 or greater'!C25-'12 or greater'!C25</f>
        <v>0</v>
      </c>
      <c r="J25">
        <f>D25-'6 or greater'!D25-'8 or greater'!D25-'12 or greater'!D25</f>
        <v>2</v>
      </c>
      <c r="K25">
        <f>E25-'6 or greater'!E25-'8 or greater'!E25-'12 or greater'!E25</f>
        <v>0</v>
      </c>
      <c r="L25">
        <f>F25-'6 or greater'!F25-'8 or greater'!F25-'12 or greater'!F25</f>
        <v>-2</v>
      </c>
    </row>
    <row r="26" spans="1:12" ht="36.5" thickBot="1" x14ac:dyDescent="0.4">
      <c r="A26" s="13" t="s">
        <v>25</v>
      </c>
      <c r="B26" s="14">
        <v>1</v>
      </c>
      <c r="C26" s="14">
        <v>0</v>
      </c>
      <c r="D26" s="14">
        <v>1</v>
      </c>
      <c r="E26" s="14">
        <v>0</v>
      </c>
      <c r="F26" s="14">
        <v>0</v>
      </c>
      <c r="H26">
        <f>B26-'6 or greater'!B26-'8 or greater'!B26-'12 or greater'!B26</f>
        <v>1</v>
      </c>
      <c r="I26">
        <f>C26-'6 or greater'!C26-'8 or greater'!C26-'12 or greater'!C26</f>
        <v>0</v>
      </c>
      <c r="J26">
        <f>D26-'6 or greater'!D26-'8 or greater'!D26-'12 or greater'!D26</f>
        <v>1</v>
      </c>
      <c r="K26">
        <f>E26-'6 or greater'!E26-'8 or greater'!E26-'12 or greater'!E26</f>
        <v>0</v>
      </c>
      <c r="L26">
        <f>F26-'6 or greater'!F26-'8 or greater'!F26-'12 or greater'!F26</f>
        <v>0</v>
      </c>
    </row>
    <row r="27" spans="1:12" ht="36.5" thickBot="1" x14ac:dyDescent="0.4">
      <c r="A27" s="11" t="s">
        <v>26</v>
      </c>
      <c r="B27" s="12">
        <v>2</v>
      </c>
      <c r="C27" s="12">
        <v>2</v>
      </c>
      <c r="D27" s="12">
        <v>0</v>
      </c>
      <c r="E27" s="12">
        <v>0</v>
      </c>
      <c r="F27" s="12">
        <v>1</v>
      </c>
      <c r="H27">
        <f>B27-'6 or greater'!B27-'8 or greater'!B27-'12 or greater'!B27</f>
        <v>1</v>
      </c>
      <c r="I27">
        <f>C27-'6 or greater'!C27-'8 or greater'!C27-'12 or greater'!C27</f>
        <v>1</v>
      </c>
      <c r="J27">
        <f>D27-'6 or greater'!D27-'8 or greater'!D27-'12 or greater'!D27</f>
        <v>0</v>
      </c>
      <c r="K27">
        <f>E27-'6 or greater'!E27-'8 or greater'!E27-'12 or greater'!E27</f>
        <v>0</v>
      </c>
      <c r="L27">
        <f>F27-'6 or greater'!F27-'8 or greater'!F27-'12 or greater'!F27</f>
        <v>1</v>
      </c>
    </row>
    <row r="28" spans="1:12" ht="36.5" thickBot="1" x14ac:dyDescent="0.4">
      <c r="A28" s="13" t="s">
        <v>27</v>
      </c>
      <c r="B28" s="14">
        <v>0</v>
      </c>
      <c r="C28" s="14">
        <v>1</v>
      </c>
      <c r="D28" s="14">
        <v>0</v>
      </c>
      <c r="E28" s="14">
        <v>0</v>
      </c>
      <c r="F28" s="14">
        <v>1</v>
      </c>
      <c r="H28">
        <f>B28-'6 or greater'!B28-'8 or greater'!B28-'12 or greater'!B28</f>
        <v>0</v>
      </c>
      <c r="I28">
        <f>C28-'6 or greater'!C28-'8 or greater'!C28-'12 or greater'!C28</f>
        <v>0</v>
      </c>
      <c r="J28">
        <f>D28-'6 or greater'!D28-'8 or greater'!D28-'12 or greater'!D28</f>
        <v>0</v>
      </c>
      <c r="K28">
        <f>E28-'6 or greater'!E28-'8 or greater'!E28-'12 or greater'!E28</f>
        <v>0</v>
      </c>
      <c r="L28">
        <f>F28-'6 or greater'!F28-'8 or greater'!F28-'12 or greater'!F28</f>
        <v>0</v>
      </c>
    </row>
    <row r="29" spans="1:12" ht="36.5" thickBot="1" x14ac:dyDescent="0.4">
      <c r="A29" s="11" t="s">
        <v>28</v>
      </c>
      <c r="B29" s="12">
        <v>1</v>
      </c>
      <c r="C29" s="12">
        <v>0</v>
      </c>
      <c r="D29" s="12">
        <v>0</v>
      </c>
      <c r="E29" s="12">
        <v>0</v>
      </c>
      <c r="F29" s="12">
        <v>1</v>
      </c>
      <c r="H29">
        <f>B29-'6 or greater'!B29-'8 or greater'!B29-'12 or greater'!B29</f>
        <v>1</v>
      </c>
      <c r="I29">
        <f>C29-'6 or greater'!C29-'8 or greater'!C29-'12 or greater'!C29</f>
        <v>0</v>
      </c>
      <c r="J29">
        <f>D29-'6 or greater'!D29-'8 or greater'!D29-'12 or greater'!D29</f>
        <v>0</v>
      </c>
      <c r="K29">
        <f>E29-'6 or greater'!E29-'8 or greater'!E29-'12 or greater'!E29</f>
        <v>0</v>
      </c>
      <c r="L29">
        <f>F29-'6 or greater'!F29-'8 or greater'!F29-'12 or greater'!F29</f>
        <v>1</v>
      </c>
    </row>
    <row r="30" spans="1:12" ht="36.5" thickBot="1" x14ac:dyDescent="0.4">
      <c r="A30" s="13" t="s">
        <v>29</v>
      </c>
      <c r="B30" s="14">
        <v>1</v>
      </c>
      <c r="C30" s="14">
        <v>0</v>
      </c>
      <c r="D30" s="14">
        <v>2</v>
      </c>
      <c r="E30" s="14">
        <v>1</v>
      </c>
      <c r="F30" s="14">
        <v>0</v>
      </c>
      <c r="H30">
        <f>B30-'6 or greater'!B30-'8 or greater'!B30-'12 or greater'!B30</f>
        <v>1</v>
      </c>
      <c r="I30">
        <f>C30-'6 or greater'!C30-'8 or greater'!C30-'12 or greater'!C30</f>
        <v>0</v>
      </c>
      <c r="J30">
        <f>D30-'6 or greater'!D30-'8 or greater'!D30-'12 or greater'!D30</f>
        <v>0</v>
      </c>
      <c r="K30">
        <f>E30-'6 or greater'!E30-'8 or greater'!E30-'12 or greater'!E30</f>
        <v>1</v>
      </c>
      <c r="L30">
        <f>F30-'6 or greater'!F30-'8 or greater'!F30-'12 or greater'!F30</f>
        <v>0</v>
      </c>
    </row>
    <row r="31" spans="1:12" ht="36.5" thickBot="1" x14ac:dyDescent="0.4">
      <c r="A31" s="11" t="s">
        <v>30</v>
      </c>
      <c r="B31" s="12">
        <v>1</v>
      </c>
      <c r="C31" s="12">
        <v>0</v>
      </c>
      <c r="D31" s="12">
        <v>1</v>
      </c>
      <c r="E31" s="12">
        <v>0</v>
      </c>
      <c r="F31" s="12">
        <v>0</v>
      </c>
      <c r="H31">
        <f>B31-'6 or greater'!B31-'8 or greater'!B31-'12 or greater'!B31</f>
        <v>1</v>
      </c>
      <c r="I31">
        <f>C31-'6 or greater'!C31-'8 or greater'!C31-'12 or greater'!C31</f>
        <v>0</v>
      </c>
      <c r="J31">
        <f>D31-'6 or greater'!D31-'8 or greater'!D31-'12 or greater'!D31</f>
        <v>0</v>
      </c>
      <c r="K31">
        <f>E31-'6 or greater'!E31-'8 or greater'!E31-'12 or greater'!E31</f>
        <v>0</v>
      </c>
      <c r="L31">
        <f>F31-'6 or greater'!F31-'8 or greater'!F31-'12 or greater'!F31</f>
        <v>0</v>
      </c>
    </row>
    <row r="32" spans="1:12" ht="36.5" thickBot="1" x14ac:dyDescent="0.4">
      <c r="A32" s="13" t="s">
        <v>31</v>
      </c>
      <c r="B32" s="14">
        <v>3</v>
      </c>
      <c r="C32" s="14">
        <v>0</v>
      </c>
      <c r="D32" s="14">
        <v>0</v>
      </c>
      <c r="E32" s="14">
        <v>0</v>
      </c>
      <c r="F32" s="14">
        <v>0</v>
      </c>
      <c r="H32">
        <f>B32-'6 or greater'!B32-'8 or greater'!B32-'12 or greater'!B32</f>
        <v>-4</v>
      </c>
      <c r="I32">
        <f>C32-'6 or greater'!C32-'8 or greater'!C32-'12 or greater'!C32</f>
        <v>0</v>
      </c>
      <c r="J32">
        <f>D32-'6 or greater'!D32-'8 or greater'!D32-'12 or greater'!D32</f>
        <v>0</v>
      </c>
      <c r="K32">
        <f>E32-'6 or greater'!E32-'8 or greater'!E32-'12 or greater'!E32</f>
        <v>0</v>
      </c>
      <c r="L32">
        <f>F32-'6 or greater'!F32-'8 or greater'!F32-'12 or greater'!F32</f>
        <v>0</v>
      </c>
    </row>
    <row r="33" spans="1:12" ht="36.5" thickBot="1" x14ac:dyDescent="0.4">
      <c r="A33" s="11" t="s">
        <v>32</v>
      </c>
      <c r="B33" s="12">
        <v>0</v>
      </c>
      <c r="C33" s="12">
        <v>0</v>
      </c>
      <c r="D33" s="12">
        <v>0</v>
      </c>
      <c r="E33" s="12">
        <v>1</v>
      </c>
      <c r="F33" s="12">
        <v>0</v>
      </c>
      <c r="H33">
        <f>B33-'6 or greater'!B33-'8 or greater'!B33-'12 or greater'!B33</f>
        <v>0</v>
      </c>
      <c r="I33">
        <f>C33-'6 or greater'!C33-'8 or greater'!C33-'12 or greater'!C33</f>
        <v>0</v>
      </c>
      <c r="J33">
        <f>D33-'6 or greater'!D33-'8 or greater'!D33-'12 or greater'!D33</f>
        <v>0</v>
      </c>
      <c r="K33">
        <f>E33-'6 or greater'!E33-'8 or greater'!E33-'12 or greater'!E33</f>
        <v>1</v>
      </c>
      <c r="L33">
        <f>F33-'6 or greater'!F33-'8 or greater'!F33-'12 or greater'!F33</f>
        <v>0</v>
      </c>
    </row>
    <row r="34" spans="1:12" ht="36.5" thickBot="1" x14ac:dyDescent="0.4">
      <c r="A34" s="13" t="s">
        <v>33</v>
      </c>
      <c r="B34" s="14">
        <v>1</v>
      </c>
      <c r="C34" s="14">
        <v>0</v>
      </c>
      <c r="D34" s="14">
        <v>0</v>
      </c>
      <c r="E34" s="14">
        <v>0</v>
      </c>
      <c r="F34" s="14">
        <v>0</v>
      </c>
      <c r="H34">
        <f>B34-'6 or greater'!B34-'8 or greater'!B34-'12 or greater'!B34</f>
        <v>1</v>
      </c>
      <c r="I34">
        <f>C34-'6 or greater'!C34-'8 or greater'!C34-'12 or greater'!C34</f>
        <v>0</v>
      </c>
      <c r="J34">
        <f>D34-'6 or greater'!D34-'8 or greater'!D34-'12 or greater'!D34</f>
        <v>0</v>
      </c>
      <c r="K34">
        <f>E34-'6 or greater'!E34-'8 or greater'!E34-'12 or greater'!E34</f>
        <v>0</v>
      </c>
      <c r="L34">
        <f>F34-'6 or greater'!F34-'8 or greater'!F34-'12 or greater'!F34</f>
        <v>0</v>
      </c>
    </row>
    <row r="35" spans="1:12" ht="36.5" thickBot="1" x14ac:dyDescent="0.4">
      <c r="A35" s="11" t="s">
        <v>34</v>
      </c>
      <c r="B35" s="12">
        <v>1</v>
      </c>
      <c r="C35" s="12">
        <v>1</v>
      </c>
      <c r="D35" s="12">
        <v>0</v>
      </c>
      <c r="E35" s="12">
        <v>1</v>
      </c>
      <c r="F35" s="12">
        <v>2</v>
      </c>
      <c r="H35">
        <f>B35-'6 or greater'!B35-'8 or greater'!B35-'12 or greater'!B35</f>
        <v>1</v>
      </c>
      <c r="I35">
        <f>C35-'6 or greater'!C35-'8 or greater'!C35-'12 or greater'!C35</f>
        <v>1</v>
      </c>
      <c r="J35">
        <f>D35-'6 or greater'!D35-'8 or greater'!D35-'12 or greater'!D35</f>
        <v>0</v>
      </c>
      <c r="K35">
        <f>E35-'6 or greater'!E35-'8 or greater'!E35-'12 or greater'!E35</f>
        <v>1</v>
      </c>
      <c r="L35">
        <f>F35-'6 or greater'!F35-'8 or greater'!F35-'12 or greater'!F35</f>
        <v>-1</v>
      </c>
    </row>
    <row r="36" spans="1:12" ht="36.5" thickBot="1" x14ac:dyDescent="0.4">
      <c r="A36" s="13" t="s">
        <v>35</v>
      </c>
      <c r="B36" s="14">
        <v>0</v>
      </c>
      <c r="C36" s="14">
        <v>0</v>
      </c>
      <c r="D36" s="14">
        <v>1</v>
      </c>
      <c r="E36" s="14">
        <v>0</v>
      </c>
      <c r="F36" s="14">
        <v>0</v>
      </c>
      <c r="H36">
        <f>B36-'6 or greater'!B36-'8 or greater'!B36-'12 or greater'!B36</f>
        <v>0</v>
      </c>
      <c r="I36">
        <f>C36-'6 or greater'!C36-'8 or greater'!C36-'12 or greater'!C36</f>
        <v>0</v>
      </c>
      <c r="J36">
        <f>D36-'6 or greater'!D36-'8 or greater'!D36-'12 or greater'!D36</f>
        <v>0</v>
      </c>
      <c r="K36">
        <f>E36-'6 or greater'!E36-'8 or greater'!E36-'12 or greater'!E36</f>
        <v>0</v>
      </c>
      <c r="L36">
        <f>F36-'6 or greater'!F36-'8 or greater'!F36-'12 or greater'!F36</f>
        <v>0</v>
      </c>
    </row>
    <row r="37" spans="1:12" ht="36.5" thickBot="1" x14ac:dyDescent="0.4">
      <c r="A37" s="11" t="s">
        <v>36</v>
      </c>
      <c r="B37" s="12">
        <v>0</v>
      </c>
      <c r="C37" s="12">
        <v>0</v>
      </c>
      <c r="D37" s="12">
        <v>1</v>
      </c>
      <c r="E37" s="12">
        <v>0</v>
      </c>
      <c r="F37" s="12">
        <v>0</v>
      </c>
      <c r="H37">
        <f>B37-'6 or greater'!B37-'8 or greater'!B37-'12 or greater'!B37</f>
        <v>0</v>
      </c>
      <c r="I37">
        <f>C37-'6 or greater'!C37-'8 or greater'!C37-'12 or greater'!C37</f>
        <v>0</v>
      </c>
      <c r="J37">
        <f>D37-'6 or greater'!D37-'8 or greater'!D37-'12 or greater'!D37</f>
        <v>1</v>
      </c>
      <c r="K37">
        <f>E37-'6 or greater'!E37-'8 or greater'!E37-'12 or greater'!E37</f>
        <v>0</v>
      </c>
      <c r="L37">
        <f>F37-'6 or greater'!F37-'8 or greater'!F37-'12 or greater'!F37</f>
        <v>0</v>
      </c>
    </row>
    <row r="38" spans="1:12" ht="36.5" thickBot="1" x14ac:dyDescent="0.4">
      <c r="A38" s="13" t="s">
        <v>37</v>
      </c>
      <c r="B38" s="14">
        <v>2</v>
      </c>
      <c r="C38" s="14">
        <v>1</v>
      </c>
      <c r="D38" s="14">
        <v>0</v>
      </c>
      <c r="E38" s="14">
        <v>1</v>
      </c>
      <c r="F38" s="14">
        <v>1</v>
      </c>
      <c r="H38">
        <f>B38-'6 or greater'!B38-'8 or greater'!B38-'12 or greater'!B38</f>
        <v>1</v>
      </c>
      <c r="I38">
        <f>C38-'6 or greater'!C38-'8 or greater'!C38-'12 or greater'!C38</f>
        <v>-1</v>
      </c>
      <c r="J38">
        <f>D38-'6 or greater'!D38-'8 or greater'!D38-'12 or greater'!D38</f>
        <v>0</v>
      </c>
      <c r="K38">
        <f>E38-'6 or greater'!E38-'8 or greater'!E38-'12 or greater'!E38</f>
        <v>1</v>
      </c>
      <c r="L38">
        <f>F38-'6 or greater'!F38-'8 or greater'!F38-'12 or greater'!F38</f>
        <v>0</v>
      </c>
    </row>
    <row r="39" spans="1:12" ht="36.5" thickBot="1" x14ac:dyDescent="0.4">
      <c r="A39" s="11" t="s">
        <v>38</v>
      </c>
      <c r="B39" s="12">
        <v>0</v>
      </c>
      <c r="C39" s="12">
        <v>0</v>
      </c>
      <c r="D39" s="12">
        <v>0</v>
      </c>
      <c r="E39" s="12">
        <v>0</v>
      </c>
      <c r="F39" s="12">
        <v>3</v>
      </c>
      <c r="H39">
        <f>B39-'6 or greater'!B39-'8 or greater'!B39-'12 or greater'!B39</f>
        <v>0</v>
      </c>
      <c r="I39">
        <f>C39-'6 or greater'!C39-'8 or greater'!C39-'12 or greater'!C39</f>
        <v>0</v>
      </c>
      <c r="J39">
        <f>D39-'6 or greater'!D39-'8 or greater'!D39-'12 or greater'!D39</f>
        <v>0</v>
      </c>
      <c r="K39">
        <f>E39-'6 or greater'!E39-'8 or greater'!E39-'12 or greater'!E39</f>
        <v>0</v>
      </c>
      <c r="L39">
        <f>F39-'6 or greater'!F39-'8 or greater'!F39-'12 or greater'!F39</f>
        <v>-3</v>
      </c>
    </row>
    <row r="40" spans="1:12" ht="36.5" thickBot="1" x14ac:dyDescent="0.4">
      <c r="A40" s="13" t="s">
        <v>39</v>
      </c>
      <c r="B40" s="14">
        <v>4</v>
      </c>
      <c r="C40" s="14">
        <v>1</v>
      </c>
      <c r="D40" s="14">
        <v>0</v>
      </c>
      <c r="E40" s="14">
        <v>0</v>
      </c>
      <c r="F40" s="14">
        <v>1</v>
      </c>
      <c r="H40">
        <f>B40-'6 or greater'!B40-'8 or greater'!B40-'12 or greater'!B40</f>
        <v>1</v>
      </c>
      <c r="I40">
        <f>C40-'6 or greater'!C40-'8 or greater'!C40-'12 or greater'!C40</f>
        <v>0</v>
      </c>
      <c r="J40">
        <f>D40-'6 or greater'!D40-'8 or greater'!D40-'12 or greater'!D40</f>
        <v>0</v>
      </c>
      <c r="K40">
        <f>E40-'6 or greater'!E40-'8 or greater'!E40-'12 or greater'!E40</f>
        <v>0</v>
      </c>
      <c r="L40">
        <f>F40-'6 or greater'!F40-'8 or greater'!F40-'12 or greater'!F40</f>
        <v>-1</v>
      </c>
    </row>
    <row r="41" spans="1:12" ht="36.5" thickBot="1" x14ac:dyDescent="0.4">
      <c r="A41" s="11" t="s">
        <v>40</v>
      </c>
      <c r="B41" s="12">
        <v>0</v>
      </c>
      <c r="C41" s="12">
        <v>2</v>
      </c>
      <c r="D41" s="12">
        <v>0</v>
      </c>
      <c r="E41" s="12">
        <v>1</v>
      </c>
      <c r="F41" s="12">
        <v>1</v>
      </c>
      <c r="H41">
        <f>B41-'6 or greater'!B41-'8 or greater'!B41-'12 or greater'!B41</f>
        <v>0</v>
      </c>
      <c r="I41">
        <f>C41-'6 or greater'!C41-'8 or greater'!C41-'12 or greater'!C41</f>
        <v>-1</v>
      </c>
      <c r="J41">
        <f>D41-'6 or greater'!D41-'8 or greater'!D41-'12 or greater'!D41</f>
        <v>0</v>
      </c>
      <c r="K41">
        <f>E41-'6 or greater'!E41-'8 or greater'!E41-'12 or greater'!E41</f>
        <v>0</v>
      </c>
      <c r="L41">
        <f>F41-'6 or greater'!F41-'8 or greater'!F41-'12 or greater'!F41</f>
        <v>1</v>
      </c>
    </row>
    <row r="42" spans="1:12" ht="36.5" thickBot="1" x14ac:dyDescent="0.4">
      <c r="A42" s="13" t="s">
        <v>41</v>
      </c>
      <c r="B42" s="14">
        <v>2</v>
      </c>
      <c r="C42" s="14">
        <v>0</v>
      </c>
      <c r="D42" s="14">
        <v>2</v>
      </c>
      <c r="E42" s="14">
        <v>0</v>
      </c>
      <c r="F42" s="14">
        <v>1</v>
      </c>
      <c r="H42">
        <f>B42-'6 or greater'!B42-'8 or greater'!B42-'12 or greater'!B42</f>
        <v>1</v>
      </c>
      <c r="I42">
        <f>C42-'6 or greater'!C42-'8 or greater'!C42-'12 or greater'!C42</f>
        <v>0</v>
      </c>
      <c r="J42">
        <f>D42-'6 or greater'!D42-'8 or greater'!D42-'12 or greater'!D42</f>
        <v>-4</v>
      </c>
      <c r="K42">
        <f>E42-'6 or greater'!E42-'8 or greater'!E42-'12 or greater'!E42</f>
        <v>0</v>
      </c>
      <c r="L42">
        <f>F42-'6 or greater'!F42-'8 or greater'!F42-'12 or greater'!F42</f>
        <v>1</v>
      </c>
    </row>
    <row r="43" spans="1:12" ht="36.5" thickBot="1" x14ac:dyDescent="0.4">
      <c r="A43" s="11" t="s">
        <v>42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H43">
        <f>B43-'6 or greater'!B43-'8 or greater'!B43-'12 or greater'!B43</f>
        <v>0</v>
      </c>
      <c r="I43">
        <f>C43-'6 or greater'!C43-'8 or greater'!C43-'12 or greater'!C43</f>
        <v>0</v>
      </c>
      <c r="J43">
        <f>D43-'6 or greater'!D43-'8 or greater'!D43-'12 or greater'!D43</f>
        <v>0</v>
      </c>
      <c r="K43">
        <f>E43-'6 or greater'!E43-'8 or greater'!E43-'12 or greater'!E43</f>
        <v>0</v>
      </c>
      <c r="L43">
        <f>F43-'6 or greater'!F43-'8 or greater'!F43-'12 or greater'!F43</f>
        <v>0</v>
      </c>
    </row>
    <row r="44" spans="1:12" ht="36.5" thickBot="1" x14ac:dyDescent="0.4">
      <c r="A44" s="13" t="s">
        <v>43</v>
      </c>
      <c r="B44" s="14">
        <v>0</v>
      </c>
      <c r="C44" s="14">
        <v>0</v>
      </c>
      <c r="D44" s="14">
        <v>1</v>
      </c>
      <c r="E44" s="14">
        <v>0</v>
      </c>
      <c r="F44" s="14">
        <v>0</v>
      </c>
      <c r="H44">
        <f>B44-'6 or greater'!B44-'8 or greater'!B44-'12 or greater'!B44</f>
        <v>0</v>
      </c>
      <c r="I44">
        <f>C44-'6 or greater'!C44-'8 or greater'!C44-'12 or greater'!C44</f>
        <v>0</v>
      </c>
      <c r="J44">
        <f>D44-'6 or greater'!D44-'8 or greater'!D44-'12 or greater'!D44</f>
        <v>1</v>
      </c>
      <c r="K44">
        <f>E44-'6 or greater'!E44-'8 or greater'!E44-'12 or greater'!E44</f>
        <v>0</v>
      </c>
      <c r="L44">
        <f>F44-'6 or greater'!F44-'8 or greater'!F44-'12 or greater'!F44</f>
        <v>0</v>
      </c>
    </row>
    <row r="45" spans="1:12" ht="36.5" thickBot="1" x14ac:dyDescent="0.4">
      <c r="A45" s="11" t="s">
        <v>44</v>
      </c>
      <c r="B45" s="12">
        <v>1</v>
      </c>
      <c r="C45" s="12">
        <v>2</v>
      </c>
      <c r="D45" s="12">
        <v>0</v>
      </c>
      <c r="E45" s="12">
        <v>2</v>
      </c>
      <c r="F45" s="12">
        <v>0</v>
      </c>
      <c r="H45">
        <f>B45-'6 or greater'!B45-'8 or greater'!B45-'12 or greater'!B45</f>
        <v>-1</v>
      </c>
      <c r="I45">
        <f>C45-'6 or greater'!C45-'8 or greater'!C45-'12 or greater'!C45</f>
        <v>2</v>
      </c>
      <c r="J45">
        <f>D45-'6 or greater'!D45-'8 or greater'!D45-'12 or greater'!D45</f>
        <v>0</v>
      </c>
      <c r="K45">
        <f>E45-'6 or greater'!E45-'8 or greater'!E45-'12 or greater'!E45</f>
        <v>2</v>
      </c>
      <c r="L45">
        <f>F45-'6 or greater'!F45-'8 or greater'!F45-'12 or greater'!F45</f>
        <v>0</v>
      </c>
    </row>
    <row r="46" spans="1:12" ht="36.5" thickBot="1" x14ac:dyDescent="0.4">
      <c r="A46" s="13" t="s">
        <v>45</v>
      </c>
      <c r="B46" s="14">
        <v>1</v>
      </c>
      <c r="C46" s="14">
        <v>1</v>
      </c>
      <c r="D46" s="14">
        <v>0</v>
      </c>
      <c r="E46" s="14">
        <v>0</v>
      </c>
      <c r="F46" s="14">
        <v>0</v>
      </c>
      <c r="H46">
        <f>B46-'6 or greater'!B46-'8 or greater'!B46-'12 or greater'!B46</f>
        <v>1</v>
      </c>
      <c r="I46">
        <f>C46-'6 or greater'!C46-'8 or greater'!C46-'12 or greater'!C46</f>
        <v>0</v>
      </c>
      <c r="J46">
        <f>D46-'6 or greater'!D46-'8 or greater'!D46-'12 or greater'!D46</f>
        <v>0</v>
      </c>
      <c r="K46">
        <f>E46-'6 or greater'!E46-'8 or greater'!E46-'12 or greater'!E46</f>
        <v>0</v>
      </c>
      <c r="L46">
        <f>F46-'6 or greater'!F46-'8 or greater'!F46-'12 or greater'!F46</f>
        <v>0</v>
      </c>
    </row>
    <row r="47" spans="1:12" ht="36.5" thickBot="1" x14ac:dyDescent="0.4">
      <c r="A47" s="11" t="s">
        <v>46</v>
      </c>
      <c r="B47" s="12">
        <v>0</v>
      </c>
      <c r="C47" s="12">
        <v>0</v>
      </c>
      <c r="D47" s="12">
        <v>1</v>
      </c>
      <c r="E47" s="12">
        <v>0</v>
      </c>
      <c r="F47" s="12">
        <v>1</v>
      </c>
      <c r="H47">
        <f>B47-'6 or greater'!B47-'8 or greater'!B47-'12 or greater'!B47</f>
        <v>0</v>
      </c>
      <c r="I47">
        <f>C47-'6 or greater'!C47-'8 or greater'!C47-'12 or greater'!C47</f>
        <v>0</v>
      </c>
      <c r="J47">
        <f>D47-'6 or greater'!D47-'8 or greater'!D47-'12 or greater'!D47</f>
        <v>1</v>
      </c>
      <c r="K47">
        <f>E47-'6 or greater'!E47-'8 or greater'!E47-'12 or greater'!E47</f>
        <v>0</v>
      </c>
      <c r="L47">
        <f>F47-'6 or greater'!F47-'8 or greater'!F47-'12 or greater'!F47</f>
        <v>0</v>
      </c>
    </row>
    <row r="48" spans="1:12" ht="36.5" thickBot="1" x14ac:dyDescent="0.4">
      <c r="A48" s="13" t="s">
        <v>47</v>
      </c>
      <c r="B48" s="14">
        <v>1</v>
      </c>
      <c r="C48" s="14">
        <v>0</v>
      </c>
      <c r="D48" s="14">
        <v>1</v>
      </c>
      <c r="E48" s="14">
        <v>0</v>
      </c>
      <c r="F48" s="14">
        <v>1</v>
      </c>
      <c r="H48">
        <f>B48-'6 or greater'!B48-'8 or greater'!B48-'12 or greater'!B48</f>
        <v>-1</v>
      </c>
      <c r="I48">
        <f>C48-'6 or greater'!C48-'8 or greater'!C48-'12 or greater'!C48</f>
        <v>0</v>
      </c>
      <c r="J48">
        <f>D48-'6 or greater'!D48-'8 or greater'!D48-'12 or greater'!D48</f>
        <v>1</v>
      </c>
      <c r="K48">
        <f>E48-'6 or greater'!E48-'8 or greater'!E48-'12 or greater'!E48</f>
        <v>0</v>
      </c>
      <c r="L48">
        <f>F48-'6 or greater'!F48-'8 or greater'!F48-'12 or greater'!F48</f>
        <v>1</v>
      </c>
    </row>
    <row r="49" spans="1:12" ht="36.5" thickBot="1" x14ac:dyDescent="0.4">
      <c r="A49" s="11" t="s">
        <v>48</v>
      </c>
      <c r="B49" s="12">
        <v>0</v>
      </c>
      <c r="C49" s="12">
        <v>0</v>
      </c>
      <c r="D49" s="12">
        <v>2</v>
      </c>
      <c r="E49" s="12">
        <v>0</v>
      </c>
      <c r="F49" s="12">
        <v>1</v>
      </c>
      <c r="H49">
        <f>B49-'6 or greater'!B49-'8 or greater'!B49-'12 or greater'!B49</f>
        <v>0</v>
      </c>
      <c r="I49">
        <f>C49-'6 or greater'!C49-'8 or greater'!C49-'12 or greater'!C49</f>
        <v>0</v>
      </c>
      <c r="J49">
        <f>D49-'6 or greater'!D49-'8 or greater'!D49-'12 or greater'!D49</f>
        <v>2</v>
      </c>
      <c r="K49">
        <f>E49-'6 or greater'!E49-'8 or greater'!E49-'12 or greater'!E49</f>
        <v>0</v>
      </c>
      <c r="L49">
        <f>F49-'6 or greater'!F49-'8 or greater'!F49-'12 or greater'!F49</f>
        <v>1</v>
      </c>
    </row>
    <row r="50" spans="1:12" ht="36.5" thickBot="1" x14ac:dyDescent="0.4">
      <c r="A50" s="13" t="s">
        <v>49</v>
      </c>
      <c r="B50" s="14">
        <v>0</v>
      </c>
      <c r="C50" s="14">
        <v>0</v>
      </c>
      <c r="D50" s="14">
        <v>0</v>
      </c>
      <c r="E50" s="14">
        <v>1</v>
      </c>
      <c r="F50" s="14">
        <v>0</v>
      </c>
      <c r="H50">
        <f>B50-'6 or greater'!B50-'8 or greater'!B50-'12 or greater'!B50</f>
        <v>0</v>
      </c>
      <c r="I50">
        <f>C50-'6 or greater'!C50-'8 or greater'!C50-'12 or greater'!C50</f>
        <v>0</v>
      </c>
      <c r="J50">
        <f>D50-'6 or greater'!D50-'8 or greater'!D50-'12 or greater'!D50</f>
        <v>0</v>
      </c>
      <c r="K50">
        <f>E50-'6 or greater'!E50-'8 or greater'!E50-'12 or greater'!E50</f>
        <v>1</v>
      </c>
      <c r="L50">
        <f>F50-'6 or greater'!F50-'8 or greater'!F50-'12 or greater'!F50</f>
        <v>0</v>
      </c>
    </row>
    <row r="51" spans="1:12" ht="36.5" thickBot="1" x14ac:dyDescent="0.4">
      <c r="A51" s="11" t="s">
        <v>50</v>
      </c>
      <c r="B51" s="12">
        <v>0</v>
      </c>
      <c r="C51" s="12">
        <v>1</v>
      </c>
      <c r="D51" s="12">
        <v>2</v>
      </c>
      <c r="E51" s="12">
        <v>0</v>
      </c>
      <c r="F51" s="12">
        <v>0</v>
      </c>
      <c r="H51">
        <f>B51-'6 or greater'!B51-'8 or greater'!B51-'12 or greater'!B51</f>
        <v>0</v>
      </c>
      <c r="I51">
        <f>C51-'6 or greater'!C51-'8 or greater'!C51-'12 or greater'!C51</f>
        <v>1</v>
      </c>
      <c r="J51">
        <f>D51-'6 or greater'!D51-'8 or greater'!D51-'12 or greater'!D51</f>
        <v>1</v>
      </c>
      <c r="K51">
        <f>E51-'6 or greater'!E51-'8 or greater'!E51-'12 or greater'!E51</f>
        <v>0</v>
      </c>
      <c r="L51">
        <f>F51-'6 or greater'!F51-'8 or greater'!F51-'12 or greater'!F51</f>
        <v>0</v>
      </c>
    </row>
    <row r="52" spans="1:12" ht="36.5" thickBot="1" x14ac:dyDescent="0.4">
      <c r="A52" s="13" t="s">
        <v>51</v>
      </c>
      <c r="B52" s="14">
        <v>1</v>
      </c>
      <c r="C52" s="14">
        <v>1</v>
      </c>
      <c r="D52" s="14">
        <v>1</v>
      </c>
      <c r="E52" s="14">
        <v>0</v>
      </c>
      <c r="F52" s="14">
        <v>0</v>
      </c>
      <c r="H52">
        <f>B52-'6 or greater'!B52-'8 or greater'!B52-'12 or greater'!B52</f>
        <v>1</v>
      </c>
      <c r="I52">
        <f>C52-'6 or greater'!C52-'8 or greater'!C52-'12 or greater'!C52</f>
        <v>0</v>
      </c>
      <c r="J52">
        <f>D52-'6 or greater'!D52-'8 or greater'!D52-'12 or greater'!D52</f>
        <v>0</v>
      </c>
      <c r="K52">
        <f>E52-'6 or greater'!E52-'8 or greater'!E52-'12 or greater'!E52</f>
        <v>0</v>
      </c>
      <c r="L52">
        <f>F52-'6 or greater'!F52-'8 or greater'!F52-'12 or greater'!F52</f>
        <v>0</v>
      </c>
    </row>
    <row r="53" spans="1:12" ht="36.5" thickBot="1" x14ac:dyDescent="0.4">
      <c r="A53" s="11" t="s">
        <v>52</v>
      </c>
      <c r="B53" s="12">
        <v>1</v>
      </c>
      <c r="C53" s="12">
        <v>0</v>
      </c>
      <c r="D53" s="12">
        <v>0</v>
      </c>
      <c r="E53" s="12">
        <v>1</v>
      </c>
      <c r="F53" s="12">
        <v>0</v>
      </c>
      <c r="H53">
        <f>B53-'6 or greater'!B53-'8 or greater'!B53-'12 or greater'!B53</f>
        <v>1</v>
      </c>
      <c r="I53">
        <f>C53-'6 or greater'!C53-'8 or greater'!C53-'12 or greater'!C53</f>
        <v>0</v>
      </c>
      <c r="J53">
        <f>D53-'6 or greater'!D53-'8 or greater'!D53-'12 or greater'!D53</f>
        <v>0</v>
      </c>
      <c r="K53">
        <f>E53-'6 or greater'!E53-'8 or greater'!E53-'12 or greater'!E53</f>
        <v>1</v>
      </c>
      <c r="L53">
        <f>F53-'6 or greater'!F53-'8 or greater'!F53-'12 or greater'!F53</f>
        <v>0</v>
      </c>
    </row>
    <row r="54" spans="1:12" ht="36.5" thickBot="1" x14ac:dyDescent="0.4">
      <c r="A54" s="13" t="s">
        <v>53</v>
      </c>
      <c r="B54" s="14">
        <v>0</v>
      </c>
      <c r="C54" s="14">
        <v>3</v>
      </c>
      <c r="D54" s="14">
        <v>0</v>
      </c>
      <c r="E54" s="14">
        <v>0</v>
      </c>
      <c r="F54" s="14">
        <v>0</v>
      </c>
      <c r="H54">
        <f>B54-'6 or greater'!B54-'8 or greater'!B54-'12 or greater'!B54</f>
        <v>0</v>
      </c>
      <c r="I54">
        <f>C54-'6 or greater'!C54-'8 or greater'!C54-'12 or greater'!C54</f>
        <v>1</v>
      </c>
      <c r="J54">
        <f>D54-'6 or greater'!D54-'8 or greater'!D54-'12 or greater'!D54</f>
        <v>0</v>
      </c>
      <c r="K54">
        <f>E54-'6 or greater'!E54-'8 or greater'!E54-'12 or greater'!E54</f>
        <v>0</v>
      </c>
      <c r="L54">
        <f>F54-'6 or greater'!F54-'8 or greater'!F54-'12 or greater'!F54</f>
        <v>0</v>
      </c>
    </row>
    <row r="55" spans="1:12" ht="36.5" thickBot="1" x14ac:dyDescent="0.4">
      <c r="A55" s="11" t="s">
        <v>54</v>
      </c>
      <c r="B55" s="12">
        <v>0</v>
      </c>
      <c r="C55" s="12">
        <v>2</v>
      </c>
      <c r="D55" s="12">
        <v>2</v>
      </c>
      <c r="E55" s="12">
        <v>0</v>
      </c>
      <c r="F55" s="12">
        <v>1</v>
      </c>
      <c r="H55">
        <f>B55-'6 or greater'!B55-'8 or greater'!B55-'12 or greater'!B55</f>
        <v>0</v>
      </c>
      <c r="I55">
        <f>C55-'6 or greater'!C55-'8 or greater'!C55-'12 or greater'!C55</f>
        <v>0</v>
      </c>
      <c r="J55">
        <f>D55-'6 or greater'!D55-'8 or greater'!D55-'12 or greater'!D55</f>
        <v>2</v>
      </c>
      <c r="K55">
        <f>E55-'6 or greater'!E55-'8 or greater'!E55-'12 or greater'!E55</f>
        <v>0</v>
      </c>
      <c r="L55">
        <f>F55-'6 or greater'!F55-'8 or greater'!F55-'12 or greater'!F55</f>
        <v>1</v>
      </c>
    </row>
    <row r="56" spans="1:12" ht="36.5" thickBot="1" x14ac:dyDescent="0.4">
      <c r="A56" s="13" t="s">
        <v>55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H56">
        <f>B56-'6 or greater'!B56-'8 or greater'!B56-'12 or greater'!B56</f>
        <v>0</v>
      </c>
      <c r="I56">
        <f>C56-'6 or greater'!C56-'8 or greater'!C56-'12 or greater'!C56</f>
        <v>0</v>
      </c>
      <c r="J56">
        <f>D56-'6 or greater'!D56-'8 or greater'!D56-'12 or greater'!D56</f>
        <v>0</v>
      </c>
      <c r="K56">
        <f>E56-'6 or greater'!E56-'8 or greater'!E56-'12 or greater'!E56</f>
        <v>0</v>
      </c>
      <c r="L56">
        <f>F56-'6 or greater'!F56-'8 or greater'!F56-'12 or greater'!F56</f>
        <v>0</v>
      </c>
    </row>
    <row r="57" spans="1:12" ht="36.5" thickBot="1" x14ac:dyDescent="0.4">
      <c r="A57" s="11" t="s">
        <v>56</v>
      </c>
      <c r="B57" s="12">
        <v>0</v>
      </c>
      <c r="C57" s="12">
        <v>1</v>
      </c>
      <c r="D57" s="12">
        <v>4</v>
      </c>
      <c r="E57" s="12">
        <v>1</v>
      </c>
      <c r="F57" s="12">
        <v>0</v>
      </c>
      <c r="H57">
        <f>B57-'6 or greater'!B57-'8 or greater'!B57-'12 or greater'!B57</f>
        <v>0</v>
      </c>
      <c r="I57">
        <f>C57-'6 or greater'!C57-'8 or greater'!C57-'12 or greater'!C57</f>
        <v>0</v>
      </c>
      <c r="J57">
        <f>D57-'6 or greater'!D57-'8 or greater'!D57-'12 or greater'!D57</f>
        <v>3</v>
      </c>
      <c r="K57">
        <f>E57-'6 or greater'!E57-'8 or greater'!E57-'12 or greater'!E57</f>
        <v>-1</v>
      </c>
      <c r="L57">
        <f>F57-'6 or greater'!F57-'8 or greater'!F57-'12 or greater'!F57</f>
        <v>0</v>
      </c>
    </row>
    <row r="58" spans="1:12" ht="36.5" thickBot="1" x14ac:dyDescent="0.4">
      <c r="A58" s="13" t="s">
        <v>57</v>
      </c>
      <c r="B58" s="14">
        <v>0</v>
      </c>
      <c r="C58" s="14">
        <v>0</v>
      </c>
      <c r="D58" s="14">
        <v>2</v>
      </c>
      <c r="E58" s="14">
        <v>0</v>
      </c>
      <c r="F58" s="14">
        <v>1</v>
      </c>
      <c r="H58">
        <f>B58-'6 or greater'!B58-'8 or greater'!B58-'12 or greater'!B58</f>
        <v>0</v>
      </c>
      <c r="I58">
        <f>C58-'6 or greater'!C58-'8 or greater'!C58-'12 or greater'!C58</f>
        <v>0</v>
      </c>
      <c r="J58">
        <f>D58-'6 or greater'!D58-'8 or greater'!D58-'12 or greater'!D58</f>
        <v>2</v>
      </c>
      <c r="K58">
        <f>E58-'6 or greater'!E58-'8 or greater'!E58-'12 or greater'!E58</f>
        <v>0</v>
      </c>
      <c r="L58">
        <f>F58-'6 or greater'!F58-'8 or greater'!F58-'12 or greater'!F58</f>
        <v>-1</v>
      </c>
    </row>
    <row r="59" spans="1:12" ht="36.5" thickBot="1" x14ac:dyDescent="0.4">
      <c r="A59" s="11" t="s">
        <v>58</v>
      </c>
      <c r="B59" s="12">
        <v>0</v>
      </c>
      <c r="C59" s="12">
        <v>0</v>
      </c>
      <c r="D59" s="12">
        <v>1</v>
      </c>
      <c r="E59" s="12">
        <v>0</v>
      </c>
      <c r="F59" s="12">
        <v>4</v>
      </c>
      <c r="H59">
        <f>B59-'6 or greater'!B59-'8 or greater'!B59-'12 or greater'!B59</f>
        <v>0</v>
      </c>
      <c r="I59">
        <f>C59-'6 or greater'!C59-'8 or greater'!C59-'12 or greater'!C59</f>
        <v>0</v>
      </c>
      <c r="J59">
        <f>D59-'6 or greater'!D59-'8 or greater'!D59-'12 or greater'!D59</f>
        <v>0</v>
      </c>
      <c r="K59">
        <f>E59-'6 or greater'!E59-'8 or greater'!E59-'12 or greater'!E59</f>
        <v>0</v>
      </c>
      <c r="L59">
        <f>F59-'6 or greater'!F59-'8 or greater'!F59-'12 or greater'!F59</f>
        <v>2</v>
      </c>
    </row>
    <row r="60" spans="1:12" ht="36.5" thickBot="1" x14ac:dyDescent="0.4">
      <c r="A60" s="13" t="s">
        <v>59</v>
      </c>
      <c r="B60" s="14">
        <v>0</v>
      </c>
      <c r="C60" s="14">
        <v>1</v>
      </c>
      <c r="D60" s="14">
        <v>0</v>
      </c>
      <c r="E60" s="14">
        <v>0</v>
      </c>
      <c r="F60" s="14">
        <v>0</v>
      </c>
      <c r="H60">
        <f>B60-'6 or greater'!B60-'8 or greater'!B60-'12 or greater'!B60</f>
        <v>0</v>
      </c>
      <c r="I60">
        <f>C60-'6 or greater'!C60-'8 or greater'!C60-'12 or greater'!C60</f>
        <v>1</v>
      </c>
      <c r="J60">
        <f>D60-'6 or greater'!D60-'8 or greater'!D60-'12 or greater'!D60</f>
        <v>0</v>
      </c>
      <c r="K60">
        <f>E60-'6 or greater'!E60-'8 or greater'!E60-'12 or greater'!E60</f>
        <v>0</v>
      </c>
      <c r="L60">
        <f>F60-'6 or greater'!F60-'8 or greater'!F60-'12 or greater'!F60</f>
        <v>0</v>
      </c>
    </row>
    <row r="61" spans="1:12" ht="36.5" thickBot="1" x14ac:dyDescent="0.4">
      <c r="A61" s="11" t="s">
        <v>60</v>
      </c>
      <c r="B61" s="12">
        <v>1</v>
      </c>
      <c r="C61" s="12">
        <v>0</v>
      </c>
      <c r="D61" s="12">
        <v>0</v>
      </c>
      <c r="E61" s="12">
        <v>0</v>
      </c>
      <c r="F61" s="12">
        <v>1</v>
      </c>
      <c r="H61">
        <f>B61-'6 or greater'!B61-'8 or greater'!B61-'12 or greater'!B61</f>
        <v>1</v>
      </c>
      <c r="I61">
        <f>C61-'6 or greater'!C61-'8 or greater'!C61-'12 or greater'!C61</f>
        <v>0</v>
      </c>
      <c r="J61">
        <f>D61-'6 or greater'!D61-'8 or greater'!D61-'12 or greater'!D61</f>
        <v>0</v>
      </c>
      <c r="K61">
        <f>E61-'6 or greater'!E61-'8 or greater'!E61-'12 or greater'!E61</f>
        <v>0</v>
      </c>
      <c r="L61">
        <f>F61-'6 or greater'!F61-'8 or greater'!F61-'12 or greater'!F61</f>
        <v>1</v>
      </c>
    </row>
    <row r="62" spans="1:12" ht="36.5" thickBot="1" x14ac:dyDescent="0.4">
      <c r="A62" s="13" t="s">
        <v>61</v>
      </c>
      <c r="B62" s="14">
        <v>0</v>
      </c>
      <c r="C62" s="14">
        <v>1</v>
      </c>
      <c r="D62" s="14">
        <v>0</v>
      </c>
      <c r="E62" s="14">
        <v>3</v>
      </c>
      <c r="F62" s="14">
        <v>3</v>
      </c>
      <c r="H62">
        <f>B62-'6 or greater'!B62-'8 or greater'!B62-'12 or greater'!B62</f>
        <v>0</v>
      </c>
      <c r="I62">
        <f>C62-'6 or greater'!C62-'8 or greater'!C62-'12 or greater'!C62</f>
        <v>0</v>
      </c>
      <c r="J62">
        <f>D62-'6 or greater'!D62-'8 or greater'!D62-'12 or greater'!D62</f>
        <v>0</v>
      </c>
      <c r="K62">
        <f>E62-'6 or greater'!E62-'8 or greater'!E62-'12 or greater'!E62</f>
        <v>3</v>
      </c>
      <c r="L62">
        <f>F62-'6 or greater'!F62-'8 or greater'!F62-'12 or greater'!F62</f>
        <v>1</v>
      </c>
    </row>
    <row r="63" spans="1:12" ht="36.5" thickBot="1" x14ac:dyDescent="0.4">
      <c r="A63" s="11" t="s">
        <v>62</v>
      </c>
      <c r="B63" s="12">
        <v>0</v>
      </c>
      <c r="C63" s="12">
        <v>0</v>
      </c>
      <c r="D63" s="12">
        <v>0</v>
      </c>
      <c r="E63" s="12">
        <v>1</v>
      </c>
      <c r="F63" s="12">
        <v>2</v>
      </c>
      <c r="H63">
        <f>B63-'6 or greater'!B63-'8 or greater'!B63-'12 or greater'!B63</f>
        <v>0</v>
      </c>
      <c r="I63">
        <f>C63-'6 or greater'!C63-'8 or greater'!C63-'12 or greater'!C63</f>
        <v>0</v>
      </c>
      <c r="J63">
        <f>D63-'6 or greater'!D63-'8 or greater'!D63-'12 or greater'!D63</f>
        <v>0</v>
      </c>
      <c r="K63">
        <f>E63-'6 or greater'!E63-'8 or greater'!E63-'12 or greater'!E63</f>
        <v>0</v>
      </c>
      <c r="L63">
        <f>F63-'6 or greater'!F63-'8 or greater'!F63-'12 or greater'!F63</f>
        <v>1</v>
      </c>
    </row>
    <row r="64" spans="1:12" ht="36.5" thickBot="1" x14ac:dyDescent="0.4">
      <c r="A64" s="13" t="s">
        <v>63</v>
      </c>
      <c r="B64" s="14">
        <v>1</v>
      </c>
      <c r="C64" s="14">
        <v>0</v>
      </c>
      <c r="D64" s="14">
        <v>0</v>
      </c>
      <c r="E64" s="14">
        <v>0</v>
      </c>
      <c r="F64" s="14">
        <v>0</v>
      </c>
      <c r="H64">
        <f>B64-'6 or greater'!B64-'8 or greater'!B64-'12 or greater'!B64</f>
        <v>1</v>
      </c>
      <c r="I64">
        <f>C64-'6 or greater'!C64-'8 or greater'!C64-'12 or greater'!C64</f>
        <v>0</v>
      </c>
      <c r="J64">
        <f>D64-'6 or greater'!D64-'8 or greater'!D64-'12 or greater'!D64</f>
        <v>0</v>
      </c>
      <c r="K64">
        <f>E64-'6 or greater'!E64-'8 or greater'!E64-'12 or greater'!E64</f>
        <v>0</v>
      </c>
      <c r="L64">
        <f>F64-'6 or greater'!F64-'8 or greater'!F64-'12 or greater'!F64</f>
        <v>0</v>
      </c>
    </row>
    <row r="65" spans="1:12" ht="36.5" thickBot="1" x14ac:dyDescent="0.4">
      <c r="A65" s="11" t="s">
        <v>64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H65">
        <f>B65-'6 or greater'!B65-'8 or greater'!B65-'12 or greater'!B65</f>
        <v>0</v>
      </c>
      <c r="I65">
        <f>C65-'6 or greater'!C65-'8 or greater'!C65-'12 or greater'!C65</f>
        <v>0</v>
      </c>
      <c r="J65">
        <f>D65-'6 or greater'!D65-'8 or greater'!D65-'12 or greater'!D65</f>
        <v>0</v>
      </c>
      <c r="K65">
        <f>E65-'6 or greater'!E65-'8 or greater'!E65-'12 or greater'!E65</f>
        <v>0</v>
      </c>
      <c r="L65">
        <f>F65-'6 or greater'!F65-'8 or greater'!F65-'12 or greater'!F65</f>
        <v>0</v>
      </c>
    </row>
    <row r="66" spans="1:12" ht="36.5" thickBot="1" x14ac:dyDescent="0.4">
      <c r="A66" s="13" t="s">
        <v>65</v>
      </c>
      <c r="B66" s="14">
        <v>1</v>
      </c>
      <c r="C66" s="14">
        <v>0</v>
      </c>
      <c r="D66" s="14">
        <v>0</v>
      </c>
      <c r="E66" s="14">
        <v>0</v>
      </c>
      <c r="F66" s="14">
        <v>0</v>
      </c>
      <c r="H66">
        <f>B66-'6 or greater'!B66-'8 or greater'!B66-'12 or greater'!B66</f>
        <v>0</v>
      </c>
      <c r="I66">
        <f>C66-'6 or greater'!C66-'8 or greater'!C66-'12 or greater'!C66</f>
        <v>0</v>
      </c>
      <c r="J66">
        <f>D66-'6 or greater'!D66-'8 or greater'!D66-'12 or greater'!D66</f>
        <v>0</v>
      </c>
      <c r="K66">
        <f>E66-'6 or greater'!E66-'8 or greater'!E66-'12 or greater'!E66</f>
        <v>0</v>
      </c>
      <c r="L66">
        <f>F66-'6 or greater'!F66-'8 or greater'!F66-'12 or greater'!F66</f>
        <v>0</v>
      </c>
    </row>
    <row r="67" spans="1:12" ht="36.5" thickBot="1" x14ac:dyDescent="0.4">
      <c r="A67" s="11" t="s">
        <v>66</v>
      </c>
      <c r="B67" s="12">
        <v>1</v>
      </c>
      <c r="C67" s="12">
        <v>0</v>
      </c>
      <c r="D67" s="12">
        <v>0</v>
      </c>
      <c r="E67" s="12">
        <v>1</v>
      </c>
      <c r="F67" s="12">
        <v>0</v>
      </c>
      <c r="H67">
        <f>B67-'6 or greater'!B67-'8 or greater'!B67-'12 or greater'!B67</f>
        <v>1</v>
      </c>
      <c r="I67">
        <f>C67-'6 or greater'!C67-'8 or greater'!C67-'12 or greater'!C67</f>
        <v>0</v>
      </c>
      <c r="J67">
        <f>D67-'6 or greater'!D67-'8 or greater'!D67-'12 or greater'!D67</f>
        <v>0</v>
      </c>
      <c r="K67">
        <f>E67-'6 or greater'!E67-'8 or greater'!E67-'12 or greater'!E67</f>
        <v>1</v>
      </c>
      <c r="L67">
        <f>F67-'6 or greater'!F67-'8 or greater'!F67-'12 or greater'!F67</f>
        <v>0</v>
      </c>
    </row>
    <row r="68" spans="1:12" ht="36.5" thickBot="1" x14ac:dyDescent="0.4">
      <c r="A68" s="13" t="s">
        <v>67</v>
      </c>
      <c r="B68" s="14">
        <v>0</v>
      </c>
      <c r="C68" s="14">
        <v>0</v>
      </c>
      <c r="D68" s="14">
        <v>0</v>
      </c>
      <c r="E68" s="14">
        <v>0</v>
      </c>
      <c r="F68" s="14">
        <v>1</v>
      </c>
      <c r="H68">
        <f>B68-'6 or greater'!B68-'8 or greater'!B68-'12 or greater'!B68</f>
        <v>0</v>
      </c>
      <c r="I68">
        <f>C68-'6 or greater'!C68-'8 or greater'!C68-'12 or greater'!C68</f>
        <v>0</v>
      </c>
      <c r="J68">
        <f>D68-'6 or greater'!D68-'8 or greater'!D68-'12 or greater'!D68</f>
        <v>0</v>
      </c>
      <c r="K68">
        <f>E68-'6 or greater'!E68-'8 or greater'!E68-'12 or greater'!E68</f>
        <v>0</v>
      </c>
      <c r="L68">
        <f>F68-'6 or greater'!F68-'8 or greater'!F68-'12 or greater'!F68</f>
        <v>1</v>
      </c>
    </row>
    <row r="69" spans="1:12" ht="36.5" thickBot="1" x14ac:dyDescent="0.4">
      <c r="A69" s="11" t="s">
        <v>68</v>
      </c>
      <c r="B69" s="12">
        <v>0</v>
      </c>
      <c r="C69" s="12">
        <v>0</v>
      </c>
      <c r="D69" s="12">
        <v>0</v>
      </c>
      <c r="E69" s="12">
        <v>2</v>
      </c>
      <c r="F69" s="12">
        <v>0</v>
      </c>
      <c r="H69">
        <f>B69-'6 or greater'!B69-'8 or greater'!B69-'12 or greater'!B69</f>
        <v>0</v>
      </c>
      <c r="I69">
        <f>C69-'6 or greater'!C69-'8 or greater'!C69-'12 or greater'!C69</f>
        <v>0</v>
      </c>
      <c r="J69">
        <f>D69-'6 or greater'!D69-'8 or greater'!D69-'12 or greater'!D69</f>
        <v>0</v>
      </c>
      <c r="K69">
        <f>E69-'6 or greater'!E69-'8 or greater'!E69-'12 or greater'!E69</f>
        <v>2</v>
      </c>
      <c r="L69">
        <f>F69-'6 or greater'!F69-'8 or greater'!F69-'12 or greater'!F69</f>
        <v>0</v>
      </c>
    </row>
    <row r="70" spans="1:12" ht="36.5" thickBot="1" x14ac:dyDescent="0.4">
      <c r="A70" s="13" t="s">
        <v>69</v>
      </c>
      <c r="B70" s="14">
        <v>0</v>
      </c>
      <c r="C70" s="14">
        <v>0</v>
      </c>
      <c r="D70" s="14">
        <v>0</v>
      </c>
      <c r="E70" s="14">
        <v>0</v>
      </c>
      <c r="F70" s="14">
        <v>1</v>
      </c>
      <c r="H70">
        <f>B70-'6 or greater'!B70-'8 or greater'!B70-'12 or greater'!B70</f>
        <v>0</v>
      </c>
      <c r="I70">
        <f>C70-'6 or greater'!C70-'8 or greater'!C70-'12 or greater'!C70</f>
        <v>0</v>
      </c>
      <c r="J70">
        <f>D70-'6 or greater'!D70-'8 or greater'!D70-'12 or greater'!D70</f>
        <v>0</v>
      </c>
      <c r="K70">
        <f>E70-'6 or greater'!E70-'8 or greater'!E70-'12 or greater'!E70</f>
        <v>0</v>
      </c>
      <c r="L70">
        <f>F70-'6 or greater'!F70-'8 or greater'!F70-'12 or greater'!F70</f>
        <v>0</v>
      </c>
    </row>
    <row r="71" spans="1:12" ht="36.5" thickBot="1" x14ac:dyDescent="0.4">
      <c r="A71" s="11" t="s">
        <v>70</v>
      </c>
      <c r="B71" s="12">
        <v>2</v>
      </c>
      <c r="C71" s="12">
        <v>0</v>
      </c>
      <c r="D71" s="12">
        <v>0</v>
      </c>
      <c r="E71" s="12">
        <v>1</v>
      </c>
      <c r="F71" s="12">
        <v>0</v>
      </c>
      <c r="H71">
        <f>B71-'6 or greater'!B71-'8 or greater'!B71-'12 or greater'!B71</f>
        <v>2</v>
      </c>
      <c r="I71">
        <f>C71-'6 or greater'!C71-'8 or greater'!C71-'12 or greater'!C71</f>
        <v>0</v>
      </c>
      <c r="J71">
        <f>D71-'6 or greater'!D71-'8 or greater'!D71-'12 or greater'!D71</f>
        <v>0</v>
      </c>
      <c r="K71">
        <f>E71-'6 or greater'!E71-'8 or greater'!E71-'12 or greater'!E71</f>
        <v>1</v>
      </c>
      <c r="L71">
        <f>F71-'6 or greater'!F71-'8 or greater'!F71-'12 or greater'!F71</f>
        <v>0</v>
      </c>
    </row>
    <row r="72" spans="1:12" ht="36.5" thickBot="1" x14ac:dyDescent="0.4">
      <c r="A72" s="13" t="s">
        <v>71</v>
      </c>
      <c r="B72" s="14">
        <v>1</v>
      </c>
      <c r="C72" s="14">
        <v>1</v>
      </c>
      <c r="D72" s="14">
        <v>1</v>
      </c>
      <c r="E72" s="14">
        <v>1</v>
      </c>
      <c r="F72" s="14">
        <v>1</v>
      </c>
      <c r="H72">
        <f>B72-'6 or greater'!B72-'8 or greater'!B72-'12 or greater'!B72</f>
        <v>1</v>
      </c>
      <c r="I72">
        <f>C72-'6 or greater'!C72-'8 or greater'!C72-'12 or greater'!C72</f>
        <v>0</v>
      </c>
      <c r="J72">
        <f>D72-'6 or greater'!D72-'8 or greater'!D72-'12 or greater'!D72</f>
        <v>1</v>
      </c>
      <c r="K72">
        <f>E72-'6 or greater'!E72-'8 or greater'!E72-'12 or greater'!E72</f>
        <v>-1</v>
      </c>
      <c r="L72">
        <f>F72-'6 or greater'!F72-'8 or greater'!F72-'12 or greater'!F72</f>
        <v>-2</v>
      </c>
    </row>
    <row r="73" spans="1:12" ht="36.5" thickBot="1" x14ac:dyDescent="0.4">
      <c r="A73" s="11" t="s">
        <v>72</v>
      </c>
      <c r="B73" s="12">
        <v>0</v>
      </c>
      <c r="C73" s="12">
        <v>2</v>
      </c>
      <c r="D73" s="12">
        <v>0</v>
      </c>
      <c r="E73" s="12">
        <v>1</v>
      </c>
      <c r="F73" s="12">
        <v>3</v>
      </c>
      <c r="H73">
        <f>B73-'6 or greater'!B73-'8 or greater'!B73-'12 or greater'!B73</f>
        <v>0</v>
      </c>
      <c r="I73">
        <f>C73-'6 or greater'!C73-'8 or greater'!C73-'12 or greater'!C73</f>
        <v>2</v>
      </c>
      <c r="J73">
        <f>D73-'6 or greater'!D73-'8 or greater'!D73-'12 or greater'!D73</f>
        <v>0</v>
      </c>
      <c r="K73">
        <f>E73-'6 or greater'!E73-'8 or greater'!E73-'12 or greater'!E73</f>
        <v>0</v>
      </c>
      <c r="L73">
        <f>F73-'6 or greater'!F73-'8 or greater'!F73-'12 or greater'!F73</f>
        <v>0</v>
      </c>
    </row>
    <row r="74" spans="1:12" ht="36.5" thickBot="1" x14ac:dyDescent="0.4">
      <c r="A74" s="13" t="s">
        <v>73</v>
      </c>
      <c r="B74" s="14">
        <v>0</v>
      </c>
      <c r="C74" s="14">
        <v>0</v>
      </c>
      <c r="D74" s="14">
        <v>1</v>
      </c>
      <c r="E74" s="14">
        <v>1</v>
      </c>
      <c r="F74" s="14">
        <v>0</v>
      </c>
      <c r="H74">
        <f>B74-'6 or greater'!B74-'8 or greater'!B74-'12 or greater'!B74</f>
        <v>0</v>
      </c>
      <c r="I74">
        <f>C74-'6 or greater'!C74-'8 or greater'!C74-'12 or greater'!C74</f>
        <v>0</v>
      </c>
      <c r="J74">
        <f>D74-'6 or greater'!D74-'8 or greater'!D74-'12 or greater'!D74</f>
        <v>0</v>
      </c>
      <c r="K74">
        <f>E74-'6 or greater'!E74-'8 or greater'!E74-'12 or greater'!E74</f>
        <v>0</v>
      </c>
      <c r="L74">
        <f>F74-'6 or greater'!F74-'8 or greater'!F74-'12 or greater'!F74</f>
        <v>0</v>
      </c>
    </row>
    <row r="75" spans="1:12" ht="36.5" thickBot="1" x14ac:dyDescent="0.4">
      <c r="A75" s="11" t="s">
        <v>74</v>
      </c>
      <c r="B75" s="12">
        <v>0</v>
      </c>
      <c r="C75" s="12">
        <v>0</v>
      </c>
      <c r="D75" s="12">
        <v>1</v>
      </c>
      <c r="E75" s="12">
        <v>0</v>
      </c>
      <c r="F75" s="12">
        <v>1</v>
      </c>
      <c r="H75">
        <f>B75-'6 or greater'!B75-'8 or greater'!B75-'12 or greater'!B75</f>
        <v>0</v>
      </c>
      <c r="I75">
        <f>C75-'6 or greater'!C75-'8 or greater'!C75-'12 or greater'!C75</f>
        <v>0</v>
      </c>
      <c r="J75">
        <f>D75-'6 or greater'!D75-'8 or greater'!D75-'12 or greater'!D75</f>
        <v>1</v>
      </c>
      <c r="K75">
        <f>E75-'6 or greater'!E75-'8 or greater'!E75-'12 or greater'!E75</f>
        <v>0</v>
      </c>
      <c r="L75">
        <f>F75-'6 or greater'!F75-'8 or greater'!F75-'12 or greater'!F75</f>
        <v>0</v>
      </c>
    </row>
    <row r="76" spans="1:12" ht="36.5" thickBot="1" x14ac:dyDescent="0.4">
      <c r="A76" s="13" t="s">
        <v>75</v>
      </c>
      <c r="B76" s="14">
        <v>3</v>
      </c>
      <c r="C76" s="14">
        <v>1</v>
      </c>
      <c r="D76" s="14">
        <v>0</v>
      </c>
      <c r="E76" s="14">
        <v>1</v>
      </c>
      <c r="F76" s="14">
        <v>1</v>
      </c>
      <c r="H76">
        <f>B76-'6 or greater'!B76-'8 or greater'!B76-'12 or greater'!B76</f>
        <v>3</v>
      </c>
      <c r="I76">
        <f>C76-'6 or greater'!C76-'8 or greater'!C76-'12 or greater'!C76</f>
        <v>1</v>
      </c>
      <c r="J76">
        <f>D76-'6 or greater'!D76-'8 or greater'!D76-'12 or greater'!D76</f>
        <v>0</v>
      </c>
      <c r="K76">
        <f>E76-'6 or greater'!E76-'8 or greater'!E76-'12 or greater'!E76</f>
        <v>1</v>
      </c>
      <c r="L76">
        <f>F76-'6 or greater'!F76-'8 or greater'!F76-'12 or greater'!F76</f>
        <v>1</v>
      </c>
    </row>
    <row r="77" spans="1:12" ht="36.5" thickBot="1" x14ac:dyDescent="0.4">
      <c r="A77" s="11" t="s">
        <v>76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H77">
        <f>B77-'6 or greater'!B77-'8 or greater'!B77-'12 or greater'!B77</f>
        <v>0</v>
      </c>
      <c r="I77">
        <f>C77-'6 or greater'!C77-'8 or greater'!C77-'12 or greater'!C77</f>
        <v>0</v>
      </c>
      <c r="J77">
        <f>D77-'6 or greater'!D77-'8 or greater'!D77-'12 or greater'!D77</f>
        <v>0</v>
      </c>
      <c r="K77">
        <f>E77-'6 or greater'!E77-'8 or greater'!E77-'12 or greater'!E77</f>
        <v>0</v>
      </c>
      <c r="L77">
        <f>F77-'6 or greater'!F77-'8 or greater'!F77-'12 or greater'!F77</f>
        <v>0</v>
      </c>
    </row>
    <row r="78" spans="1:12" ht="36.5" thickBot="1" x14ac:dyDescent="0.4">
      <c r="A78" s="13" t="s">
        <v>77</v>
      </c>
      <c r="B78" s="14">
        <v>0</v>
      </c>
      <c r="C78" s="14">
        <v>1</v>
      </c>
      <c r="D78" s="14">
        <v>0</v>
      </c>
      <c r="E78" s="14">
        <v>1</v>
      </c>
      <c r="F78" s="14">
        <v>0</v>
      </c>
      <c r="H78">
        <f>B78-'6 or greater'!B78-'8 or greater'!B78-'12 or greater'!B78</f>
        <v>0</v>
      </c>
      <c r="I78">
        <f>C78-'6 or greater'!C78-'8 or greater'!C78-'12 or greater'!C78</f>
        <v>-1</v>
      </c>
      <c r="J78">
        <f>D78-'6 or greater'!D78-'8 or greater'!D78-'12 or greater'!D78</f>
        <v>0</v>
      </c>
      <c r="K78">
        <f>E78-'6 or greater'!E78-'8 or greater'!E78-'12 or greater'!E78</f>
        <v>1</v>
      </c>
      <c r="L78">
        <f>F78-'6 or greater'!F78-'8 or greater'!F78-'12 or greater'!F78</f>
        <v>0</v>
      </c>
    </row>
    <row r="79" spans="1:12" ht="36.5" thickBot="1" x14ac:dyDescent="0.4">
      <c r="A79" s="11" t="s">
        <v>78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H79">
        <f>B79-'6 or greater'!B79-'8 or greater'!B79-'12 or greater'!B79</f>
        <v>0</v>
      </c>
      <c r="I79">
        <f>C79-'6 or greater'!C79-'8 or greater'!C79-'12 or greater'!C79</f>
        <v>0</v>
      </c>
      <c r="J79">
        <f>D79-'6 or greater'!D79-'8 or greater'!D79-'12 or greater'!D79</f>
        <v>0</v>
      </c>
      <c r="K79">
        <f>E79-'6 or greater'!E79-'8 or greater'!E79-'12 or greater'!E79</f>
        <v>0</v>
      </c>
      <c r="L79">
        <f>F79-'6 or greater'!F79-'8 or greater'!F79-'12 or greater'!F79</f>
        <v>0</v>
      </c>
    </row>
    <row r="80" spans="1:12" ht="36.5" thickBot="1" x14ac:dyDescent="0.4">
      <c r="A80" s="13" t="s">
        <v>79</v>
      </c>
      <c r="B80" s="14">
        <v>1</v>
      </c>
      <c r="C80" s="14">
        <v>0</v>
      </c>
      <c r="D80" s="14">
        <v>0</v>
      </c>
      <c r="E80" s="14">
        <v>0</v>
      </c>
      <c r="F80" s="14">
        <v>0</v>
      </c>
      <c r="H80">
        <f>B80-'6 or greater'!B80-'8 or greater'!B80-'12 or greater'!B80</f>
        <v>-1</v>
      </c>
      <c r="I80">
        <f>C80-'6 or greater'!C80-'8 or greater'!C80-'12 or greater'!C80</f>
        <v>0</v>
      </c>
      <c r="J80">
        <f>D80-'6 or greater'!D80-'8 or greater'!D80-'12 or greater'!D80</f>
        <v>0</v>
      </c>
      <c r="K80">
        <f>E80-'6 or greater'!E80-'8 or greater'!E80-'12 or greater'!E80</f>
        <v>0</v>
      </c>
      <c r="L80">
        <f>F80-'6 or greater'!F80-'8 or greater'!F80-'12 or greater'!F80</f>
        <v>0</v>
      </c>
    </row>
    <row r="81" spans="1:12" ht="36.5" thickBot="1" x14ac:dyDescent="0.4">
      <c r="A81" s="11" t="s">
        <v>80</v>
      </c>
      <c r="B81" s="12">
        <v>0</v>
      </c>
      <c r="C81" s="12">
        <v>0</v>
      </c>
      <c r="D81" s="12">
        <v>0</v>
      </c>
      <c r="E81" s="12">
        <v>0</v>
      </c>
      <c r="F81" s="12">
        <v>1</v>
      </c>
      <c r="H81">
        <f>B81-'6 or greater'!B81-'8 or greater'!B81-'12 or greater'!B81</f>
        <v>0</v>
      </c>
      <c r="I81">
        <f>C81-'6 or greater'!C81-'8 or greater'!C81-'12 or greater'!C81</f>
        <v>0</v>
      </c>
      <c r="J81">
        <f>D81-'6 or greater'!D81-'8 or greater'!D81-'12 or greater'!D81</f>
        <v>0</v>
      </c>
      <c r="K81">
        <f>E81-'6 or greater'!E81-'8 or greater'!E81-'12 or greater'!E81</f>
        <v>0</v>
      </c>
      <c r="L81">
        <f>F81-'6 or greater'!F81-'8 or greater'!F81-'12 or greater'!F81</f>
        <v>-1</v>
      </c>
    </row>
    <row r="82" spans="1:12" ht="36.5" thickBot="1" x14ac:dyDescent="0.4">
      <c r="A82" s="13" t="s">
        <v>81</v>
      </c>
      <c r="B82" s="14">
        <v>0</v>
      </c>
      <c r="C82" s="14">
        <v>1</v>
      </c>
      <c r="D82" s="14">
        <v>0</v>
      </c>
      <c r="E82" s="14">
        <v>0</v>
      </c>
      <c r="F82" s="14">
        <v>0</v>
      </c>
      <c r="H82">
        <f>B82-'6 or greater'!B82-'8 or greater'!B82-'12 or greater'!B82</f>
        <v>0</v>
      </c>
      <c r="I82">
        <f>C82-'6 or greater'!C82-'8 or greater'!C82-'12 or greater'!C82</f>
        <v>1</v>
      </c>
      <c r="J82">
        <f>D82-'6 or greater'!D82-'8 or greater'!D82-'12 or greater'!D82</f>
        <v>0</v>
      </c>
      <c r="K82">
        <f>E82-'6 or greater'!E82-'8 or greater'!E82-'12 or greater'!E82</f>
        <v>0</v>
      </c>
      <c r="L82">
        <f>F82-'6 or greater'!F82-'8 or greater'!F82-'12 or greater'!F82</f>
        <v>0</v>
      </c>
    </row>
    <row r="83" spans="1:12" ht="36.5" thickBot="1" x14ac:dyDescent="0.4">
      <c r="A83" s="11" t="s">
        <v>82</v>
      </c>
      <c r="B83" s="12">
        <v>3</v>
      </c>
      <c r="C83" s="12">
        <v>1</v>
      </c>
      <c r="D83" s="12">
        <v>0</v>
      </c>
      <c r="E83" s="12">
        <v>0</v>
      </c>
      <c r="F83" s="12">
        <v>0</v>
      </c>
      <c r="H83">
        <f>B83-'6 or greater'!B83-'8 or greater'!B83-'12 or greater'!B83</f>
        <v>-1</v>
      </c>
      <c r="I83">
        <f>C83-'6 or greater'!C83-'8 or greater'!C83-'12 or greater'!C83</f>
        <v>1</v>
      </c>
      <c r="J83">
        <f>D83-'6 or greater'!D83-'8 or greater'!D83-'12 or greater'!D83</f>
        <v>0</v>
      </c>
      <c r="K83">
        <f>E83-'6 or greater'!E83-'8 or greater'!E83-'12 or greater'!E83</f>
        <v>0</v>
      </c>
      <c r="L83">
        <f>F83-'6 or greater'!F83-'8 or greater'!F83-'12 or greater'!F83</f>
        <v>0</v>
      </c>
    </row>
    <row r="84" spans="1:12" ht="36.5" thickBot="1" x14ac:dyDescent="0.4">
      <c r="A84" s="13" t="s">
        <v>83</v>
      </c>
      <c r="B84" s="14">
        <v>0</v>
      </c>
      <c r="C84" s="14">
        <v>1</v>
      </c>
      <c r="D84" s="14">
        <v>0</v>
      </c>
      <c r="E84" s="14">
        <v>0</v>
      </c>
      <c r="F84" s="14">
        <v>2</v>
      </c>
      <c r="H84">
        <f>B84-'6 or greater'!B84-'8 or greater'!B84-'12 or greater'!B84</f>
        <v>0</v>
      </c>
      <c r="I84">
        <f>C84-'6 or greater'!C84-'8 or greater'!C84-'12 or greater'!C84</f>
        <v>1</v>
      </c>
      <c r="J84">
        <f>D84-'6 or greater'!D84-'8 or greater'!D84-'12 or greater'!D84</f>
        <v>0</v>
      </c>
      <c r="K84">
        <f>E84-'6 or greater'!E84-'8 or greater'!E84-'12 or greater'!E84</f>
        <v>0</v>
      </c>
      <c r="L84">
        <f>F84-'6 or greater'!F84-'8 or greater'!F84-'12 or greater'!F84</f>
        <v>-1</v>
      </c>
    </row>
    <row r="85" spans="1:12" ht="36.5" thickBot="1" x14ac:dyDescent="0.4">
      <c r="A85" s="11" t="s">
        <v>84</v>
      </c>
      <c r="B85" s="12">
        <v>0</v>
      </c>
      <c r="C85" s="12">
        <v>0</v>
      </c>
      <c r="D85" s="12">
        <v>0</v>
      </c>
      <c r="E85" s="12">
        <v>1</v>
      </c>
      <c r="F85" s="12">
        <v>0</v>
      </c>
      <c r="H85">
        <f>B85-'6 or greater'!B85-'8 or greater'!B85-'12 or greater'!B85</f>
        <v>0</v>
      </c>
      <c r="I85">
        <f>C85-'6 or greater'!C85-'8 or greater'!C85-'12 or greater'!C85</f>
        <v>0</v>
      </c>
      <c r="J85">
        <f>D85-'6 or greater'!D85-'8 or greater'!D85-'12 or greater'!D85</f>
        <v>0</v>
      </c>
      <c r="K85">
        <f>E85-'6 or greater'!E85-'8 or greater'!E85-'12 or greater'!E85</f>
        <v>-1</v>
      </c>
      <c r="L85">
        <f>F85-'6 or greater'!F85-'8 or greater'!F85-'12 or greater'!F85</f>
        <v>0</v>
      </c>
    </row>
    <row r="86" spans="1:12" ht="36.5" thickBot="1" x14ac:dyDescent="0.4">
      <c r="A86" s="13" t="s">
        <v>85</v>
      </c>
      <c r="B86" s="14">
        <v>0</v>
      </c>
      <c r="C86" s="14">
        <v>0</v>
      </c>
      <c r="D86" s="14">
        <v>0</v>
      </c>
      <c r="E86" s="14">
        <v>0</v>
      </c>
      <c r="F86" s="14">
        <v>1</v>
      </c>
      <c r="H86">
        <f>B86-'6 or greater'!B86-'8 or greater'!B86-'12 or greater'!B86</f>
        <v>0</v>
      </c>
      <c r="I86">
        <f>C86-'6 or greater'!C86-'8 or greater'!C86-'12 or greater'!C86</f>
        <v>0</v>
      </c>
      <c r="J86">
        <f>D86-'6 or greater'!D86-'8 or greater'!D86-'12 or greater'!D86</f>
        <v>0</v>
      </c>
      <c r="K86">
        <f>E86-'6 or greater'!E86-'8 or greater'!E86-'12 or greater'!E86</f>
        <v>0</v>
      </c>
      <c r="L86">
        <f>F86-'6 or greater'!F86-'8 or greater'!F86-'12 or greater'!F86</f>
        <v>1</v>
      </c>
    </row>
    <row r="87" spans="1:12" ht="36.5" thickBot="1" x14ac:dyDescent="0.4">
      <c r="A87" s="11" t="s">
        <v>86</v>
      </c>
      <c r="B87" s="12">
        <v>0</v>
      </c>
      <c r="C87" s="12">
        <v>0</v>
      </c>
      <c r="D87" s="12">
        <v>1</v>
      </c>
      <c r="E87" s="12">
        <v>0</v>
      </c>
      <c r="F87" s="12">
        <v>1</v>
      </c>
      <c r="H87">
        <f>B87-'6 or greater'!B87-'8 or greater'!B87-'12 or greater'!B87</f>
        <v>0</v>
      </c>
      <c r="I87">
        <f>C87-'6 or greater'!C87-'8 or greater'!C87-'12 or greater'!C87</f>
        <v>0</v>
      </c>
      <c r="J87">
        <f>D87-'6 or greater'!D87-'8 or greater'!D87-'12 or greater'!D87</f>
        <v>1</v>
      </c>
      <c r="K87">
        <f>E87-'6 or greater'!E87-'8 or greater'!E87-'12 or greater'!E87</f>
        <v>0</v>
      </c>
      <c r="L87">
        <f>F87-'6 or greater'!F87-'8 or greater'!F87-'12 or greater'!F87</f>
        <v>1</v>
      </c>
    </row>
    <row r="88" spans="1:12" ht="36.5" thickBot="1" x14ac:dyDescent="0.4">
      <c r="A88" s="13" t="s">
        <v>87</v>
      </c>
      <c r="B88" s="14">
        <v>0</v>
      </c>
      <c r="C88" s="14">
        <v>0</v>
      </c>
      <c r="D88" s="14">
        <v>0</v>
      </c>
      <c r="E88" s="14">
        <v>2</v>
      </c>
      <c r="F88" s="14">
        <v>1</v>
      </c>
      <c r="H88">
        <f>B88-'6 or greater'!B88-'8 or greater'!B88-'12 or greater'!B88</f>
        <v>0</v>
      </c>
      <c r="I88">
        <f>C88-'6 or greater'!C88-'8 or greater'!C88-'12 or greater'!C88</f>
        <v>0</v>
      </c>
      <c r="J88">
        <f>D88-'6 or greater'!D88-'8 or greater'!D88-'12 or greater'!D88</f>
        <v>0</v>
      </c>
      <c r="K88">
        <f>E88-'6 or greater'!E88-'8 or greater'!E88-'12 or greater'!E88</f>
        <v>1</v>
      </c>
      <c r="L88">
        <f>F88-'6 or greater'!F88-'8 or greater'!F88-'12 or greater'!F88</f>
        <v>-1</v>
      </c>
    </row>
    <row r="89" spans="1:12" ht="36.5" thickBot="1" x14ac:dyDescent="0.4">
      <c r="A89" s="11" t="s">
        <v>88</v>
      </c>
      <c r="B89" s="12">
        <v>1</v>
      </c>
      <c r="C89" s="12">
        <v>1</v>
      </c>
      <c r="D89" s="12">
        <v>1</v>
      </c>
      <c r="E89" s="12">
        <v>0</v>
      </c>
      <c r="F89" s="12">
        <v>0</v>
      </c>
      <c r="H89">
        <f>B89-'6 or greater'!B89-'8 or greater'!B89-'12 or greater'!B89</f>
        <v>-1</v>
      </c>
      <c r="I89">
        <f>C89-'6 or greater'!C89-'8 or greater'!C89-'12 or greater'!C89</f>
        <v>0</v>
      </c>
      <c r="J89">
        <f>D89-'6 or greater'!D89-'8 or greater'!D89-'12 or greater'!D89</f>
        <v>1</v>
      </c>
      <c r="K89">
        <f>E89-'6 or greater'!E89-'8 or greater'!E89-'12 or greater'!E89</f>
        <v>0</v>
      </c>
      <c r="L89">
        <f>F89-'6 or greater'!F89-'8 or greater'!F89-'12 or greater'!F89</f>
        <v>0</v>
      </c>
    </row>
    <row r="90" spans="1:12" ht="36.5" thickBot="1" x14ac:dyDescent="0.4">
      <c r="A90" s="13" t="s">
        <v>89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H90">
        <f>B90-'6 or greater'!B90-'8 or greater'!B90-'12 or greater'!B90</f>
        <v>0</v>
      </c>
      <c r="I90">
        <f>C90-'6 or greater'!C90-'8 or greater'!C90-'12 or greater'!C90</f>
        <v>0</v>
      </c>
      <c r="J90">
        <f>D90-'6 or greater'!D90-'8 or greater'!D90-'12 or greater'!D90</f>
        <v>0</v>
      </c>
      <c r="K90">
        <f>E90-'6 or greater'!E90-'8 or greater'!E90-'12 or greater'!E90</f>
        <v>0</v>
      </c>
      <c r="L90">
        <f>F90-'6 or greater'!F90-'8 or greater'!F90-'12 or greater'!F90</f>
        <v>0</v>
      </c>
    </row>
    <row r="91" spans="1:12" ht="36.5" thickBot="1" x14ac:dyDescent="0.4">
      <c r="A91" s="11" t="s">
        <v>90</v>
      </c>
      <c r="B91" s="12">
        <v>0</v>
      </c>
      <c r="C91" s="12">
        <v>1</v>
      </c>
      <c r="D91" s="12">
        <v>0</v>
      </c>
      <c r="E91" s="12">
        <v>1</v>
      </c>
      <c r="F91" s="12">
        <v>0</v>
      </c>
      <c r="H91">
        <f>B91-'6 or greater'!B91-'8 or greater'!B91-'12 or greater'!B91</f>
        <v>0</v>
      </c>
      <c r="I91">
        <f>C91-'6 or greater'!C91-'8 or greater'!C91-'12 or greater'!C91</f>
        <v>-1</v>
      </c>
      <c r="J91">
        <f>D91-'6 or greater'!D91-'8 or greater'!D91-'12 or greater'!D91</f>
        <v>0</v>
      </c>
      <c r="K91">
        <f>E91-'6 or greater'!E91-'8 or greater'!E91-'12 or greater'!E91</f>
        <v>1</v>
      </c>
      <c r="L91">
        <f>F91-'6 or greater'!F91-'8 or greater'!F91-'12 or greater'!F91</f>
        <v>0</v>
      </c>
    </row>
    <row r="92" spans="1:12" ht="36.5" thickBot="1" x14ac:dyDescent="0.4">
      <c r="A92" s="13" t="s">
        <v>91</v>
      </c>
      <c r="B92" s="14">
        <v>0</v>
      </c>
      <c r="C92" s="14">
        <v>0</v>
      </c>
      <c r="D92" s="14">
        <v>2</v>
      </c>
      <c r="E92" s="14">
        <v>0</v>
      </c>
      <c r="F92" s="14">
        <v>1</v>
      </c>
      <c r="H92">
        <f>B92-'6 or greater'!B92-'8 or greater'!B92-'12 or greater'!B92</f>
        <v>0</v>
      </c>
      <c r="I92">
        <f>C92-'6 or greater'!C92-'8 or greater'!C92-'12 or greater'!C92</f>
        <v>0</v>
      </c>
      <c r="J92">
        <f>D92-'6 or greater'!D92-'8 or greater'!D92-'12 or greater'!D92</f>
        <v>2</v>
      </c>
      <c r="K92">
        <f>E92-'6 or greater'!E92-'8 or greater'!E92-'12 or greater'!E92</f>
        <v>0</v>
      </c>
      <c r="L92">
        <f>F92-'6 or greater'!F92-'8 or greater'!F92-'12 or greater'!F92</f>
        <v>1</v>
      </c>
    </row>
    <row r="93" spans="1:12" ht="36.5" thickBot="1" x14ac:dyDescent="0.4">
      <c r="A93" s="11" t="s">
        <v>92</v>
      </c>
      <c r="B93" s="12">
        <v>0</v>
      </c>
      <c r="C93" s="12">
        <v>0</v>
      </c>
      <c r="D93" s="12">
        <v>0</v>
      </c>
      <c r="E93" s="12">
        <v>1</v>
      </c>
      <c r="F93" s="12">
        <v>0</v>
      </c>
      <c r="H93">
        <f>B93-'6 or greater'!B93-'8 or greater'!B93-'12 or greater'!B93</f>
        <v>0</v>
      </c>
      <c r="I93">
        <f>C93-'6 or greater'!C93-'8 or greater'!C93-'12 or greater'!C93</f>
        <v>0</v>
      </c>
      <c r="J93">
        <f>D93-'6 or greater'!D93-'8 or greater'!D93-'12 or greater'!D93</f>
        <v>0</v>
      </c>
      <c r="K93">
        <f>E93-'6 or greater'!E93-'8 or greater'!E93-'12 or greater'!E93</f>
        <v>1</v>
      </c>
      <c r="L93">
        <f>F93-'6 or greater'!F93-'8 or greater'!F93-'12 or greater'!F93</f>
        <v>0</v>
      </c>
    </row>
    <row r="94" spans="1:12" ht="36.5" thickBot="1" x14ac:dyDescent="0.4">
      <c r="A94" s="13" t="s">
        <v>93</v>
      </c>
      <c r="B94" s="14">
        <v>0</v>
      </c>
      <c r="C94" s="14">
        <v>0</v>
      </c>
      <c r="D94" s="14">
        <v>1</v>
      </c>
      <c r="E94" s="14">
        <v>0</v>
      </c>
      <c r="F94" s="14">
        <v>0</v>
      </c>
      <c r="H94">
        <f>B94-'6 or greater'!B94-'8 or greater'!B94-'12 or greater'!B94</f>
        <v>0</v>
      </c>
      <c r="I94">
        <f>C94-'6 or greater'!C94-'8 or greater'!C94-'12 or greater'!C94</f>
        <v>0</v>
      </c>
      <c r="J94">
        <f>D94-'6 or greater'!D94-'8 or greater'!D94-'12 or greater'!D94</f>
        <v>1</v>
      </c>
      <c r="K94">
        <f>E94-'6 or greater'!E94-'8 or greater'!E94-'12 or greater'!E94</f>
        <v>0</v>
      </c>
      <c r="L94">
        <f>F94-'6 or greater'!F94-'8 or greater'!F94-'12 or greater'!F94</f>
        <v>0</v>
      </c>
    </row>
    <row r="95" spans="1:12" ht="36.5" thickBot="1" x14ac:dyDescent="0.4">
      <c r="A95" s="11" t="s">
        <v>94</v>
      </c>
      <c r="B95" s="12">
        <v>0</v>
      </c>
      <c r="C95" s="12">
        <v>0</v>
      </c>
      <c r="D95" s="12">
        <v>1</v>
      </c>
      <c r="E95" s="12">
        <v>1</v>
      </c>
      <c r="F95" s="12">
        <v>0</v>
      </c>
      <c r="H95">
        <f>B95-'6 or greater'!B95-'8 or greater'!B95-'12 or greater'!B95</f>
        <v>0</v>
      </c>
      <c r="I95">
        <f>C95-'6 or greater'!C95-'8 or greater'!C95-'12 or greater'!C95</f>
        <v>0</v>
      </c>
      <c r="J95">
        <f>D95-'6 or greater'!D95-'8 or greater'!D95-'12 or greater'!D95</f>
        <v>1</v>
      </c>
      <c r="K95">
        <f>E95-'6 or greater'!E95-'8 or greater'!E95-'12 or greater'!E95</f>
        <v>1</v>
      </c>
      <c r="L95">
        <f>F95-'6 or greater'!F95-'8 or greater'!F95-'12 or greater'!F95</f>
        <v>0</v>
      </c>
    </row>
    <row r="96" spans="1:12" ht="36.5" thickBot="1" x14ac:dyDescent="0.4">
      <c r="A96" s="13" t="s">
        <v>95</v>
      </c>
      <c r="B96" s="14">
        <v>0</v>
      </c>
      <c r="C96" s="14">
        <v>2</v>
      </c>
      <c r="D96" s="14">
        <v>0</v>
      </c>
      <c r="E96" s="14">
        <v>0</v>
      </c>
      <c r="F96" s="14">
        <v>1</v>
      </c>
      <c r="H96">
        <f>B96-'6 or greater'!B96-'8 or greater'!B96-'12 or greater'!B96</f>
        <v>0</v>
      </c>
      <c r="I96">
        <f>C96-'6 or greater'!C96-'8 or greater'!C96-'12 or greater'!C96</f>
        <v>1</v>
      </c>
      <c r="J96">
        <f>D96-'6 or greater'!D96-'8 or greater'!D96-'12 or greater'!D96</f>
        <v>0</v>
      </c>
      <c r="K96">
        <f>E96-'6 or greater'!E96-'8 or greater'!E96-'12 or greater'!E96</f>
        <v>0</v>
      </c>
      <c r="L96">
        <f>F96-'6 or greater'!F96-'8 or greater'!F96-'12 or greater'!F96</f>
        <v>1</v>
      </c>
    </row>
    <row r="97" spans="1:12" ht="36.5" thickBot="1" x14ac:dyDescent="0.4">
      <c r="A97" s="11" t="s">
        <v>96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H97">
        <f>B97-'6 or greater'!B97-'8 or greater'!B97-'12 or greater'!B97</f>
        <v>0</v>
      </c>
      <c r="I97">
        <f>C97-'6 or greater'!C97-'8 or greater'!C97-'12 or greater'!C97</f>
        <v>0</v>
      </c>
      <c r="J97">
        <f>D97-'6 or greater'!D97-'8 or greater'!D97-'12 or greater'!D97</f>
        <v>0</v>
      </c>
      <c r="K97">
        <f>E97-'6 or greater'!E97-'8 or greater'!E97-'12 or greater'!E97</f>
        <v>0</v>
      </c>
      <c r="L97">
        <f>F97-'6 or greater'!F97-'8 or greater'!F97-'12 or greater'!F97</f>
        <v>0</v>
      </c>
    </row>
    <row r="98" spans="1:12" ht="36.5" thickBot="1" x14ac:dyDescent="0.4">
      <c r="A98" s="13" t="s">
        <v>97</v>
      </c>
      <c r="B98" s="14">
        <v>0</v>
      </c>
      <c r="C98" s="14">
        <v>0</v>
      </c>
      <c r="D98" s="14">
        <v>1</v>
      </c>
      <c r="E98" s="14">
        <v>0</v>
      </c>
      <c r="F98" s="14">
        <v>1</v>
      </c>
      <c r="H98">
        <f>B98-'6 or greater'!B98-'8 or greater'!B98-'12 or greater'!B98</f>
        <v>0</v>
      </c>
      <c r="I98">
        <f>C98-'6 or greater'!C98-'8 or greater'!C98-'12 or greater'!C98</f>
        <v>0</v>
      </c>
      <c r="J98">
        <f>D98-'6 or greater'!D98-'8 or greater'!D98-'12 or greater'!D98</f>
        <v>1</v>
      </c>
      <c r="K98">
        <f>E98-'6 or greater'!E98-'8 or greater'!E98-'12 or greater'!E98</f>
        <v>0</v>
      </c>
      <c r="L98">
        <f>F98-'6 or greater'!F98-'8 or greater'!F98-'12 or greater'!F98</f>
        <v>1</v>
      </c>
    </row>
    <row r="99" spans="1:12" ht="36.5" thickBot="1" x14ac:dyDescent="0.4">
      <c r="A99" s="11" t="s">
        <v>98</v>
      </c>
      <c r="B99" s="12">
        <v>0</v>
      </c>
      <c r="C99" s="12">
        <v>1</v>
      </c>
      <c r="D99" s="12">
        <v>0</v>
      </c>
      <c r="E99" s="12">
        <v>0</v>
      </c>
      <c r="F99" s="12">
        <v>0</v>
      </c>
      <c r="H99">
        <f>B99-'6 or greater'!B99-'8 or greater'!B99-'12 or greater'!B99</f>
        <v>0</v>
      </c>
      <c r="I99">
        <f>C99-'6 or greater'!C99-'8 or greater'!C99-'12 or greater'!C99</f>
        <v>1</v>
      </c>
      <c r="J99">
        <f>D99-'6 or greater'!D99-'8 or greater'!D99-'12 or greater'!D99</f>
        <v>0</v>
      </c>
      <c r="K99">
        <f>E99-'6 or greater'!E99-'8 or greater'!E99-'12 or greater'!E99</f>
        <v>0</v>
      </c>
      <c r="L99">
        <f>F99-'6 or greater'!F99-'8 or greater'!F99-'12 or greater'!F99</f>
        <v>0</v>
      </c>
    </row>
    <row r="100" spans="1:12" ht="36.5" thickBot="1" x14ac:dyDescent="0.4">
      <c r="A100" s="13" t="s">
        <v>99</v>
      </c>
      <c r="B100" s="14">
        <v>0</v>
      </c>
      <c r="C100" s="14">
        <v>0</v>
      </c>
      <c r="D100" s="14">
        <v>0</v>
      </c>
      <c r="E100" s="14">
        <v>0</v>
      </c>
      <c r="F100" s="14">
        <v>1</v>
      </c>
      <c r="H100">
        <f>B100-'6 or greater'!B100-'8 or greater'!B100-'12 or greater'!B100</f>
        <v>0</v>
      </c>
      <c r="I100">
        <f>C100-'6 or greater'!C100-'8 or greater'!C100-'12 or greater'!C100</f>
        <v>0</v>
      </c>
      <c r="J100">
        <f>D100-'6 or greater'!D100-'8 or greater'!D100-'12 or greater'!D100</f>
        <v>0</v>
      </c>
      <c r="K100">
        <f>E100-'6 or greater'!E100-'8 or greater'!E100-'12 or greater'!E100</f>
        <v>0</v>
      </c>
      <c r="L100">
        <f>F100-'6 or greater'!F100-'8 or greater'!F100-'12 or greater'!F100</f>
        <v>-1</v>
      </c>
    </row>
    <row r="101" spans="1:12" ht="36.5" thickBot="1" x14ac:dyDescent="0.4">
      <c r="A101" s="11" t="s">
        <v>100</v>
      </c>
      <c r="B101" s="12">
        <v>0</v>
      </c>
      <c r="C101" s="12">
        <v>0</v>
      </c>
      <c r="D101" s="12">
        <v>1</v>
      </c>
      <c r="E101" s="12">
        <v>0</v>
      </c>
      <c r="F101" s="12">
        <v>0</v>
      </c>
      <c r="H101">
        <f>B101-'6 or greater'!B101-'8 or greater'!B101-'12 or greater'!B101</f>
        <v>0</v>
      </c>
      <c r="I101">
        <f>C101-'6 or greater'!C101-'8 or greater'!C101-'12 or greater'!C101</f>
        <v>0</v>
      </c>
      <c r="J101">
        <f>D101-'6 or greater'!D101-'8 or greater'!D101-'12 or greater'!D101</f>
        <v>1</v>
      </c>
      <c r="K101">
        <f>E101-'6 or greater'!E101-'8 or greater'!E101-'12 or greater'!E101</f>
        <v>0</v>
      </c>
      <c r="L101">
        <f>F101-'6 or greater'!F101-'8 or greater'!F101-'12 or greater'!F101</f>
        <v>0</v>
      </c>
    </row>
    <row r="102" spans="1:12" ht="36.5" thickBot="1" x14ac:dyDescent="0.4">
      <c r="A102" s="13" t="s">
        <v>101</v>
      </c>
      <c r="B102" s="14">
        <v>1</v>
      </c>
      <c r="C102" s="14">
        <v>0</v>
      </c>
      <c r="D102" s="14">
        <v>0</v>
      </c>
      <c r="E102" s="14">
        <v>1</v>
      </c>
      <c r="F102" s="14">
        <v>0</v>
      </c>
      <c r="H102">
        <f>B102-'6 or greater'!B102-'8 or greater'!B102-'12 or greater'!B102</f>
        <v>1</v>
      </c>
      <c r="I102">
        <f>C102-'6 or greater'!C102-'8 or greater'!C102-'12 or greater'!C102</f>
        <v>0</v>
      </c>
      <c r="J102">
        <f>D102-'6 or greater'!D102-'8 or greater'!D102-'12 or greater'!D102</f>
        <v>0</v>
      </c>
      <c r="K102">
        <f>E102-'6 or greater'!E102-'8 or greater'!E102-'12 or greater'!E102</f>
        <v>0</v>
      </c>
      <c r="L102">
        <f>F102-'6 or greater'!F102-'8 or greater'!F102-'12 or greater'!F102</f>
        <v>0</v>
      </c>
    </row>
    <row r="103" spans="1:12" ht="36.5" thickBot="1" x14ac:dyDescent="0.4">
      <c r="A103" s="11" t="s">
        <v>102</v>
      </c>
      <c r="B103" s="12">
        <v>0</v>
      </c>
      <c r="C103" s="12">
        <v>1</v>
      </c>
      <c r="D103" s="12">
        <v>0</v>
      </c>
      <c r="E103" s="12">
        <v>0</v>
      </c>
      <c r="F103" s="12">
        <v>0</v>
      </c>
      <c r="H103">
        <f>B103-'6 or greater'!B103-'8 or greater'!B103-'12 or greater'!B103</f>
        <v>0</v>
      </c>
      <c r="I103">
        <f>C103-'6 or greater'!C103-'8 or greater'!C103-'12 or greater'!C103</f>
        <v>1</v>
      </c>
      <c r="J103">
        <f>D103-'6 or greater'!D103-'8 or greater'!D103-'12 or greater'!D103</f>
        <v>0</v>
      </c>
      <c r="K103">
        <f>E103-'6 or greater'!E103-'8 or greater'!E103-'12 or greater'!E103</f>
        <v>0</v>
      </c>
      <c r="L103">
        <f>F103-'6 or greater'!F103-'8 or greater'!F103-'12 or greater'!F103</f>
        <v>0</v>
      </c>
    </row>
    <row r="104" spans="1:12" ht="36.5" thickBot="1" x14ac:dyDescent="0.4">
      <c r="A104" s="13" t="s">
        <v>103</v>
      </c>
      <c r="B104" s="14">
        <v>0</v>
      </c>
      <c r="C104" s="14">
        <v>0</v>
      </c>
      <c r="D104" s="14">
        <v>0</v>
      </c>
      <c r="E104" s="14">
        <v>0</v>
      </c>
      <c r="F104" s="14">
        <v>1</v>
      </c>
      <c r="H104">
        <f>B104-'6 or greater'!B104-'8 or greater'!B104-'12 or greater'!B104</f>
        <v>0</v>
      </c>
      <c r="I104">
        <f>C104-'6 or greater'!C104-'8 or greater'!C104-'12 or greater'!C104</f>
        <v>0</v>
      </c>
      <c r="J104">
        <f>D104-'6 or greater'!D104-'8 or greater'!D104-'12 or greater'!D104</f>
        <v>0</v>
      </c>
      <c r="K104">
        <f>E104-'6 or greater'!E104-'8 or greater'!E104-'12 or greater'!E104</f>
        <v>0</v>
      </c>
      <c r="L104">
        <f>F104-'6 or greater'!F104-'8 or greater'!F104-'12 or greater'!F104</f>
        <v>0</v>
      </c>
    </row>
    <row r="105" spans="1:12" ht="36.5" thickBot="1" x14ac:dyDescent="0.4">
      <c r="A105" s="11" t="s">
        <v>104</v>
      </c>
      <c r="B105" s="12">
        <v>0</v>
      </c>
      <c r="C105" s="12">
        <v>0</v>
      </c>
      <c r="D105" s="12">
        <v>0</v>
      </c>
      <c r="E105" s="12">
        <v>0</v>
      </c>
      <c r="F105" s="12">
        <v>0</v>
      </c>
      <c r="H105">
        <f>B105-'6 or greater'!B105-'8 or greater'!B105-'12 or greater'!B105</f>
        <v>0</v>
      </c>
      <c r="I105">
        <f>C105-'6 or greater'!C105-'8 or greater'!C105-'12 or greater'!C105</f>
        <v>0</v>
      </c>
      <c r="J105">
        <f>D105-'6 or greater'!D105-'8 or greater'!D105-'12 or greater'!D105</f>
        <v>0</v>
      </c>
      <c r="K105">
        <f>E105-'6 or greater'!E105-'8 or greater'!E105-'12 or greater'!E105</f>
        <v>0</v>
      </c>
      <c r="L105">
        <f>F105-'6 or greater'!F105-'8 or greater'!F105-'12 or greater'!F105</f>
        <v>0</v>
      </c>
    </row>
    <row r="106" spans="1:12" ht="36.5" thickBot="1" x14ac:dyDescent="0.4">
      <c r="A106" s="13" t="s">
        <v>105</v>
      </c>
      <c r="B106" s="14">
        <v>0</v>
      </c>
      <c r="C106" s="14">
        <v>0</v>
      </c>
      <c r="D106" s="14">
        <v>0</v>
      </c>
      <c r="E106" s="14">
        <v>0</v>
      </c>
      <c r="F106" s="14">
        <v>1</v>
      </c>
      <c r="H106">
        <f>B106-'6 or greater'!B106-'8 or greater'!B106-'12 or greater'!B106</f>
        <v>0</v>
      </c>
      <c r="I106">
        <f>C106-'6 or greater'!C106-'8 or greater'!C106-'12 or greater'!C106</f>
        <v>0</v>
      </c>
      <c r="J106">
        <f>D106-'6 or greater'!D106-'8 or greater'!D106-'12 or greater'!D106</f>
        <v>0</v>
      </c>
      <c r="K106">
        <f>E106-'6 or greater'!E106-'8 or greater'!E106-'12 or greater'!E106</f>
        <v>0</v>
      </c>
      <c r="L106">
        <f>F106-'6 or greater'!F106-'8 or greater'!F106-'12 or greater'!F106</f>
        <v>-1</v>
      </c>
    </row>
    <row r="107" spans="1:12" ht="36.5" thickBot="1" x14ac:dyDescent="0.4">
      <c r="A107" s="11" t="s">
        <v>106</v>
      </c>
      <c r="B107" s="12">
        <v>0</v>
      </c>
      <c r="C107" s="12">
        <v>0</v>
      </c>
      <c r="D107" s="12">
        <v>2</v>
      </c>
      <c r="E107" s="12">
        <v>0</v>
      </c>
      <c r="F107" s="12">
        <v>3</v>
      </c>
      <c r="H107">
        <f>B107-'6 or greater'!B107-'8 or greater'!B107-'12 or greater'!B107</f>
        <v>0</v>
      </c>
      <c r="I107">
        <f>C107-'6 or greater'!C107-'8 or greater'!C107-'12 or greater'!C107</f>
        <v>0</v>
      </c>
      <c r="J107">
        <f>D107-'6 or greater'!D107-'8 or greater'!D107-'12 or greater'!D107</f>
        <v>-1</v>
      </c>
      <c r="K107">
        <f>E107-'6 or greater'!E107-'8 or greater'!E107-'12 or greater'!E107</f>
        <v>0</v>
      </c>
      <c r="L107">
        <f>F107-'6 or greater'!F107-'8 or greater'!F107-'12 or greater'!F107</f>
        <v>-3</v>
      </c>
    </row>
    <row r="108" spans="1:12" ht="36.5" thickBot="1" x14ac:dyDescent="0.4">
      <c r="A108" s="13" t="s">
        <v>107</v>
      </c>
      <c r="B108" s="14">
        <v>0</v>
      </c>
      <c r="C108" s="14">
        <v>0</v>
      </c>
      <c r="D108" s="14">
        <v>2</v>
      </c>
      <c r="E108" s="14">
        <v>0</v>
      </c>
      <c r="F108" s="14">
        <v>0</v>
      </c>
      <c r="H108">
        <f>B108-'6 or greater'!B108-'8 or greater'!B108-'12 or greater'!B108</f>
        <v>0</v>
      </c>
      <c r="I108">
        <f>C108-'6 or greater'!C108-'8 or greater'!C108-'12 or greater'!C108</f>
        <v>0</v>
      </c>
      <c r="J108">
        <f>D108-'6 or greater'!D108-'8 or greater'!D108-'12 or greater'!D108</f>
        <v>1</v>
      </c>
      <c r="K108">
        <f>E108-'6 or greater'!E108-'8 or greater'!E108-'12 or greater'!E108</f>
        <v>0</v>
      </c>
      <c r="L108">
        <f>F108-'6 or greater'!F108-'8 or greater'!F108-'12 or greater'!F108</f>
        <v>0</v>
      </c>
    </row>
    <row r="109" spans="1:12" ht="36.5" thickBot="1" x14ac:dyDescent="0.4">
      <c r="A109" s="11" t="s">
        <v>108</v>
      </c>
      <c r="B109" s="12">
        <v>0</v>
      </c>
      <c r="C109" s="12">
        <v>0</v>
      </c>
      <c r="D109" s="12">
        <v>1</v>
      </c>
      <c r="E109" s="12">
        <v>0</v>
      </c>
      <c r="F109" s="12">
        <v>1</v>
      </c>
      <c r="H109">
        <f>B109-'6 or greater'!B109-'8 or greater'!B109-'12 or greater'!B109</f>
        <v>0</v>
      </c>
      <c r="I109">
        <f>C109-'6 or greater'!C109-'8 or greater'!C109-'12 or greater'!C109</f>
        <v>0</v>
      </c>
      <c r="J109">
        <f>D109-'6 or greater'!D109-'8 or greater'!D109-'12 or greater'!D109</f>
        <v>0</v>
      </c>
      <c r="K109">
        <f>E109-'6 or greater'!E109-'8 or greater'!E109-'12 or greater'!E109</f>
        <v>0</v>
      </c>
      <c r="L109">
        <f>F109-'6 or greater'!F109-'8 or greater'!F109-'12 or greater'!F109</f>
        <v>-1</v>
      </c>
    </row>
    <row r="110" spans="1:12" ht="36.5" thickBot="1" x14ac:dyDescent="0.4">
      <c r="A110" s="13" t="s">
        <v>109</v>
      </c>
      <c r="B110" s="14">
        <v>0</v>
      </c>
      <c r="C110" s="14">
        <v>0</v>
      </c>
      <c r="D110" s="14">
        <v>1</v>
      </c>
      <c r="E110" s="14">
        <v>0</v>
      </c>
      <c r="F110" s="14">
        <v>0</v>
      </c>
      <c r="H110">
        <f>B110-'6 or greater'!B110-'8 or greater'!B110-'12 or greater'!B110</f>
        <v>0</v>
      </c>
      <c r="I110">
        <f>C110-'6 or greater'!C110-'8 or greater'!C110-'12 or greater'!C110</f>
        <v>0</v>
      </c>
      <c r="J110">
        <f>D110-'6 or greater'!D110-'8 or greater'!D110-'12 or greater'!D110</f>
        <v>1</v>
      </c>
      <c r="K110">
        <f>E110-'6 or greater'!E110-'8 or greater'!E110-'12 or greater'!E110</f>
        <v>0</v>
      </c>
      <c r="L110">
        <f>F110-'6 or greater'!F110-'8 or greater'!F110-'12 or greater'!F110</f>
        <v>0</v>
      </c>
    </row>
    <row r="111" spans="1:12" ht="36.5" thickBot="1" x14ac:dyDescent="0.4">
      <c r="A111" s="11" t="s">
        <v>110</v>
      </c>
      <c r="B111" s="12">
        <v>0</v>
      </c>
      <c r="C111" s="12">
        <v>1</v>
      </c>
      <c r="D111" s="12">
        <v>0</v>
      </c>
      <c r="E111" s="12">
        <v>1</v>
      </c>
      <c r="F111" s="12">
        <v>0</v>
      </c>
      <c r="H111">
        <f>B111-'6 or greater'!B111-'8 or greater'!B111-'12 or greater'!B111</f>
        <v>0</v>
      </c>
      <c r="I111">
        <f>C111-'6 or greater'!C111-'8 or greater'!C111-'12 or greater'!C111</f>
        <v>-1</v>
      </c>
      <c r="J111">
        <f>D111-'6 or greater'!D111-'8 or greater'!D111-'12 or greater'!D111</f>
        <v>0</v>
      </c>
      <c r="K111">
        <f>E111-'6 or greater'!E111-'8 or greater'!E111-'12 or greater'!E111</f>
        <v>-1</v>
      </c>
      <c r="L111">
        <f>F111-'6 or greater'!F111-'8 or greater'!F111-'12 or greater'!F111</f>
        <v>0</v>
      </c>
    </row>
    <row r="112" spans="1:12" ht="36.5" thickBot="1" x14ac:dyDescent="0.4">
      <c r="A112" s="13" t="s">
        <v>111</v>
      </c>
      <c r="B112" s="14">
        <v>1</v>
      </c>
      <c r="C112" s="14">
        <v>1</v>
      </c>
      <c r="D112" s="14">
        <v>1</v>
      </c>
      <c r="E112" s="14">
        <v>0</v>
      </c>
      <c r="F112" s="14">
        <v>0</v>
      </c>
      <c r="H112">
        <f>B112-'6 or greater'!B112-'8 or greater'!B112-'12 or greater'!B112</f>
        <v>0</v>
      </c>
      <c r="I112">
        <f>C112-'6 or greater'!C112-'8 or greater'!C112-'12 or greater'!C112</f>
        <v>1</v>
      </c>
      <c r="J112">
        <f>D112-'6 or greater'!D112-'8 or greater'!D112-'12 or greater'!D112</f>
        <v>1</v>
      </c>
      <c r="K112">
        <f>E112-'6 or greater'!E112-'8 or greater'!E112-'12 or greater'!E112</f>
        <v>0</v>
      </c>
      <c r="L112">
        <f>F112-'6 or greater'!F112-'8 or greater'!F112-'12 or greater'!F112</f>
        <v>0</v>
      </c>
    </row>
    <row r="113" spans="1:12" ht="36.5" thickBot="1" x14ac:dyDescent="0.4">
      <c r="A113" s="11" t="s">
        <v>112</v>
      </c>
      <c r="B113" s="12">
        <v>0</v>
      </c>
      <c r="C113" s="12">
        <v>0</v>
      </c>
      <c r="D113" s="12">
        <v>0</v>
      </c>
      <c r="E113" s="12">
        <v>0</v>
      </c>
      <c r="F113" s="12">
        <v>0</v>
      </c>
      <c r="H113">
        <f>B113-'6 or greater'!B113-'8 or greater'!B113-'12 or greater'!B113</f>
        <v>0</v>
      </c>
      <c r="I113">
        <f>C113-'6 or greater'!C113-'8 or greater'!C113-'12 or greater'!C113</f>
        <v>0</v>
      </c>
      <c r="J113">
        <f>D113-'6 or greater'!D113-'8 or greater'!D113-'12 or greater'!D113</f>
        <v>0</v>
      </c>
      <c r="K113">
        <f>E113-'6 or greater'!E113-'8 or greater'!E113-'12 or greater'!E113</f>
        <v>0</v>
      </c>
      <c r="L113">
        <f>F113-'6 or greater'!F113-'8 or greater'!F113-'12 or greater'!F113</f>
        <v>0</v>
      </c>
    </row>
    <row r="114" spans="1:12" ht="36.5" thickBot="1" x14ac:dyDescent="0.4">
      <c r="A114" s="13" t="s">
        <v>113</v>
      </c>
      <c r="B114" s="14">
        <v>1</v>
      </c>
      <c r="C114" s="14">
        <v>2</v>
      </c>
      <c r="D114" s="14">
        <v>0</v>
      </c>
      <c r="E114" s="14">
        <v>0</v>
      </c>
      <c r="F114" s="14">
        <v>0</v>
      </c>
      <c r="H114">
        <f>B114-'6 or greater'!B114-'8 or greater'!B114-'12 or greater'!B114</f>
        <v>-1</v>
      </c>
      <c r="I114">
        <f>C114-'6 or greater'!C114-'8 or greater'!C114-'12 or greater'!C114</f>
        <v>1</v>
      </c>
      <c r="J114">
        <f>D114-'6 or greater'!D114-'8 or greater'!D114-'12 or greater'!D114</f>
        <v>0</v>
      </c>
      <c r="K114">
        <f>E114-'6 or greater'!E114-'8 or greater'!E114-'12 or greater'!E114</f>
        <v>0</v>
      </c>
      <c r="L114">
        <f>F114-'6 or greater'!F114-'8 or greater'!F114-'12 or greater'!F114</f>
        <v>0</v>
      </c>
    </row>
    <row r="115" spans="1:12" ht="36.5" thickBot="1" x14ac:dyDescent="0.4">
      <c r="A115" s="11" t="s">
        <v>114</v>
      </c>
      <c r="B115" s="12">
        <v>0</v>
      </c>
      <c r="C115" s="12">
        <v>1</v>
      </c>
      <c r="D115" s="12">
        <v>1</v>
      </c>
      <c r="E115" s="12">
        <v>3</v>
      </c>
      <c r="F115" s="12">
        <v>0</v>
      </c>
      <c r="H115">
        <f>B115-'6 or greater'!B115-'8 or greater'!B115-'12 or greater'!B115</f>
        <v>0</v>
      </c>
      <c r="I115">
        <f>C115-'6 or greater'!C115-'8 or greater'!C115-'12 or greater'!C115</f>
        <v>-1</v>
      </c>
      <c r="J115">
        <f>D115-'6 or greater'!D115-'8 or greater'!D115-'12 or greater'!D115</f>
        <v>1</v>
      </c>
      <c r="K115">
        <f>E115-'6 or greater'!E115-'8 or greater'!E115-'12 or greater'!E115</f>
        <v>1</v>
      </c>
      <c r="L115">
        <f>F115-'6 or greater'!F115-'8 or greater'!F115-'12 or greater'!F115</f>
        <v>0</v>
      </c>
    </row>
    <row r="116" spans="1:12" ht="36.5" thickBot="1" x14ac:dyDescent="0.4">
      <c r="A116" s="13" t="s">
        <v>115</v>
      </c>
      <c r="B116" s="14">
        <v>0</v>
      </c>
      <c r="C116" s="14">
        <v>0</v>
      </c>
      <c r="D116" s="14">
        <v>1</v>
      </c>
      <c r="E116" s="14">
        <v>1</v>
      </c>
      <c r="F116" s="14">
        <v>2</v>
      </c>
      <c r="H116">
        <f>B116-'6 or greater'!B116-'8 or greater'!B116-'12 or greater'!B116</f>
        <v>0</v>
      </c>
      <c r="I116">
        <f>C116-'6 or greater'!C116-'8 or greater'!C116-'12 or greater'!C116</f>
        <v>0</v>
      </c>
      <c r="J116">
        <f>D116-'6 or greater'!D116-'8 or greater'!D116-'12 or greater'!D116</f>
        <v>0</v>
      </c>
      <c r="K116">
        <f>E116-'6 or greater'!E116-'8 or greater'!E116-'12 or greater'!E116</f>
        <v>0</v>
      </c>
      <c r="L116">
        <f>F116-'6 or greater'!F116-'8 or greater'!F116-'12 or greater'!F116</f>
        <v>2</v>
      </c>
    </row>
    <row r="117" spans="1:12" ht="36.5" thickBot="1" x14ac:dyDescent="0.4">
      <c r="A117" s="11" t="s">
        <v>116</v>
      </c>
      <c r="B117" s="12">
        <v>0</v>
      </c>
      <c r="C117" s="12">
        <v>1</v>
      </c>
      <c r="D117" s="12">
        <v>0</v>
      </c>
      <c r="E117" s="12">
        <v>1</v>
      </c>
      <c r="F117" s="12">
        <v>1</v>
      </c>
      <c r="H117">
        <f>B117-'6 or greater'!B117-'8 or greater'!B117-'12 or greater'!B117</f>
        <v>0</v>
      </c>
      <c r="I117">
        <f>C117-'6 or greater'!C117-'8 or greater'!C117-'12 or greater'!C117</f>
        <v>1</v>
      </c>
      <c r="J117">
        <f>D117-'6 or greater'!D117-'8 or greater'!D117-'12 or greater'!D117</f>
        <v>0</v>
      </c>
      <c r="K117">
        <f>E117-'6 or greater'!E117-'8 or greater'!E117-'12 or greater'!E117</f>
        <v>-1</v>
      </c>
      <c r="L117">
        <f>F117-'6 or greater'!F117-'8 or greater'!F117-'12 or greater'!F117</f>
        <v>1</v>
      </c>
    </row>
    <row r="118" spans="1:12" ht="36.5" thickBot="1" x14ac:dyDescent="0.4">
      <c r="A118" s="13" t="s">
        <v>117</v>
      </c>
      <c r="B118" s="14">
        <v>1</v>
      </c>
      <c r="C118" s="14">
        <v>0</v>
      </c>
      <c r="D118" s="14">
        <v>1</v>
      </c>
      <c r="E118" s="14">
        <v>0</v>
      </c>
      <c r="F118" s="14">
        <v>0</v>
      </c>
      <c r="H118">
        <f>B118-'6 or greater'!B118-'8 or greater'!B118-'12 or greater'!B118</f>
        <v>0</v>
      </c>
      <c r="I118">
        <f>C118-'6 or greater'!C118-'8 or greater'!C118-'12 or greater'!C118</f>
        <v>0</v>
      </c>
      <c r="J118">
        <f>D118-'6 or greater'!D118-'8 or greater'!D118-'12 or greater'!D118</f>
        <v>-1</v>
      </c>
      <c r="K118">
        <f>E118-'6 or greater'!E118-'8 or greater'!E118-'12 or greater'!E118</f>
        <v>0</v>
      </c>
      <c r="L118">
        <f>F118-'6 or greater'!F118-'8 or greater'!F118-'12 or greater'!F118</f>
        <v>0</v>
      </c>
    </row>
    <row r="119" spans="1:12" ht="36.5" thickBot="1" x14ac:dyDescent="0.4">
      <c r="A119" s="11" t="s">
        <v>118</v>
      </c>
      <c r="B119" s="12">
        <v>0</v>
      </c>
      <c r="C119" s="12">
        <v>1</v>
      </c>
      <c r="D119" s="12">
        <v>1</v>
      </c>
      <c r="E119" s="12">
        <v>1</v>
      </c>
      <c r="F119" s="12">
        <v>0</v>
      </c>
      <c r="H119">
        <f>B119-'6 or greater'!B119-'8 or greater'!B119-'12 or greater'!B119</f>
        <v>0</v>
      </c>
      <c r="I119">
        <f>C119-'6 or greater'!C119-'8 or greater'!C119-'12 or greater'!C119</f>
        <v>1</v>
      </c>
      <c r="J119">
        <f>D119-'6 or greater'!D119-'8 or greater'!D119-'12 or greater'!D119</f>
        <v>0</v>
      </c>
      <c r="K119">
        <f>E119-'6 or greater'!E119-'8 or greater'!E119-'12 or greater'!E119</f>
        <v>1</v>
      </c>
      <c r="L119">
        <f>F119-'6 or greater'!F119-'8 or greater'!F119-'12 or greater'!F119</f>
        <v>0</v>
      </c>
    </row>
    <row r="120" spans="1:12" ht="36.5" thickBot="1" x14ac:dyDescent="0.4">
      <c r="A120" s="13" t="s">
        <v>119</v>
      </c>
      <c r="B120" s="14">
        <v>0</v>
      </c>
      <c r="C120" s="14">
        <v>0</v>
      </c>
      <c r="D120" s="14">
        <v>1</v>
      </c>
      <c r="E120" s="14">
        <v>0</v>
      </c>
      <c r="F120" s="14">
        <v>0</v>
      </c>
      <c r="H120">
        <f>B120-'6 or greater'!B120-'8 or greater'!B120-'12 or greater'!B120</f>
        <v>0</v>
      </c>
      <c r="I120">
        <f>C120-'6 or greater'!C120-'8 or greater'!C120-'12 or greater'!C120</f>
        <v>0</v>
      </c>
      <c r="J120">
        <f>D120-'6 or greater'!D120-'8 or greater'!D120-'12 or greater'!D120</f>
        <v>0</v>
      </c>
      <c r="K120">
        <f>E120-'6 or greater'!E120-'8 or greater'!E120-'12 or greater'!E120</f>
        <v>0</v>
      </c>
      <c r="L120">
        <f>F120-'6 or greater'!F120-'8 or greater'!F120-'12 or greater'!F120</f>
        <v>0</v>
      </c>
    </row>
    <row r="121" spans="1:12" ht="36.5" thickBot="1" x14ac:dyDescent="0.4">
      <c r="A121" s="11" t="s">
        <v>120</v>
      </c>
      <c r="B121" s="12">
        <v>0</v>
      </c>
      <c r="C121" s="12">
        <v>2</v>
      </c>
      <c r="D121" s="12">
        <v>0</v>
      </c>
      <c r="E121" s="12">
        <v>0</v>
      </c>
      <c r="F121" s="12">
        <v>1</v>
      </c>
      <c r="H121">
        <f>B121-'6 or greater'!B121-'8 or greater'!B121-'12 or greater'!B121</f>
        <v>0</v>
      </c>
      <c r="I121">
        <f>C121-'6 or greater'!C121-'8 or greater'!C121-'12 or greater'!C121</f>
        <v>1</v>
      </c>
      <c r="J121">
        <f>D121-'6 or greater'!D121-'8 or greater'!D121-'12 or greater'!D121</f>
        <v>0</v>
      </c>
      <c r="K121">
        <f>E121-'6 or greater'!E121-'8 or greater'!E121-'12 or greater'!E121</f>
        <v>0</v>
      </c>
      <c r="L121">
        <f>F121-'6 or greater'!F121-'8 or greater'!F121-'12 or greater'!F121</f>
        <v>1</v>
      </c>
    </row>
    <row r="122" spans="1:12" ht="36.5" thickBot="1" x14ac:dyDescent="0.4">
      <c r="A122" s="13" t="s">
        <v>121</v>
      </c>
      <c r="B122" s="14">
        <v>0</v>
      </c>
      <c r="C122" s="14">
        <v>0</v>
      </c>
      <c r="D122" s="14">
        <v>0</v>
      </c>
      <c r="E122" s="14">
        <v>0</v>
      </c>
      <c r="F122" s="14">
        <v>0</v>
      </c>
      <c r="H122">
        <f>B122-'6 or greater'!B122-'8 or greater'!B122-'12 or greater'!B122</f>
        <v>0</v>
      </c>
      <c r="I122">
        <f>C122-'6 or greater'!C122-'8 or greater'!C122-'12 or greater'!C122</f>
        <v>0</v>
      </c>
      <c r="J122">
        <f>D122-'6 or greater'!D122-'8 or greater'!D122-'12 or greater'!D122</f>
        <v>0</v>
      </c>
      <c r="K122">
        <f>E122-'6 or greater'!E122-'8 or greater'!E122-'12 or greater'!E122</f>
        <v>0</v>
      </c>
      <c r="L122">
        <f>F122-'6 or greater'!F122-'8 or greater'!F122-'12 or greater'!F122</f>
        <v>0</v>
      </c>
    </row>
    <row r="123" spans="1:12" ht="36.5" thickBot="1" x14ac:dyDescent="0.4">
      <c r="A123" s="11" t="s">
        <v>122</v>
      </c>
      <c r="B123" s="12">
        <v>0</v>
      </c>
      <c r="C123" s="12">
        <v>0</v>
      </c>
      <c r="D123" s="12">
        <v>0</v>
      </c>
      <c r="E123" s="12">
        <v>0</v>
      </c>
      <c r="F123" s="12">
        <v>1</v>
      </c>
      <c r="H123">
        <f>B123-'6 or greater'!B123-'8 or greater'!B123-'12 or greater'!B123</f>
        <v>0</v>
      </c>
      <c r="I123">
        <f>C123-'6 or greater'!C123-'8 or greater'!C123-'12 or greater'!C123</f>
        <v>0</v>
      </c>
      <c r="J123">
        <f>D123-'6 or greater'!D123-'8 or greater'!D123-'12 or greater'!D123</f>
        <v>0</v>
      </c>
      <c r="K123">
        <f>E123-'6 or greater'!E123-'8 or greater'!E123-'12 or greater'!E123</f>
        <v>0</v>
      </c>
      <c r="L123">
        <f>F123-'6 or greater'!F123-'8 or greater'!F123-'12 or greater'!F123</f>
        <v>0</v>
      </c>
    </row>
    <row r="124" spans="1:12" ht="36.5" thickBot="1" x14ac:dyDescent="0.4">
      <c r="A124" s="13" t="s">
        <v>123</v>
      </c>
      <c r="B124" s="14">
        <v>0</v>
      </c>
      <c r="C124" s="14">
        <v>0</v>
      </c>
      <c r="D124" s="14">
        <v>0</v>
      </c>
      <c r="E124" s="14">
        <v>0</v>
      </c>
      <c r="F124" s="14">
        <v>1</v>
      </c>
      <c r="H124">
        <f>B124-'6 or greater'!B124-'8 or greater'!B124-'12 or greater'!B124</f>
        <v>0</v>
      </c>
      <c r="I124">
        <f>C124-'6 or greater'!C124-'8 or greater'!C124-'12 or greater'!C124</f>
        <v>0</v>
      </c>
      <c r="J124">
        <f>D124-'6 or greater'!D124-'8 or greater'!D124-'12 or greater'!D124</f>
        <v>0</v>
      </c>
      <c r="K124">
        <f>E124-'6 or greater'!E124-'8 or greater'!E124-'12 or greater'!E124</f>
        <v>0</v>
      </c>
      <c r="L124">
        <f>F124-'6 or greater'!F124-'8 or greater'!F124-'12 or greater'!F124</f>
        <v>0</v>
      </c>
    </row>
    <row r="125" spans="1:12" ht="36.5" thickBot="1" x14ac:dyDescent="0.4">
      <c r="A125" s="11" t="s">
        <v>124</v>
      </c>
      <c r="B125" s="12">
        <v>2</v>
      </c>
      <c r="C125" s="12">
        <v>0</v>
      </c>
      <c r="D125" s="12">
        <v>1</v>
      </c>
      <c r="E125" s="12">
        <v>2</v>
      </c>
      <c r="F125" s="12">
        <v>2</v>
      </c>
      <c r="H125">
        <f>B125-'6 or greater'!B125-'8 or greater'!B125-'12 or greater'!B125</f>
        <v>2</v>
      </c>
      <c r="I125">
        <f>C125-'6 or greater'!C125-'8 or greater'!C125-'12 or greater'!C125</f>
        <v>0</v>
      </c>
      <c r="J125">
        <f>D125-'6 or greater'!D125-'8 or greater'!D125-'12 or greater'!D125</f>
        <v>1</v>
      </c>
      <c r="K125">
        <f>E125-'6 or greater'!E125-'8 or greater'!E125-'12 or greater'!E125</f>
        <v>1</v>
      </c>
      <c r="L125">
        <f>F125-'6 or greater'!F125-'8 or greater'!F125-'12 or greater'!F125</f>
        <v>0</v>
      </c>
    </row>
    <row r="126" spans="1:12" ht="36.5" thickBot="1" x14ac:dyDescent="0.4">
      <c r="A126" s="13" t="s">
        <v>125</v>
      </c>
      <c r="B126" s="14">
        <v>0</v>
      </c>
      <c r="C126" s="14">
        <v>0</v>
      </c>
      <c r="D126" s="14">
        <v>0</v>
      </c>
      <c r="E126" s="14">
        <v>0</v>
      </c>
      <c r="F126" s="14">
        <v>1</v>
      </c>
      <c r="H126">
        <f>B126-'6 or greater'!B126-'8 or greater'!B126-'12 or greater'!B126</f>
        <v>0</v>
      </c>
      <c r="I126">
        <f>C126-'6 or greater'!C126-'8 or greater'!C126-'12 or greater'!C126</f>
        <v>0</v>
      </c>
      <c r="J126">
        <f>D126-'6 or greater'!D126-'8 or greater'!D126-'12 or greater'!D126</f>
        <v>0</v>
      </c>
      <c r="K126">
        <f>E126-'6 or greater'!E126-'8 or greater'!E126-'12 or greater'!E126</f>
        <v>0</v>
      </c>
      <c r="L126">
        <f>F126-'6 or greater'!F126-'8 or greater'!F126-'12 or greater'!F126</f>
        <v>1</v>
      </c>
    </row>
    <row r="127" spans="1:12" ht="36.5" thickBot="1" x14ac:dyDescent="0.4">
      <c r="A127" s="11" t="s">
        <v>126</v>
      </c>
      <c r="B127" s="12">
        <v>1</v>
      </c>
      <c r="C127" s="12">
        <v>0</v>
      </c>
      <c r="D127" s="12">
        <v>0</v>
      </c>
      <c r="E127" s="12">
        <v>0</v>
      </c>
      <c r="F127" s="12">
        <v>1</v>
      </c>
      <c r="H127">
        <f>B127-'6 or greater'!B127-'8 or greater'!B127-'12 or greater'!B127</f>
        <v>1</v>
      </c>
      <c r="I127">
        <f>C127-'6 or greater'!C127-'8 or greater'!C127-'12 or greater'!C127</f>
        <v>0</v>
      </c>
      <c r="J127">
        <f>D127-'6 or greater'!D127-'8 or greater'!D127-'12 or greater'!D127</f>
        <v>0</v>
      </c>
      <c r="K127">
        <f>E127-'6 or greater'!E127-'8 or greater'!E127-'12 or greater'!E127</f>
        <v>0</v>
      </c>
      <c r="L127">
        <f>F127-'6 or greater'!F127-'8 or greater'!F127-'12 or greater'!F127</f>
        <v>1</v>
      </c>
    </row>
    <row r="128" spans="1:12" ht="36.5" thickBot="1" x14ac:dyDescent="0.4">
      <c r="A128" s="13" t="s">
        <v>127</v>
      </c>
      <c r="B128" s="14">
        <v>0</v>
      </c>
      <c r="C128" s="14">
        <v>0</v>
      </c>
      <c r="D128" s="14">
        <v>0</v>
      </c>
      <c r="E128" s="14">
        <v>0</v>
      </c>
      <c r="F128" s="14">
        <v>1</v>
      </c>
      <c r="H128">
        <f>B128-'6 or greater'!B128-'8 or greater'!B128-'12 or greater'!B128</f>
        <v>0</v>
      </c>
      <c r="I128">
        <f>C128-'6 or greater'!C128-'8 or greater'!C128-'12 or greater'!C128</f>
        <v>0</v>
      </c>
      <c r="J128">
        <f>D128-'6 or greater'!D128-'8 or greater'!D128-'12 or greater'!D128</f>
        <v>0</v>
      </c>
      <c r="K128">
        <f>E128-'6 or greater'!E128-'8 or greater'!E128-'12 or greater'!E128</f>
        <v>0</v>
      </c>
      <c r="L128">
        <f>F128-'6 or greater'!F128-'8 or greater'!F128-'12 or greater'!F128</f>
        <v>1</v>
      </c>
    </row>
    <row r="129" spans="1:12" ht="36.5" thickBot="1" x14ac:dyDescent="0.4">
      <c r="A129" s="11" t="s">
        <v>128</v>
      </c>
      <c r="B129" s="12">
        <v>0</v>
      </c>
      <c r="C129" s="12">
        <v>0</v>
      </c>
      <c r="D129" s="12">
        <v>0</v>
      </c>
      <c r="E129" s="12">
        <v>0</v>
      </c>
      <c r="F129" s="12">
        <v>0</v>
      </c>
      <c r="H129">
        <f>B129-'6 or greater'!B129-'8 or greater'!B129-'12 or greater'!B129</f>
        <v>0</v>
      </c>
      <c r="I129">
        <f>C129-'6 or greater'!C129-'8 or greater'!C129-'12 or greater'!C129</f>
        <v>0</v>
      </c>
      <c r="J129">
        <f>D129-'6 or greater'!D129-'8 or greater'!D129-'12 or greater'!D129</f>
        <v>0</v>
      </c>
      <c r="K129">
        <f>E129-'6 or greater'!E129-'8 or greater'!E129-'12 or greater'!E129</f>
        <v>0</v>
      </c>
      <c r="L129">
        <f>F129-'6 or greater'!F129-'8 or greater'!F129-'12 or greater'!F129</f>
        <v>0</v>
      </c>
    </row>
    <row r="130" spans="1:12" ht="36.5" thickBot="1" x14ac:dyDescent="0.4">
      <c r="A130" s="13" t="s">
        <v>129</v>
      </c>
      <c r="B130" s="14">
        <v>0</v>
      </c>
      <c r="C130" s="14">
        <v>1</v>
      </c>
      <c r="D130" s="14">
        <v>0</v>
      </c>
      <c r="E130" s="14">
        <v>0</v>
      </c>
      <c r="F130" s="14">
        <v>1</v>
      </c>
      <c r="H130">
        <f>B130-'6 or greater'!B130-'8 or greater'!B130-'12 or greater'!B130</f>
        <v>0</v>
      </c>
      <c r="I130">
        <f>C130-'6 or greater'!C130-'8 or greater'!C130-'12 or greater'!C130</f>
        <v>1</v>
      </c>
      <c r="J130">
        <f>D130-'6 or greater'!D130-'8 or greater'!D130-'12 or greater'!D130</f>
        <v>0</v>
      </c>
      <c r="K130">
        <f>E130-'6 or greater'!E130-'8 or greater'!E130-'12 or greater'!E130</f>
        <v>0</v>
      </c>
      <c r="L130">
        <f>F130-'6 or greater'!F130-'8 or greater'!F130-'12 or greater'!F130</f>
        <v>0</v>
      </c>
    </row>
    <row r="131" spans="1:12" ht="36.5" thickBot="1" x14ac:dyDescent="0.4">
      <c r="A131" s="11" t="s">
        <v>130</v>
      </c>
      <c r="B131" s="12">
        <v>0</v>
      </c>
      <c r="C131" s="12">
        <v>0</v>
      </c>
      <c r="D131" s="12">
        <v>0</v>
      </c>
      <c r="E131" s="12">
        <v>2</v>
      </c>
      <c r="F131" s="12">
        <v>1</v>
      </c>
      <c r="H131">
        <f>B131-'6 or greater'!B131-'8 or greater'!B131-'12 or greater'!B131</f>
        <v>0</v>
      </c>
      <c r="I131">
        <f>C131-'6 or greater'!C131-'8 or greater'!C131-'12 or greater'!C131</f>
        <v>0</v>
      </c>
      <c r="J131">
        <f>D131-'6 or greater'!D131-'8 or greater'!D131-'12 or greater'!D131</f>
        <v>0</v>
      </c>
      <c r="K131">
        <f>E131-'6 or greater'!E131-'8 or greater'!E131-'12 or greater'!E131</f>
        <v>2</v>
      </c>
      <c r="L131">
        <f>F131-'6 or greater'!F131-'8 or greater'!F131-'12 or greater'!F131</f>
        <v>1</v>
      </c>
    </row>
    <row r="132" spans="1:12" ht="36.5" thickBot="1" x14ac:dyDescent="0.4">
      <c r="A132" s="13" t="s">
        <v>131</v>
      </c>
      <c r="B132" s="14">
        <v>0</v>
      </c>
      <c r="C132" s="14">
        <v>0</v>
      </c>
      <c r="D132" s="14">
        <v>0</v>
      </c>
      <c r="E132" s="14">
        <v>0</v>
      </c>
      <c r="F132" s="14">
        <v>1</v>
      </c>
      <c r="H132">
        <f>B132-'6 or greater'!B132-'8 or greater'!B132-'12 or greater'!B132</f>
        <v>0</v>
      </c>
      <c r="I132">
        <f>C132-'6 or greater'!C132-'8 or greater'!C132-'12 or greater'!C132</f>
        <v>0</v>
      </c>
      <c r="J132">
        <f>D132-'6 or greater'!D132-'8 or greater'!D132-'12 or greater'!D132</f>
        <v>0</v>
      </c>
      <c r="K132">
        <f>E132-'6 or greater'!E132-'8 or greater'!E132-'12 or greater'!E132</f>
        <v>0</v>
      </c>
      <c r="L132">
        <f>F132-'6 or greater'!F132-'8 or greater'!F132-'12 or greater'!F132</f>
        <v>1</v>
      </c>
    </row>
    <row r="133" spans="1:12" ht="36.5" thickBot="1" x14ac:dyDescent="0.4">
      <c r="A133" s="11" t="s">
        <v>132</v>
      </c>
      <c r="B133" s="12">
        <v>0</v>
      </c>
      <c r="C133" s="12">
        <v>0</v>
      </c>
      <c r="D133" s="12">
        <v>0</v>
      </c>
      <c r="E133" s="12">
        <v>0</v>
      </c>
      <c r="F133" s="12">
        <v>0</v>
      </c>
      <c r="H133">
        <f>B133-'6 or greater'!B133-'8 or greater'!B133-'12 or greater'!B133</f>
        <v>0</v>
      </c>
      <c r="I133">
        <f>C133-'6 or greater'!C133-'8 or greater'!C133-'12 or greater'!C133</f>
        <v>0</v>
      </c>
      <c r="J133">
        <f>D133-'6 or greater'!D133-'8 or greater'!D133-'12 or greater'!D133</f>
        <v>0</v>
      </c>
      <c r="K133">
        <f>E133-'6 or greater'!E133-'8 or greater'!E133-'12 or greater'!E133</f>
        <v>0</v>
      </c>
      <c r="L133">
        <f>F133-'6 or greater'!F133-'8 or greater'!F133-'12 or greater'!F133</f>
        <v>0</v>
      </c>
    </row>
    <row r="134" spans="1:12" ht="36.5" thickBot="1" x14ac:dyDescent="0.4">
      <c r="A134" s="13" t="s">
        <v>133</v>
      </c>
      <c r="B134" s="14">
        <v>0</v>
      </c>
      <c r="C134" s="14">
        <v>1</v>
      </c>
      <c r="D134" s="14">
        <v>0</v>
      </c>
      <c r="E134" s="14">
        <v>0</v>
      </c>
      <c r="F134" s="14">
        <v>0</v>
      </c>
      <c r="H134">
        <f>B134-'6 or greater'!B134-'8 or greater'!B134-'12 or greater'!B134</f>
        <v>0</v>
      </c>
      <c r="I134">
        <f>C134-'6 or greater'!C134-'8 or greater'!C134-'12 or greater'!C134</f>
        <v>1</v>
      </c>
      <c r="J134">
        <f>D134-'6 or greater'!D134-'8 or greater'!D134-'12 or greater'!D134</f>
        <v>0</v>
      </c>
      <c r="K134">
        <f>E134-'6 or greater'!E134-'8 or greater'!E134-'12 or greater'!E134</f>
        <v>0</v>
      </c>
      <c r="L134">
        <f>F134-'6 or greater'!F134-'8 or greater'!F134-'12 or greater'!F134</f>
        <v>0</v>
      </c>
    </row>
    <row r="135" spans="1:12" ht="36.5" thickBot="1" x14ac:dyDescent="0.4">
      <c r="A135" s="11" t="s">
        <v>134</v>
      </c>
      <c r="B135" s="12">
        <v>0</v>
      </c>
      <c r="C135" s="12">
        <v>0</v>
      </c>
      <c r="D135" s="12">
        <v>0</v>
      </c>
      <c r="E135" s="12">
        <v>0</v>
      </c>
      <c r="F135" s="12">
        <v>0</v>
      </c>
      <c r="H135">
        <f>B135-'6 or greater'!B135-'8 or greater'!B135-'12 or greater'!B135</f>
        <v>0</v>
      </c>
      <c r="I135">
        <f>C135-'6 or greater'!C135-'8 or greater'!C135-'12 or greater'!C135</f>
        <v>0</v>
      </c>
      <c r="J135">
        <f>D135-'6 or greater'!D135-'8 or greater'!D135-'12 or greater'!D135</f>
        <v>0</v>
      </c>
      <c r="K135">
        <f>E135-'6 or greater'!E135-'8 or greater'!E135-'12 or greater'!E135</f>
        <v>0</v>
      </c>
      <c r="L135">
        <f>F135-'6 or greater'!F135-'8 or greater'!F135-'12 or greater'!F135</f>
        <v>0</v>
      </c>
    </row>
    <row r="136" spans="1:12" ht="36.5" thickBot="1" x14ac:dyDescent="0.4">
      <c r="A136" s="13" t="s">
        <v>135</v>
      </c>
      <c r="B136" s="14">
        <v>0</v>
      </c>
      <c r="C136" s="14">
        <v>0</v>
      </c>
      <c r="D136" s="14">
        <v>0</v>
      </c>
      <c r="E136" s="14">
        <v>0</v>
      </c>
      <c r="F136" s="14">
        <v>0</v>
      </c>
      <c r="H136">
        <f>B136-'6 or greater'!B136-'8 or greater'!B136-'12 or greater'!B136</f>
        <v>0</v>
      </c>
      <c r="I136">
        <f>C136-'6 or greater'!C136-'8 or greater'!C136-'12 or greater'!C136</f>
        <v>0</v>
      </c>
      <c r="J136">
        <f>D136-'6 or greater'!D136-'8 or greater'!D136-'12 or greater'!D136</f>
        <v>0</v>
      </c>
      <c r="K136">
        <f>E136-'6 or greater'!E136-'8 or greater'!E136-'12 or greater'!E136</f>
        <v>0</v>
      </c>
      <c r="L136">
        <f>F136-'6 or greater'!F136-'8 or greater'!F136-'12 or greater'!F136</f>
        <v>0</v>
      </c>
    </row>
    <row r="137" spans="1:12" ht="36.5" thickBot="1" x14ac:dyDescent="0.4">
      <c r="A137" s="11" t="s">
        <v>136</v>
      </c>
      <c r="B137" s="12">
        <v>2</v>
      </c>
      <c r="C137" s="12">
        <v>0</v>
      </c>
      <c r="D137" s="12">
        <v>2</v>
      </c>
      <c r="E137" s="12">
        <v>0</v>
      </c>
      <c r="F137" s="12">
        <v>0</v>
      </c>
      <c r="H137">
        <f>B137-'6 or greater'!B137-'8 or greater'!B137-'12 or greater'!B137</f>
        <v>0</v>
      </c>
      <c r="I137">
        <f>C137-'6 or greater'!C137-'8 or greater'!C137-'12 or greater'!C137</f>
        <v>0</v>
      </c>
      <c r="J137">
        <f>D137-'6 or greater'!D137-'8 or greater'!D137-'12 or greater'!D137</f>
        <v>0</v>
      </c>
      <c r="K137">
        <f>E137-'6 or greater'!E137-'8 or greater'!E137-'12 or greater'!E137</f>
        <v>0</v>
      </c>
      <c r="L137">
        <f>F137-'6 or greater'!F137-'8 or greater'!F137-'12 or greater'!F137</f>
        <v>0</v>
      </c>
    </row>
    <row r="138" spans="1:12" ht="36.5" thickBot="1" x14ac:dyDescent="0.4">
      <c r="A138" s="13" t="s">
        <v>137</v>
      </c>
      <c r="B138" s="14">
        <v>0</v>
      </c>
      <c r="C138" s="14">
        <v>0</v>
      </c>
      <c r="D138" s="14">
        <v>0</v>
      </c>
      <c r="E138" s="14">
        <v>0</v>
      </c>
      <c r="F138" s="14">
        <v>1</v>
      </c>
      <c r="H138">
        <f>B138-'6 or greater'!B138-'8 or greater'!B138-'12 or greater'!B138</f>
        <v>0</v>
      </c>
      <c r="I138">
        <f>C138-'6 or greater'!C138-'8 or greater'!C138-'12 or greater'!C138</f>
        <v>0</v>
      </c>
      <c r="J138">
        <f>D138-'6 or greater'!D138-'8 or greater'!D138-'12 or greater'!D138</f>
        <v>0</v>
      </c>
      <c r="K138">
        <f>E138-'6 or greater'!E138-'8 or greater'!E138-'12 or greater'!E138</f>
        <v>0</v>
      </c>
      <c r="L138">
        <f>F138-'6 or greater'!F138-'8 or greater'!F138-'12 or greater'!F138</f>
        <v>0</v>
      </c>
    </row>
    <row r="139" spans="1:12" ht="36" x14ac:dyDescent="0.35">
      <c r="A139" s="11" t="s">
        <v>138</v>
      </c>
      <c r="B139" s="12">
        <v>1</v>
      </c>
      <c r="C139" s="12">
        <v>1</v>
      </c>
      <c r="D139" s="12">
        <v>0</v>
      </c>
      <c r="E139" s="12">
        <v>0</v>
      </c>
      <c r="F139" s="12">
        <v>0</v>
      </c>
      <c r="H139">
        <f>B139-'6 or greater'!B139-'8 or greater'!B139-'12 or greater'!B139</f>
        <v>1</v>
      </c>
      <c r="I139">
        <f>C139-'6 or greater'!C139-'8 or greater'!C139-'12 or greater'!C139</f>
        <v>1</v>
      </c>
      <c r="J139">
        <f>D139-'6 or greater'!D139-'8 or greater'!D139-'12 or greater'!D139</f>
        <v>0</v>
      </c>
      <c r="K139">
        <f>E139-'6 or greater'!E139-'8 or greater'!E139-'12 or greater'!E139</f>
        <v>0</v>
      </c>
      <c r="L139">
        <f>F139-'6 or greater'!F139-'8 or greater'!F139-'12 or greater'!F139</f>
        <v>0</v>
      </c>
    </row>
  </sheetData>
  <autoFilter ref="N1:W2" xr:uid="{D2D68D7F-E095-4870-A097-3B50F13AC068}">
    <sortState xmlns:xlrd2="http://schemas.microsoft.com/office/spreadsheetml/2017/richdata2" ref="N2:W2">
      <sortCondition ref="V1:V2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6B1E-2E31-45C6-B31B-D1EAFDC0340E}">
  <dimension ref="A1:Y140"/>
  <sheetViews>
    <sheetView topLeftCell="J1" workbookViewId="0">
      <selection activeCell="X1" sqref="X1:Y3"/>
    </sheetView>
  </sheetViews>
  <sheetFormatPr defaultRowHeight="14.5" x14ac:dyDescent="0.35"/>
  <cols>
    <col min="7" max="7" width="9.1796875" style="19"/>
    <col min="16" max="16" width="9.1796875" customWidth="1"/>
    <col min="17" max="17" width="12.6328125" bestFit="1" customWidth="1"/>
    <col min="19" max="19" width="11.81640625" bestFit="1" customWidth="1"/>
    <col min="21" max="21" width="11.6328125" bestFit="1" customWidth="1"/>
    <col min="23" max="23" width="14.36328125" bestFit="1" customWidth="1"/>
    <col min="25" max="25" width="13.1796875" bestFit="1" customWidth="1"/>
  </cols>
  <sheetData>
    <row r="1" spans="1:25" x14ac:dyDescent="0.35">
      <c r="B1" t="s">
        <v>140</v>
      </c>
      <c r="C1" t="s">
        <v>141</v>
      </c>
      <c r="D1" t="s">
        <v>142</v>
      </c>
      <c r="E1" t="s">
        <v>143</v>
      </c>
      <c r="F1" t="s">
        <v>144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P1" t="s">
        <v>140</v>
      </c>
      <c r="Q1" t="s">
        <v>174</v>
      </c>
      <c r="R1" t="s">
        <v>141</v>
      </c>
      <c r="S1" t="s">
        <v>175</v>
      </c>
      <c r="T1" t="s">
        <v>142</v>
      </c>
      <c r="U1" t="s">
        <v>176</v>
      </c>
      <c r="V1" t="s">
        <v>143</v>
      </c>
      <c r="W1" t="s">
        <v>177</v>
      </c>
      <c r="X1" t="s">
        <v>144</v>
      </c>
      <c r="Y1" t="s">
        <v>178</v>
      </c>
    </row>
    <row r="2" spans="1:25" ht="36.5" thickBot="1" x14ac:dyDescent="0.4">
      <c r="A2" s="9" t="s">
        <v>1</v>
      </c>
      <c r="B2" s="10">
        <v>0</v>
      </c>
      <c r="C2" s="10">
        <v>1</v>
      </c>
      <c r="D2" s="10">
        <v>0</v>
      </c>
      <c r="E2" s="10">
        <v>0</v>
      </c>
      <c r="F2" s="10">
        <v>0</v>
      </c>
      <c r="H2">
        <f>B2-'8 or greater'!B2-'12 or greater'!B2</f>
        <v>0</v>
      </c>
      <c r="I2">
        <f>C2-'8 or greater'!C2-'12 or greater'!C2</f>
        <v>0</v>
      </c>
      <c r="J2">
        <f>D2-'8 or greater'!D2-'12 or greater'!D2</f>
        <v>0</v>
      </c>
      <c r="K2">
        <f>E2-'8 or greater'!E2-'12 or greater'!E2</f>
        <v>0</v>
      </c>
      <c r="L2">
        <f>F2-'8 or greater'!F2-'12 or greater'!F2</f>
        <v>0</v>
      </c>
      <c r="P2">
        <v>0</v>
      </c>
      <c r="Q2">
        <v>129</v>
      </c>
      <c r="R2">
        <v>0</v>
      </c>
      <c r="S2">
        <v>123</v>
      </c>
      <c r="T2">
        <v>0</v>
      </c>
      <c r="U2">
        <v>123</v>
      </c>
      <c r="V2">
        <v>0</v>
      </c>
      <c r="W2">
        <f>COUNTIF($K$2:$K$140,V2)</f>
        <v>126</v>
      </c>
      <c r="X2">
        <v>0</v>
      </c>
      <c r="Y2">
        <v>122</v>
      </c>
    </row>
    <row r="3" spans="1:25" ht="36.5" thickBot="1" x14ac:dyDescent="0.4">
      <c r="A3" s="11" t="s">
        <v>2</v>
      </c>
      <c r="B3" s="12">
        <v>0</v>
      </c>
      <c r="C3" s="12">
        <v>1</v>
      </c>
      <c r="D3" s="12">
        <v>0</v>
      </c>
      <c r="E3" s="12">
        <v>0</v>
      </c>
      <c r="F3" s="12">
        <v>0</v>
      </c>
      <c r="H3">
        <f>B3-'8 or greater'!B3-'12 or greater'!B3</f>
        <v>0</v>
      </c>
      <c r="I3">
        <f>C3-'8 or greater'!C3-'12 or greater'!C3</f>
        <v>0</v>
      </c>
      <c r="J3">
        <f>D3-'8 or greater'!D3-'12 or greater'!D3</f>
        <v>0</v>
      </c>
      <c r="K3">
        <f>E3-'8 or greater'!E3-'12 or greater'!E3</f>
        <v>0</v>
      </c>
      <c r="L3">
        <f>F3-'8 or greater'!F3-'12 or greater'!F3</f>
        <v>0</v>
      </c>
      <c r="P3">
        <v>1</v>
      </c>
      <c r="Q3">
        <f>COUNTIF($H$2:$H$140,P3)</f>
        <v>9</v>
      </c>
      <c r="R3">
        <v>3</v>
      </c>
      <c r="S3">
        <f>COUNTIF($I$2:$I$140,R3)</f>
        <v>1</v>
      </c>
      <c r="T3">
        <v>1</v>
      </c>
      <c r="U3">
        <f>COUNTIF($J$2:$J$140,T3)</f>
        <v>15</v>
      </c>
      <c r="V3">
        <v>1</v>
      </c>
      <c r="W3">
        <f>COUNTIF($K$2:$K$140,V3)</f>
        <v>11</v>
      </c>
      <c r="X3">
        <v>1</v>
      </c>
      <c r="Y3">
        <f>COUNTIF($L$2:$L$140,X3)</f>
        <v>16</v>
      </c>
    </row>
    <row r="4" spans="1:25" ht="36.5" thickBot="1" x14ac:dyDescent="0.4">
      <c r="A4" s="13" t="s">
        <v>3</v>
      </c>
      <c r="B4" s="14">
        <v>1</v>
      </c>
      <c r="C4" s="14">
        <v>0</v>
      </c>
      <c r="D4" s="14">
        <v>0</v>
      </c>
      <c r="E4" s="14">
        <v>0</v>
      </c>
      <c r="F4" s="14">
        <v>0</v>
      </c>
      <c r="H4">
        <f>B4-'8 or greater'!B4-'12 or greater'!B4</f>
        <v>1</v>
      </c>
      <c r="I4">
        <f>C4-'8 or greater'!C4-'12 or greater'!C4</f>
        <v>0</v>
      </c>
      <c r="J4">
        <f>D4-'8 or greater'!D4-'12 or greater'!D4</f>
        <v>0</v>
      </c>
      <c r="K4">
        <f>E4-'8 or greater'!E4-'12 or greater'!E4</f>
        <v>0</v>
      </c>
      <c r="L4">
        <f>F4-'8 or greater'!F4-'12 or greater'!F4</f>
        <v>0</v>
      </c>
      <c r="R4">
        <v>1</v>
      </c>
      <c r="S4">
        <f>COUNTIF($I$2:$I$140,R4)</f>
        <v>12</v>
      </c>
      <c r="V4">
        <v>2</v>
      </c>
      <c r="W4">
        <f>COUNTIF($K$2:$K$140,V4)</f>
        <v>1</v>
      </c>
    </row>
    <row r="5" spans="1:25" ht="36.5" thickBot="1" x14ac:dyDescent="0.4">
      <c r="A5" s="11" t="s">
        <v>4</v>
      </c>
      <c r="B5" s="12">
        <v>0</v>
      </c>
      <c r="C5" s="12">
        <v>0</v>
      </c>
      <c r="D5" s="12">
        <v>0</v>
      </c>
      <c r="E5" s="12">
        <v>1</v>
      </c>
      <c r="F5" s="12">
        <v>0</v>
      </c>
      <c r="H5">
        <f>B5-'8 or greater'!B5-'12 or greater'!B5</f>
        <v>0</v>
      </c>
      <c r="I5">
        <f>C5-'8 or greater'!C5-'12 or greater'!C5</f>
        <v>0</v>
      </c>
      <c r="J5">
        <f>D5-'8 or greater'!D5-'12 or greater'!D5</f>
        <v>0</v>
      </c>
      <c r="K5">
        <f>E5-'8 or greater'!E5-'12 or greater'!E5</f>
        <v>0</v>
      </c>
      <c r="L5">
        <f>F5-'8 or greater'!F5-'12 or greater'!F5</f>
        <v>0</v>
      </c>
      <c r="R5">
        <v>2</v>
      </c>
      <c r="S5">
        <f>COUNTIF($I$2:$I$140,R5)</f>
        <v>2</v>
      </c>
    </row>
    <row r="6" spans="1:25" ht="36.5" thickBot="1" x14ac:dyDescent="0.4">
      <c r="A6" s="13" t="s">
        <v>5</v>
      </c>
      <c r="B6" s="14">
        <v>0</v>
      </c>
      <c r="C6" s="14">
        <v>0</v>
      </c>
      <c r="D6" s="14">
        <v>1</v>
      </c>
      <c r="E6" s="14">
        <v>1</v>
      </c>
      <c r="F6" s="14">
        <v>0</v>
      </c>
      <c r="H6">
        <f>B6-'8 or greater'!B6-'12 or greater'!B6</f>
        <v>0</v>
      </c>
      <c r="I6">
        <f>C6-'8 or greater'!C6-'12 or greater'!C6</f>
        <v>0</v>
      </c>
      <c r="J6">
        <f>D6-'8 or greater'!D6-'12 or greater'!D6</f>
        <v>-1</v>
      </c>
      <c r="K6">
        <f>E6-'8 or greater'!E6-'12 or greater'!E6</f>
        <v>1</v>
      </c>
      <c r="L6">
        <f>F6-'8 or greater'!F6-'12 or greater'!F6</f>
        <v>0</v>
      </c>
    </row>
    <row r="7" spans="1:25" ht="36.5" thickBot="1" x14ac:dyDescent="0.4">
      <c r="A7" s="11" t="s">
        <v>6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H7">
        <f>B7-'8 or greater'!B7-'12 or greater'!B7</f>
        <v>0</v>
      </c>
      <c r="I7">
        <f>C7-'8 or greater'!C7-'12 or greater'!C7</f>
        <v>0</v>
      </c>
      <c r="J7">
        <f>D7-'8 or greater'!D7-'12 or greater'!D7</f>
        <v>0</v>
      </c>
      <c r="K7">
        <f>E7-'8 or greater'!E7-'12 or greater'!E7</f>
        <v>0</v>
      </c>
      <c r="L7">
        <f>F7-'8 or greater'!F7-'12 or greater'!F7</f>
        <v>0</v>
      </c>
    </row>
    <row r="8" spans="1:25" ht="36.5" thickBot="1" x14ac:dyDescent="0.4">
      <c r="A8" s="13" t="s">
        <v>7</v>
      </c>
      <c r="B8" s="14">
        <v>0</v>
      </c>
      <c r="C8" s="14">
        <v>0</v>
      </c>
      <c r="D8" s="14">
        <v>0</v>
      </c>
      <c r="E8" s="14">
        <v>1</v>
      </c>
      <c r="F8" s="14">
        <v>0</v>
      </c>
      <c r="H8">
        <f>B8-'8 or greater'!B8-'12 or greater'!B8</f>
        <v>0</v>
      </c>
      <c r="I8">
        <f>C8-'8 or greater'!C8-'12 or greater'!C8</f>
        <v>0</v>
      </c>
      <c r="J8">
        <f>D8-'8 or greater'!D8-'12 or greater'!D8</f>
        <v>0</v>
      </c>
      <c r="K8">
        <f>E8-'8 or greater'!E8-'12 or greater'!E8</f>
        <v>0</v>
      </c>
      <c r="L8">
        <f>F8-'8 or greater'!F8-'12 or greater'!F8</f>
        <v>0</v>
      </c>
    </row>
    <row r="9" spans="1:25" ht="36.5" thickBot="1" x14ac:dyDescent="0.4">
      <c r="A9" s="11" t="s">
        <v>8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H9">
        <f>B9-'8 or greater'!B9-'12 or greater'!B9</f>
        <v>0</v>
      </c>
      <c r="I9">
        <f>C9-'8 or greater'!C9-'12 or greater'!C9</f>
        <v>0</v>
      </c>
      <c r="J9">
        <f>D9-'8 or greater'!D9-'12 or greater'!D9</f>
        <v>0</v>
      </c>
      <c r="K9">
        <f>E9-'8 or greater'!E9-'12 or greater'!E9</f>
        <v>0</v>
      </c>
      <c r="L9">
        <f>F9-'8 or greater'!F9-'12 or greater'!F9</f>
        <v>0</v>
      </c>
    </row>
    <row r="10" spans="1:25" ht="36.5" thickBot="1" x14ac:dyDescent="0.4">
      <c r="A10" s="13" t="s">
        <v>9</v>
      </c>
      <c r="B10" s="14">
        <v>0</v>
      </c>
      <c r="C10" s="14">
        <v>0</v>
      </c>
      <c r="D10" s="14">
        <v>1</v>
      </c>
      <c r="E10" s="14">
        <v>1</v>
      </c>
      <c r="F10" s="14">
        <v>0</v>
      </c>
      <c r="H10">
        <f>B10-'8 or greater'!B10-'12 or greater'!B10</f>
        <v>0</v>
      </c>
      <c r="I10">
        <f>C10-'8 or greater'!C10-'12 or greater'!C10</f>
        <v>0</v>
      </c>
      <c r="J10">
        <f>D10-'8 or greater'!D10-'12 or greater'!D10</f>
        <v>1</v>
      </c>
      <c r="K10">
        <f>E10-'8 or greater'!E10-'12 or greater'!E10</f>
        <v>0</v>
      </c>
      <c r="L10">
        <f>F10-'8 or greater'!F10-'12 or greater'!F10</f>
        <v>0</v>
      </c>
    </row>
    <row r="11" spans="1:25" ht="36.5" thickBot="1" x14ac:dyDescent="0.4">
      <c r="A11" s="11" t="s">
        <v>10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H11">
        <f>B11-'8 or greater'!B11-'12 or greater'!B11</f>
        <v>0</v>
      </c>
      <c r="I11">
        <f>C11-'8 or greater'!C11-'12 or greater'!C11</f>
        <v>0</v>
      </c>
      <c r="J11">
        <f>D11-'8 or greater'!D11-'12 or greater'!D11</f>
        <v>0</v>
      </c>
      <c r="K11">
        <f>E11-'8 or greater'!E11-'12 or greater'!E11</f>
        <v>0</v>
      </c>
      <c r="L11">
        <f>F11-'8 or greater'!F11-'12 or greater'!F11</f>
        <v>0</v>
      </c>
    </row>
    <row r="12" spans="1:25" ht="36.5" thickBot="1" x14ac:dyDescent="0.4">
      <c r="A12" s="13" t="s">
        <v>11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H12">
        <f>B12-'8 or greater'!B12-'12 or greater'!B12</f>
        <v>0</v>
      </c>
      <c r="I12">
        <f>C12-'8 or greater'!C12-'12 or greater'!C12</f>
        <v>0</v>
      </c>
      <c r="J12">
        <f>D12-'8 or greater'!D12-'12 or greater'!D12</f>
        <v>0</v>
      </c>
      <c r="K12">
        <f>E12-'8 or greater'!E12-'12 or greater'!E12</f>
        <v>0</v>
      </c>
      <c r="L12">
        <f>F12-'8 or greater'!F12-'12 or greater'!F12</f>
        <v>0</v>
      </c>
    </row>
    <row r="13" spans="1:25" ht="36.5" thickBot="1" x14ac:dyDescent="0.4">
      <c r="A13" s="11" t="s">
        <v>12</v>
      </c>
      <c r="B13" s="12">
        <v>1</v>
      </c>
      <c r="C13" s="12">
        <v>1</v>
      </c>
      <c r="D13" s="12">
        <v>0</v>
      </c>
      <c r="E13" s="12">
        <v>1</v>
      </c>
      <c r="F13" s="12">
        <v>0</v>
      </c>
      <c r="H13">
        <f>B13-'8 or greater'!B13-'12 or greater'!B13</f>
        <v>1</v>
      </c>
      <c r="I13">
        <f>C13-'8 or greater'!C13-'12 or greater'!C13</f>
        <v>-1</v>
      </c>
      <c r="J13">
        <f>D13-'8 or greater'!D13-'12 or greater'!D13</f>
        <v>0</v>
      </c>
      <c r="K13">
        <f>E13-'8 or greater'!E13-'12 or greater'!E13</f>
        <v>0</v>
      </c>
      <c r="L13">
        <f>F13-'8 or greater'!F13-'12 or greater'!F13</f>
        <v>0</v>
      </c>
    </row>
    <row r="14" spans="1:25" ht="36.5" thickBot="1" x14ac:dyDescent="0.4">
      <c r="A14" s="13" t="s">
        <v>13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H14">
        <f>B14-'8 or greater'!B14-'12 or greater'!B14</f>
        <v>0</v>
      </c>
      <c r="I14">
        <f>C14-'8 or greater'!C14-'12 or greater'!C14</f>
        <v>0</v>
      </c>
      <c r="J14">
        <f>D14-'8 or greater'!D14-'12 or greater'!D14</f>
        <v>0</v>
      </c>
      <c r="K14">
        <f>E14-'8 or greater'!E14-'12 or greater'!E14</f>
        <v>0</v>
      </c>
      <c r="L14">
        <f>F14-'8 or greater'!F14-'12 or greater'!F14</f>
        <v>0</v>
      </c>
    </row>
    <row r="15" spans="1:25" ht="36.5" thickBot="1" x14ac:dyDescent="0.4">
      <c r="A15" s="11" t="s">
        <v>14</v>
      </c>
      <c r="B15" s="12">
        <v>0</v>
      </c>
      <c r="C15" s="12">
        <v>0</v>
      </c>
      <c r="D15" s="12">
        <v>0</v>
      </c>
      <c r="E15" s="12">
        <v>1</v>
      </c>
      <c r="F15" s="12">
        <v>0</v>
      </c>
      <c r="H15">
        <f>B15-'8 or greater'!B15-'12 or greater'!B15</f>
        <v>0</v>
      </c>
      <c r="I15">
        <f>C15-'8 or greater'!C15-'12 or greater'!C15</f>
        <v>0</v>
      </c>
      <c r="J15">
        <f>D15-'8 or greater'!D15-'12 or greater'!D15</f>
        <v>0</v>
      </c>
      <c r="K15">
        <f>E15-'8 or greater'!E15-'12 or greater'!E15</f>
        <v>1</v>
      </c>
      <c r="L15">
        <f>F15-'8 or greater'!F15-'12 or greater'!F15</f>
        <v>0</v>
      </c>
    </row>
    <row r="16" spans="1:25" ht="36.5" thickBot="1" x14ac:dyDescent="0.4">
      <c r="A16" s="13" t="s">
        <v>15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H16">
        <f>B16-'8 or greater'!B16-'12 or greater'!B16</f>
        <v>0</v>
      </c>
      <c r="I16">
        <f>C16-'8 or greater'!C16-'12 or greater'!C16</f>
        <v>0</v>
      </c>
      <c r="J16">
        <f>D16-'8 or greater'!D16-'12 or greater'!D16</f>
        <v>0</v>
      </c>
      <c r="K16">
        <f>E16-'8 or greater'!E16-'12 or greater'!E16</f>
        <v>0</v>
      </c>
      <c r="L16">
        <f>F16-'8 or greater'!F16-'12 or greater'!F16</f>
        <v>0</v>
      </c>
    </row>
    <row r="17" spans="1:12" ht="36.5" thickBot="1" x14ac:dyDescent="0.4">
      <c r="A17" s="11" t="s">
        <v>16</v>
      </c>
      <c r="B17" s="12">
        <v>0</v>
      </c>
      <c r="C17" s="12">
        <v>0</v>
      </c>
      <c r="D17" s="12">
        <v>0</v>
      </c>
      <c r="E17" s="12">
        <v>0</v>
      </c>
      <c r="F17" s="12">
        <v>1</v>
      </c>
      <c r="H17">
        <f>B17-'8 or greater'!B17-'12 or greater'!B17</f>
        <v>0</v>
      </c>
      <c r="I17">
        <f>C17-'8 or greater'!C17-'12 or greater'!C17</f>
        <v>0</v>
      </c>
      <c r="J17">
        <f>D17-'8 or greater'!D17-'12 or greater'!D17</f>
        <v>0</v>
      </c>
      <c r="K17">
        <f>E17-'8 or greater'!E17-'12 or greater'!E17</f>
        <v>0</v>
      </c>
      <c r="L17">
        <f>F17-'8 or greater'!F17-'12 or greater'!F17</f>
        <v>0</v>
      </c>
    </row>
    <row r="18" spans="1:12" ht="36.5" thickBot="1" x14ac:dyDescent="0.4">
      <c r="A18" s="13" t="s">
        <v>17</v>
      </c>
      <c r="B18" s="14">
        <v>0</v>
      </c>
      <c r="C18" s="14">
        <v>0</v>
      </c>
      <c r="D18" s="14">
        <v>0</v>
      </c>
      <c r="E18" s="14">
        <v>0</v>
      </c>
      <c r="F18" s="14">
        <v>1</v>
      </c>
      <c r="H18">
        <f>B18-'8 or greater'!B18-'12 or greater'!B18</f>
        <v>0</v>
      </c>
      <c r="I18">
        <f>C18-'8 or greater'!C18-'12 or greater'!C18</f>
        <v>0</v>
      </c>
      <c r="J18">
        <f>D18-'8 or greater'!D18-'12 or greater'!D18</f>
        <v>0</v>
      </c>
      <c r="K18">
        <f>E18-'8 or greater'!E18-'12 or greater'!E18</f>
        <v>0</v>
      </c>
      <c r="L18">
        <f>F18-'8 or greater'!F18-'12 or greater'!F18</f>
        <v>0</v>
      </c>
    </row>
    <row r="19" spans="1:12" ht="36.5" thickBot="1" x14ac:dyDescent="0.4">
      <c r="A19" s="11" t="s">
        <v>18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H19">
        <f>B19-'8 or greater'!B19-'12 or greater'!B19</f>
        <v>0</v>
      </c>
      <c r="I19">
        <f>C19-'8 or greater'!C19-'12 or greater'!C19</f>
        <v>0</v>
      </c>
      <c r="J19">
        <f>D19-'8 or greater'!D19-'12 or greater'!D19</f>
        <v>0</v>
      </c>
      <c r="K19">
        <f>E19-'8 or greater'!E19-'12 or greater'!E19</f>
        <v>0</v>
      </c>
      <c r="L19">
        <f>F19-'8 or greater'!F19-'12 or greater'!F19</f>
        <v>0</v>
      </c>
    </row>
    <row r="20" spans="1:12" ht="36.5" thickBot="1" x14ac:dyDescent="0.4">
      <c r="A20" s="13" t="s">
        <v>19</v>
      </c>
      <c r="B20" s="14">
        <v>0</v>
      </c>
      <c r="C20" s="14">
        <v>1</v>
      </c>
      <c r="D20" s="14">
        <v>1</v>
      </c>
      <c r="E20" s="14">
        <v>1</v>
      </c>
      <c r="F20" s="14">
        <v>1</v>
      </c>
      <c r="H20">
        <f>B20-'8 or greater'!B20-'12 or greater'!B20</f>
        <v>0</v>
      </c>
      <c r="I20">
        <f>C20-'8 or greater'!C20-'12 or greater'!C20</f>
        <v>0</v>
      </c>
      <c r="J20">
        <f>D20-'8 or greater'!D20-'12 or greater'!D20</f>
        <v>1</v>
      </c>
      <c r="K20">
        <f>E20-'8 or greater'!E20-'12 or greater'!E20</f>
        <v>1</v>
      </c>
      <c r="L20">
        <f>F20-'8 or greater'!F20-'12 or greater'!F20</f>
        <v>1</v>
      </c>
    </row>
    <row r="21" spans="1:12" ht="36.5" thickBot="1" x14ac:dyDescent="0.4">
      <c r="A21" s="11" t="s">
        <v>20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H21">
        <f>B21-'8 or greater'!B21-'12 or greater'!B21</f>
        <v>0</v>
      </c>
      <c r="I21">
        <f>C21-'8 or greater'!C21-'12 or greater'!C21</f>
        <v>0</v>
      </c>
      <c r="J21">
        <f>D21-'8 or greater'!D21-'12 or greater'!D21</f>
        <v>0</v>
      </c>
      <c r="K21">
        <f>E21-'8 or greater'!E21-'12 or greater'!E21</f>
        <v>0</v>
      </c>
      <c r="L21">
        <f>F21-'8 or greater'!F21-'12 or greater'!F21</f>
        <v>0</v>
      </c>
    </row>
    <row r="22" spans="1:12" ht="36.5" thickBot="1" x14ac:dyDescent="0.4">
      <c r="A22" s="13" t="s">
        <v>21</v>
      </c>
      <c r="B22" s="14">
        <v>0</v>
      </c>
      <c r="C22" s="14">
        <v>0</v>
      </c>
      <c r="D22" s="14">
        <v>0</v>
      </c>
      <c r="E22" s="14">
        <v>0</v>
      </c>
      <c r="F22" s="14">
        <v>1</v>
      </c>
      <c r="H22">
        <f>B22-'8 or greater'!B22-'12 or greater'!B22</f>
        <v>0</v>
      </c>
      <c r="I22">
        <f>C22-'8 or greater'!C22-'12 or greater'!C22</f>
        <v>0</v>
      </c>
      <c r="J22">
        <f>D22-'8 or greater'!D22-'12 or greater'!D22</f>
        <v>0</v>
      </c>
      <c r="K22">
        <f>E22-'8 or greater'!E22-'12 or greater'!E22</f>
        <v>0</v>
      </c>
      <c r="L22">
        <f>F22-'8 or greater'!F22-'12 or greater'!F22</f>
        <v>0</v>
      </c>
    </row>
    <row r="23" spans="1:12" ht="36.5" thickBot="1" x14ac:dyDescent="0.4">
      <c r="A23" s="11" t="s">
        <v>22</v>
      </c>
      <c r="B23" s="12">
        <v>0</v>
      </c>
      <c r="C23" s="12">
        <v>3</v>
      </c>
      <c r="D23" s="12">
        <v>0</v>
      </c>
      <c r="E23" s="12">
        <v>0</v>
      </c>
      <c r="F23" s="12">
        <v>1</v>
      </c>
      <c r="H23">
        <f>B23-'8 or greater'!B23-'12 or greater'!B23</f>
        <v>0</v>
      </c>
      <c r="I23">
        <f>C23-'8 or greater'!C23-'12 or greater'!C23</f>
        <v>3</v>
      </c>
      <c r="J23">
        <f>D23-'8 or greater'!D23-'12 or greater'!D23</f>
        <v>0</v>
      </c>
      <c r="K23">
        <f>E23-'8 or greater'!E23-'12 or greater'!E23</f>
        <v>0</v>
      </c>
      <c r="L23">
        <f>F23-'8 or greater'!F23-'12 or greater'!F23</f>
        <v>1</v>
      </c>
    </row>
    <row r="24" spans="1:12" ht="36.5" thickBot="1" x14ac:dyDescent="0.4">
      <c r="A24" s="13" t="s">
        <v>23</v>
      </c>
      <c r="B24" s="14">
        <v>0</v>
      </c>
      <c r="C24" s="14">
        <v>0</v>
      </c>
      <c r="D24" s="14">
        <v>1</v>
      </c>
      <c r="E24" s="14">
        <v>0</v>
      </c>
      <c r="F24" s="14">
        <v>0</v>
      </c>
      <c r="H24">
        <f>B24-'8 or greater'!B24-'12 or greater'!B24</f>
        <v>0</v>
      </c>
      <c r="I24">
        <f>C24-'8 or greater'!C24-'12 or greater'!C24</f>
        <v>0</v>
      </c>
      <c r="J24">
        <f>D24-'8 or greater'!D24-'12 or greater'!D24</f>
        <v>0</v>
      </c>
      <c r="K24">
        <f>E24-'8 or greater'!E24-'12 or greater'!E24</f>
        <v>0</v>
      </c>
      <c r="L24">
        <f>F24-'8 or greater'!F24-'12 or greater'!F24</f>
        <v>0</v>
      </c>
    </row>
    <row r="25" spans="1:12" ht="36.5" thickBot="1" x14ac:dyDescent="0.4">
      <c r="A25" s="11" t="s">
        <v>24</v>
      </c>
      <c r="B25" s="12">
        <v>0</v>
      </c>
      <c r="C25" s="12">
        <v>0</v>
      </c>
      <c r="D25" s="12">
        <v>1</v>
      </c>
      <c r="E25" s="12">
        <v>0</v>
      </c>
      <c r="F25" s="12">
        <v>1</v>
      </c>
      <c r="H25">
        <f>B25-'8 or greater'!B25-'12 or greater'!B25</f>
        <v>0</v>
      </c>
      <c r="I25">
        <f>C25-'8 or greater'!C25-'12 or greater'!C25</f>
        <v>0</v>
      </c>
      <c r="J25">
        <f>D25-'8 or greater'!D25-'12 or greater'!D25</f>
        <v>1</v>
      </c>
      <c r="K25">
        <f>E25-'8 or greater'!E25-'12 or greater'!E25</f>
        <v>0</v>
      </c>
      <c r="L25">
        <f>F25-'8 or greater'!F25-'12 or greater'!F25</f>
        <v>-1</v>
      </c>
    </row>
    <row r="26" spans="1:12" ht="36.5" thickBot="1" x14ac:dyDescent="0.4">
      <c r="A26" s="13" t="s">
        <v>25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H26">
        <f>B26-'8 or greater'!B26-'12 or greater'!B26</f>
        <v>0</v>
      </c>
      <c r="I26">
        <f>C26-'8 or greater'!C26-'12 or greater'!C26</f>
        <v>0</v>
      </c>
      <c r="J26">
        <f>D26-'8 or greater'!D26-'12 or greater'!D26</f>
        <v>0</v>
      </c>
      <c r="K26">
        <f>E26-'8 or greater'!E26-'12 or greater'!E26</f>
        <v>0</v>
      </c>
      <c r="L26">
        <f>F26-'8 or greater'!F26-'12 or greater'!F26</f>
        <v>0</v>
      </c>
    </row>
    <row r="27" spans="1:12" ht="36.5" thickBot="1" x14ac:dyDescent="0.4">
      <c r="A27" s="11" t="s">
        <v>26</v>
      </c>
      <c r="B27" s="12">
        <v>1</v>
      </c>
      <c r="C27" s="12">
        <v>1</v>
      </c>
      <c r="D27" s="12">
        <v>0</v>
      </c>
      <c r="E27" s="12">
        <v>0</v>
      </c>
      <c r="F27" s="12">
        <v>0</v>
      </c>
      <c r="H27">
        <f>B27-'8 or greater'!B27-'12 or greater'!B27</f>
        <v>1</v>
      </c>
      <c r="I27">
        <f>C27-'8 or greater'!C27-'12 or greater'!C27</f>
        <v>1</v>
      </c>
      <c r="J27">
        <f>D27-'8 or greater'!D27-'12 or greater'!D27</f>
        <v>0</v>
      </c>
      <c r="K27">
        <f>E27-'8 or greater'!E27-'12 or greater'!E27</f>
        <v>0</v>
      </c>
      <c r="L27">
        <f>F27-'8 or greater'!F27-'12 or greater'!F27</f>
        <v>0</v>
      </c>
    </row>
    <row r="28" spans="1:12" ht="36.5" thickBot="1" x14ac:dyDescent="0.4">
      <c r="A28" s="13" t="s">
        <v>27</v>
      </c>
      <c r="B28" s="14">
        <v>0</v>
      </c>
      <c r="C28" s="14">
        <v>1</v>
      </c>
      <c r="D28" s="14">
        <v>0</v>
      </c>
      <c r="E28" s="14">
        <v>0</v>
      </c>
      <c r="F28" s="14">
        <v>1</v>
      </c>
      <c r="H28">
        <f>B28-'8 or greater'!B28-'12 or greater'!B28</f>
        <v>0</v>
      </c>
      <c r="I28">
        <f>C28-'8 or greater'!C28-'12 or greater'!C28</f>
        <v>1</v>
      </c>
      <c r="J28">
        <f>D28-'8 or greater'!D28-'12 or greater'!D28</f>
        <v>0</v>
      </c>
      <c r="K28">
        <f>E28-'8 or greater'!E28-'12 or greater'!E28</f>
        <v>0</v>
      </c>
      <c r="L28">
        <f>F28-'8 or greater'!F28-'12 or greater'!F28</f>
        <v>1</v>
      </c>
    </row>
    <row r="29" spans="1:12" ht="36.5" thickBot="1" x14ac:dyDescent="0.4">
      <c r="A29" s="11" t="s">
        <v>28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H29">
        <f>B29-'8 or greater'!B29-'12 or greater'!B29</f>
        <v>0</v>
      </c>
      <c r="I29">
        <f>C29-'8 or greater'!C29-'12 or greater'!C29</f>
        <v>0</v>
      </c>
      <c r="J29">
        <f>D29-'8 or greater'!D29-'12 or greater'!D29</f>
        <v>0</v>
      </c>
      <c r="K29">
        <f>E29-'8 or greater'!E29-'12 or greater'!E29</f>
        <v>0</v>
      </c>
      <c r="L29">
        <f>F29-'8 or greater'!F29-'12 or greater'!F29</f>
        <v>0</v>
      </c>
    </row>
    <row r="30" spans="1:12" ht="36.5" thickBot="1" x14ac:dyDescent="0.4">
      <c r="A30" s="13" t="s">
        <v>29</v>
      </c>
      <c r="B30" s="14">
        <v>0</v>
      </c>
      <c r="C30" s="14">
        <v>0</v>
      </c>
      <c r="D30" s="14">
        <v>1</v>
      </c>
      <c r="E30" s="14">
        <v>0</v>
      </c>
      <c r="F30" s="14">
        <v>0</v>
      </c>
      <c r="H30">
        <f>B30-'8 or greater'!B30-'12 or greater'!B30</f>
        <v>0</v>
      </c>
      <c r="I30">
        <f>C30-'8 or greater'!C30-'12 or greater'!C30</f>
        <v>0</v>
      </c>
      <c r="J30">
        <f>D30-'8 or greater'!D30-'12 or greater'!D30</f>
        <v>0</v>
      </c>
      <c r="K30">
        <f>E30-'8 or greater'!E30-'12 or greater'!E30</f>
        <v>0</v>
      </c>
      <c r="L30">
        <f>F30-'8 or greater'!F30-'12 or greater'!F30</f>
        <v>0</v>
      </c>
    </row>
    <row r="31" spans="1:12" ht="36.5" thickBot="1" x14ac:dyDescent="0.4">
      <c r="A31" s="11" t="s">
        <v>30</v>
      </c>
      <c r="B31" s="12">
        <v>0</v>
      </c>
      <c r="C31" s="12">
        <v>0</v>
      </c>
      <c r="D31" s="12">
        <v>1</v>
      </c>
      <c r="E31" s="12">
        <v>0</v>
      </c>
      <c r="F31" s="12">
        <v>0</v>
      </c>
      <c r="H31">
        <f>B31-'8 or greater'!B31-'12 or greater'!B31</f>
        <v>0</v>
      </c>
      <c r="I31">
        <f>C31-'8 or greater'!C31-'12 or greater'!C31</f>
        <v>0</v>
      </c>
      <c r="J31">
        <f>D31-'8 or greater'!D31-'12 or greater'!D31</f>
        <v>1</v>
      </c>
      <c r="K31">
        <f>E31-'8 or greater'!E31-'12 or greater'!E31</f>
        <v>0</v>
      </c>
      <c r="L31">
        <f>F31-'8 or greater'!F31-'12 or greater'!F31</f>
        <v>0</v>
      </c>
    </row>
    <row r="32" spans="1:12" ht="36.5" thickBot="1" x14ac:dyDescent="0.4">
      <c r="A32" s="13" t="s">
        <v>31</v>
      </c>
      <c r="B32" s="14">
        <v>3</v>
      </c>
      <c r="C32" s="14">
        <v>0</v>
      </c>
      <c r="D32" s="14">
        <v>0</v>
      </c>
      <c r="E32" s="14">
        <v>0</v>
      </c>
      <c r="F32" s="14">
        <v>0</v>
      </c>
      <c r="H32">
        <f>B32-'8 or greater'!B32-'12 or greater'!B32</f>
        <v>-1</v>
      </c>
      <c r="I32">
        <f>C32-'8 or greater'!C32-'12 or greater'!C32</f>
        <v>0</v>
      </c>
      <c r="J32">
        <f>D32-'8 or greater'!D32-'12 or greater'!D32</f>
        <v>0</v>
      </c>
      <c r="K32">
        <f>E32-'8 or greater'!E32-'12 or greater'!E32</f>
        <v>0</v>
      </c>
      <c r="L32">
        <f>F32-'8 or greater'!F32-'12 or greater'!F32</f>
        <v>0</v>
      </c>
    </row>
    <row r="33" spans="1:12" ht="36.5" thickBot="1" x14ac:dyDescent="0.4">
      <c r="A33" s="11" t="s">
        <v>32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H33">
        <f>B33-'8 or greater'!B33-'12 or greater'!B33</f>
        <v>0</v>
      </c>
      <c r="I33">
        <f>C33-'8 or greater'!C33-'12 or greater'!C33</f>
        <v>0</v>
      </c>
      <c r="J33">
        <f>D33-'8 or greater'!D33-'12 or greater'!D33</f>
        <v>0</v>
      </c>
      <c r="K33">
        <f>E33-'8 or greater'!E33-'12 or greater'!E33</f>
        <v>0</v>
      </c>
      <c r="L33">
        <f>F33-'8 or greater'!F33-'12 or greater'!F33</f>
        <v>0</v>
      </c>
    </row>
    <row r="34" spans="1:12" ht="36.5" thickBot="1" x14ac:dyDescent="0.4">
      <c r="A34" s="13" t="s">
        <v>33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H34">
        <f>B34-'8 or greater'!B34-'12 or greater'!B34</f>
        <v>0</v>
      </c>
      <c r="I34">
        <f>C34-'8 or greater'!C34-'12 or greater'!C34</f>
        <v>0</v>
      </c>
      <c r="J34">
        <f>D34-'8 or greater'!D34-'12 or greater'!D34</f>
        <v>0</v>
      </c>
      <c r="K34">
        <f>E34-'8 or greater'!E34-'12 or greater'!E34</f>
        <v>0</v>
      </c>
      <c r="L34">
        <f>F34-'8 or greater'!F34-'12 or greater'!F34</f>
        <v>0</v>
      </c>
    </row>
    <row r="35" spans="1:12" ht="36.5" thickBot="1" x14ac:dyDescent="0.4">
      <c r="A35" s="11" t="s">
        <v>34</v>
      </c>
      <c r="B35" s="12">
        <v>0</v>
      </c>
      <c r="C35" s="12">
        <v>0</v>
      </c>
      <c r="D35" s="12">
        <v>0</v>
      </c>
      <c r="E35" s="12">
        <v>0</v>
      </c>
      <c r="F35" s="12">
        <v>2</v>
      </c>
      <c r="H35">
        <f>B35-'8 or greater'!B35-'12 or greater'!B35</f>
        <v>0</v>
      </c>
      <c r="I35">
        <f>C35-'8 or greater'!C35-'12 or greater'!C35</f>
        <v>0</v>
      </c>
      <c r="J35">
        <f>D35-'8 or greater'!D35-'12 or greater'!D35</f>
        <v>0</v>
      </c>
      <c r="K35">
        <f>E35-'8 or greater'!E35-'12 or greater'!E35</f>
        <v>0</v>
      </c>
      <c r="L35">
        <f>F35-'8 or greater'!F35-'12 or greater'!F35</f>
        <v>1</v>
      </c>
    </row>
    <row r="36" spans="1:12" ht="36.5" thickBot="1" x14ac:dyDescent="0.4">
      <c r="A36" s="13" t="s">
        <v>35</v>
      </c>
      <c r="B36" s="14">
        <v>0</v>
      </c>
      <c r="C36" s="14">
        <v>0</v>
      </c>
      <c r="D36" s="14">
        <v>1</v>
      </c>
      <c r="E36" s="14">
        <v>0</v>
      </c>
      <c r="F36" s="14">
        <v>0</v>
      </c>
      <c r="H36">
        <f>B36-'8 or greater'!B36-'12 or greater'!B36</f>
        <v>0</v>
      </c>
      <c r="I36">
        <f>C36-'8 or greater'!C36-'12 or greater'!C36</f>
        <v>0</v>
      </c>
      <c r="J36">
        <f>D36-'8 or greater'!D36-'12 or greater'!D36</f>
        <v>1</v>
      </c>
      <c r="K36">
        <f>E36-'8 or greater'!E36-'12 or greater'!E36</f>
        <v>0</v>
      </c>
      <c r="L36">
        <f>F36-'8 or greater'!F36-'12 or greater'!F36</f>
        <v>0</v>
      </c>
    </row>
    <row r="37" spans="1:12" ht="36.5" thickBot="1" x14ac:dyDescent="0.4">
      <c r="A37" s="11" t="s">
        <v>36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H37">
        <f>B37-'8 or greater'!B37-'12 or greater'!B37</f>
        <v>0</v>
      </c>
      <c r="I37">
        <f>C37-'8 or greater'!C37-'12 or greater'!C37</f>
        <v>0</v>
      </c>
      <c r="J37">
        <f>D37-'8 or greater'!D37-'12 or greater'!D37</f>
        <v>0</v>
      </c>
      <c r="K37">
        <f>E37-'8 or greater'!E37-'12 or greater'!E37</f>
        <v>0</v>
      </c>
      <c r="L37">
        <f>F37-'8 or greater'!F37-'12 or greater'!F37</f>
        <v>0</v>
      </c>
    </row>
    <row r="38" spans="1:12" ht="36.5" thickBot="1" x14ac:dyDescent="0.4">
      <c r="A38" s="13" t="s">
        <v>37</v>
      </c>
      <c r="B38" s="14">
        <v>1</v>
      </c>
      <c r="C38" s="14">
        <v>1</v>
      </c>
      <c r="D38" s="14">
        <v>0</v>
      </c>
      <c r="E38" s="14">
        <v>0</v>
      </c>
      <c r="F38" s="14">
        <v>1</v>
      </c>
      <c r="H38">
        <f>B38-'8 or greater'!B38-'12 or greater'!B38</f>
        <v>1</v>
      </c>
      <c r="I38">
        <f>C38-'8 or greater'!C38-'12 or greater'!C38</f>
        <v>0</v>
      </c>
      <c r="J38">
        <f>D38-'8 or greater'!D38-'12 or greater'!D38</f>
        <v>0</v>
      </c>
      <c r="K38">
        <f>E38-'8 or greater'!E38-'12 or greater'!E38</f>
        <v>0</v>
      </c>
      <c r="L38">
        <f>F38-'8 or greater'!F38-'12 or greater'!F38</f>
        <v>1</v>
      </c>
    </row>
    <row r="39" spans="1:12" ht="36.5" thickBot="1" x14ac:dyDescent="0.4">
      <c r="A39" s="11" t="s">
        <v>38</v>
      </c>
      <c r="B39" s="12">
        <v>0</v>
      </c>
      <c r="C39" s="12">
        <v>0</v>
      </c>
      <c r="D39" s="12">
        <v>0</v>
      </c>
      <c r="E39" s="12">
        <v>0</v>
      </c>
      <c r="F39" s="12">
        <v>2</v>
      </c>
      <c r="H39">
        <f>B39-'8 or greater'!B39-'12 or greater'!B39</f>
        <v>0</v>
      </c>
      <c r="I39">
        <f>C39-'8 or greater'!C39-'12 or greater'!C39</f>
        <v>0</v>
      </c>
      <c r="J39">
        <f>D39-'8 or greater'!D39-'12 or greater'!D39</f>
        <v>0</v>
      </c>
      <c r="K39">
        <f>E39-'8 or greater'!E39-'12 or greater'!E39</f>
        <v>0</v>
      </c>
      <c r="L39">
        <f>F39-'8 or greater'!F39-'12 or greater'!F39</f>
        <v>-2</v>
      </c>
    </row>
    <row r="40" spans="1:12" ht="36.5" thickBot="1" x14ac:dyDescent="0.4">
      <c r="A40" s="13" t="s">
        <v>39</v>
      </c>
      <c r="B40" s="14">
        <v>2</v>
      </c>
      <c r="C40" s="14">
        <v>1</v>
      </c>
      <c r="D40" s="14">
        <v>0</v>
      </c>
      <c r="E40" s="14">
        <v>0</v>
      </c>
      <c r="F40" s="14">
        <v>1</v>
      </c>
      <c r="H40">
        <f>B40-'8 or greater'!B40-'12 or greater'!B40</f>
        <v>1</v>
      </c>
      <c r="I40">
        <f>C40-'8 or greater'!C40-'12 or greater'!C40</f>
        <v>1</v>
      </c>
      <c r="J40">
        <f>D40-'8 or greater'!D40-'12 or greater'!D40</f>
        <v>0</v>
      </c>
      <c r="K40">
        <f>E40-'8 or greater'!E40-'12 or greater'!E40</f>
        <v>0</v>
      </c>
      <c r="L40">
        <f>F40-'8 or greater'!F40-'12 or greater'!F40</f>
        <v>0</v>
      </c>
    </row>
    <row r="41" spans="1:12" ht="36.5" thickBot="1" x14ac:dyDescent="0.4">
      <c r="A41" s="11" t="s">
        <v>40</v>
      </c>
      <c r="B41" s="12">
        <v>0</v>
      </c>
      <c r="C41" s="12">
        <v>1</v>
      </c>
      <c r="D41" s="12">
        <v>0</v>
      </c>
      <c r="E41" s="12">
        <v>1</v>
      </c>
      <c r="F41" s="12">
        <v>0</v>
      </c>
      <c r="H41">
        <f>B41-'8 or greater'!B41-'12 or greater'!B41</f>
        <v>0</v>
      </c>
      <c r="I41">
        <f>C41-'8 or greater'!C41-'12 or greater'!C41</f>
        <v>-1</v>
      </c>
      <c r="J41">
        <f>D41-'8 or greater'!D41-'12 or greater'!D41</f>
        <v>0</v>
      </c>
      <c r="K41">
        <f>E41-'8 or greater'!E41-'12 or greater'!E41</f>
        <v>1</v>
      </c>
      <c r="L41">
        <f>F41-'8 or greater'!F41-'12 or greater'!F41</f>
        <v>0</v>
      </c>
    </row>
    <row r="42" spans="1:12" ht="36.5" thickBot="1" x14ac:dyDescent="0.4">
      <c r="A42" s="13" t="s">
        <v>41</v>
      </c>
      <c r="B42" s="14">
        <v>1</v>
      </c>
      <c r="C42" s="14">
        <v>0</v>
      </c>
      <c r="D42" s="14">
        <v>2</v>
      </c>
      <c r="E42" s="14">
        <v>0</v>
      </c>
      <c r="F42" s="14">
        <v>0</v>
      </c>
      <c r="H42">
        <f>B42-'8 or greater'!B42-'12 or greater'!B42</f>
        <v>1</v>
      </c>
      <c r="I42">
        <f>C42-'8 or greater'!C42-'12 or greater'!C42</f>
        <v>0</v>
      </c>
      <c r="J42">
        <f>D42-'8 or greater'!D42-'12 or greater'!D42</f>
        <v>-2</v>
      </c>
      <c r="K42">
        <f>E42-'8 or greater'!E42-'12 or greater'!E42</f>
        <v>0</v>
      </c>
      <c r="L42">
        <f>F42-'8 or greater'!F42-'12 or greater'!F42</f>
        <v>0</v>
      </c>
    </row>
    <row r="43" spans="1:12" ht="36.5" thickBot="1" x14ac:dyDescent="0.4">
      <c r="A43" s="11" t="s">
        <v>42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H43">
        <f>B43-'8 or greater'!B43-'12 or greater'!B43</f>
        <v>0</v>
      </c>
      <c r="I43">
        <f>C43-'8 or greater'!C43-'12 or greater'!C43</f>
        <v>0</v>
      </c>
      <c r="J43">
        <f>D43-'8 or greater'!D43-'12 or greater'!D43</f>
        <v>0</v>
      </c>
      <c r="K43">
        <f>E43-'8 or greater'!E43-'12 or greater'!E43</f>
        <v>0</v>
      </c>
      <c r="L43">
        <f>F43-'8 or greater'!F43-'12 or greater'!F43</f>
        <v>0</v>
      </c>
    </row>
    <row r="44" spans="1:12" ht="36.5" thickBot="1" x14ac:dyDescent="0.4">
      <c r="A44" s="13" t="s">
        <v>43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H44">
        <f>B44-'8 or greater'!B44-'12 or greater'!B44</f>
        <v>0</v>
      </c>
      <c r="I44">
        <f>C44-'8 or greater'!C44-'12 or greater'!C44</f>
        <v>0</v>
      </c>
      <c r="J44">
        <f>D44-'8 or greater'!D44-'12 or greater'!D44</f>
        <v>0</v>
      </c>
      <c r="K44">
        <f>E44-'8 or greater'!E44-'12 or greater'!E44</f>
        <v>0</v>
      </c>
      <c r="L44">
        <f>F44-'8 or greater'!F44-'12 or greater'!F44</f>
        <v>0</v>
      </c>
    </row>
    <row r="45" spans="1:12" ht="36.5" thickBot="1" x14ac:dyDescent="0.4">
      <c r="A45" s="11" t="s">
        <v>44</v>
      </c>
      <c r="B45" s="12">
        <v>1</v>
      </c>
      <c r="C45" s="12">
        <v>0</v>
      </c>
      <c r="D45" s="12">
        <v>0</v>
      </c>
      <c r="E45" s="12">
        <v>0</v>
      </c>
      <c r="F45" s="12">
        <v>0</v>
      </c>
      <c r="H45">
        <f>B45-'8 or greater'!B45-'12 or greater'!B45</f>
        <v>0</v>
      </c>
      <c r="I45">
        <f>C45-'8 or greater'!C45-'12 or greater'!C45</f>
        <v>0</v>
      </c>
      <c r="J45">
        <f>D45-'8 or greater'!D45-'12 or greater'!D45</f>
        <v>0</v>
      </c>
      <c r="K45">
        <f>E45-'8 or greater'!E45-'12 or greater'!E45</f>
        <v>0</v>
      </c>
      <c r="L45">
        <f>F45-'8 or greater'!F45-'12 or greater'!F45</f>
        <v>0</v>
      </c>
    </row>
    <row r="46" spans="1:12" ht="36.5" thickBot="1" x14ac:dyDescent="0.4">
      <c r="A46" s="13" t="s">
        <v>45</v>
      </c>
      <c r="B46" s="14">
        <v>0</v>
      </c>
      <c r="C46" s="14">
        <v>1</v>
      </c>
      <c r="D46" s="14">
        <v>0</v>
      </c>
      <c r="E46" s="14">
        <v>0</v>
      </c>
      <c r="F46" s="14">
        <v>0</v>
      </c>
      <c r="H46">
        <f>B46-'8 or greater'!B46-'12 or greater'!B46</f>
        <v>0</v>
      </c>
      <c r="I46">
        <f>C46-'8 or greater'!C46-'12 or greater'!C46</f>
        <v>1</v>
      </c>
      <c r="J46">
        <f>D46-'8 or greater'!D46-'12 or greater'!D46</f>
        <v>0</v>
      </c>
      <c r="K46">
        <f>E46-'8 or greater'!E46-'12 or greater'!E46</f>
        <v>0</v>
      </c>
      <c r="L46">
        <f>F46-'8 or greater'!F46-'12 or greater'!F46</f>
        <v>0</v>
      </c>
    </row>
    <row r="47" spans="1:12" ht="36.5" thickBot="1" x14ac:dyDescent="0.4">
      <c r="A47" s="11" t="s">
        <v>46</v>
      </c>
      <c r="B47" s="12">
        <v>0</v>
      </c>
      <c r="C47" s="12">
        <v>0</v>
      </c>
      <c r="D47" s="12">
        <v>0</v>
      </c>
      <c r="E47" s="12">
        <v>0</v>
      </c>
      <c r="F47" s="12">
        <v>1</v>
      </c>
      <c r="H47">
        <f>B47-'8 or greater'!B47-'12 or greater'!B47</f>
        <v>0</v>
      </c>
      <c r="I47">
        <f>C47-'8 or greater'!C47-'12 or greater'!C47</f>
        <v>0</v>
      </c>
      <c r="J47">
        <f>D47-'8 or greater'!D47-'12 or greater'!D47</f>
        <v>0</v>
      </c>
      <c r="K47">
        <f>E47-'8 or greater'!E47-'12 or greater'!E47</f>
        <v>0</v>
      </c>
      <c r="L47">
        <f>F47-'8 or greater'!F47-'12 or greater'!F47</f>
        <v>1</v>
      </c>
    </row>
    <row r="48" spans="1:12" ht="36.5" thickBot="1" x14ac:dyDescent="0.4">
      <c r="A48" s="13" t="s">
        <v>47</v>
      </c>
      <c r="B48" s="14">
        <v>1</v>
      </c>
      <c r="C48" s="14">
        <v>0</v>
      </c>
      <c r="D48" s="14">
        <v>0</v>
      </c>
      <c r="E48" s="14">
        <v>0</v>
      </c>
      <c r="F48" s="14">
        <v>0</v>
      </c>
      <c r="H48">
        <f>B48-'8 or greater'!B48-'12 or greater'!B48</f>
        <v>0</v>
      </c>
      <c r="I48">
        <f>C48-'8 or greater'!C48-'12 or greater'!C48</f>
        <v>0</v>
      </c>
      <c r="J48">
        <f>D48-'8 or greater'!D48-'12 or greater'!D48</f>
        <v>0</v>
      </c>
      <c r="K48">
        <f>E48-'8 or greater'!E48-'12 or greater'!E48</f>
        <v>0</v>
      </c>
      <c r="L48">
        <f>F48-'8 or greater'!F48-'12 or greater'!F48</f>
        <v>0</v>
      </c>
    </row>
    <row r="49" spans="1:12" ht="36.5" thickBot="1" x14ac:dyDescent="0.4">
      <c r="A49" s="11" t="s">
        <v>48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H49">
        <f>B49-'8 or greater'!B49-'12 or greater'!B49</f>
        <v>0</v>
      </c>
      <c r="I49">
        <f>C49-'8 or greater'!C49-'12 or greater'!C49</f>
        <v>0</v>
      </c>
      <c r="J49">
        <f>D49-'8 or greater'!D49-'12 or greater'!D49</f>
        <v>0</v>
      </c>
      <c r="K49">
        <f>E49-'8 or greater'!E49-'12 or greater'!E49</f>
        <v>0</v>
      </c>
      <c r="L49">
        <f>F49-'8 or greater'!F49-'12 or greater'!F49</f>
        <v>0</v>
      </c>
    </row>
    <row r="50" spans="1:12" ht="36.5" thickBot="1" x14ac:dyDescent="0.4">
      <c r="A50" s="13" t="s">
        <v>49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H50">
        <f>B50-'8 or greater'!B50-'12 or greater'!B50</f>
        <v>0</v>
      </c>
      <c r="I50">
        <f>C50-'8 or greater'!C50-'12 or greater'!C50</f>
        <v>0</v>
      </c>
      <c r="J50">
        <f>D50-'8 or greater'!D50-'12 or greater'!D50</f>
        <v>0</v>
      </c>
      <c r="K50">
        <f>E50-'8 or greater'!E50-'12 or greater'!E50</f>
        <v>0</v>
      </c>
      <c r="L50">
        <f>F50-'8 or greater'!F50-'12 or greater'!F50</f>
        <v>0</v>
      </c>
    </row>
    <row r="51" spans="1:12" ht="36.5" thickBot="1" x14ac:dyDescent="0.4">
      <c r="A51" s="11" t="s">
        <v>50</v>
      </c>
      <c r="B51" s="12">
        <v>0</v>
      </c>
      <c r="C51" s="12">
        <v>0</v>
      </c>
      <c r="D51" s="12">
        <v>1</v>
      </c>
      <c r="E51" s="12">
        <v>0</v>
      </c>
      <c r="F51" s="12">
        <v>0</v>
      </c>
      <c r="H51">
        <f>B51-'8 or greater'!B51-'12 or greater'!B51</f>
        <v>0</v>
      </c>
      <c r="I51">
        <f>C51-'8 or greater'!C51-'12 or greater'!C51</f>
        <v>0</v>
      </c>
      <c r="J51">
        <f>D51-'8 or greater'!D51-'12 or greater'!D51</f>
        <v>1</v>
      </c>
      <c r="K51">
        <f>E51-'8 or greater'!E51-'12 or greater'!E51</f>
        <v>0</v>
      </c>
      <c r="L51">
        <f>F51-'8 or greater'!F51-'12 or greater'!F51</f>
        <v>0</v>
      </c>
    </row>
    <row r="52" spans="1:12" ht="36.5" thickBot="1" x14ac:dyDescent="0.4">
      <c r="A52" s="13" t="s">
        <v>51</v>
      </c>
      <c r="B52" s="14">
        <v>0</v>
      </c>
      <c r="C52" s="14">
        <v>1</v>
      </c>
      <c r="D52" s="14">
        <v>1</v>
      </c>
      <c r="E52" s="14">
        <v>0</v>
      </c>
      <c r="F52" s="14">
        <v>0</v>
      </c>
      <c r="H52">
        <f>B52-'8 or greater'!B52-'12 or greater'!B52</f>
        <v>0</v>
      </c>
      <c r="I52">
        <f>C52-'8 or greater'!C52-'12 or greater'!C52</f>
        <v>1</v>
      </c>
      <c r="J52">
        <f>D52-'8 or greater'!D52-'12 or greater'!D52</f>
        <v>1</v>
      </c>
      <c r="K52">
        <f>E52-'8 or greater'!E52-'12 or greater'!E52</f>
        <v>0</v>
      </c>
      <c r="L52">
        <f>F52-'8 or greater'!F52-'12 or greater'!F52</f>
        <v>0</v>
      </c>
    </row>
    <row r="53" spans="1:12" ht="36.5" thickBot="1" x14ac:dyDescent="0.4">
      <c r="A53" s="11" t="s">
        <v>52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H53">
        <f>B53-'8 or greater'!B53-'12 or greater'!B53</f>
        <v>0</v>
      </c>
      <c r="I53">
        <f>C53-'8 or greater'!C53-'12 or greater'!C53</f>
        <v>0</v>
      </c>
      <c r="J53">
        <f>D53-'8 or greater'!D53-'12 or greater'!D53</f>
        <v>0</v>
      </c>
      <c r="K53">
        <f>E53-'8 or greater'!E53-'12 or greater'!E53</f>
        <v>0</v>
      </c>
      <c r="L53">
        <f>F53-'8 or greater'!F53-'12 or greater'!F53</f>
        <v>0</v>
      </c>
    </row>
    <row r="54" spans="1:12" ht="36.5" thickBot="1" x14ac:dyDescent="0.4">
      <c r="A54" s="13" t="s">
        <v>53</v>
      </c>
      <c r="B54" s="14">
        <v>0</v>
      </c>
      <c r="C54" s="14">
        <v>2</v>
      </c>
      <c r="D54" s="14">
        <v>0</v>
      </c>
      <c r="E54" s="14">
        <v>0</v>
      </c>
      <c r="F54" s="14">
        <v>0</v>
      </c>
      <c r="H54">
        <f>B54-'8 or greater'!B54-'12 or greater'!B54</f>
        <v>0</v>
      </c>
      <c r="I54">
        <f>C54-'8 or greater'!C54-'12 or greater'!C54</f>
        <v>2</v>
      </c>
      <c r="J54">
        <f>D54-'8 or greater'!D54-'12 or greater'!D54</f>
        <v>0</v>
      </c>
      <c r="K54">
        <f>E54-'8 or greater'!E54-'12 or greater'!E54</f>
        <v>0</v>
      </c>
      <c r="L54">
        <f>F54-'8 or greater'!F54-'12 or greater'!F54</f>
        <v>0</v>
      </c>
    </row>
    <row r="55" spans="1:12" ht="36.5" thickBot="1" x14ac:dyDescent="0.4">
      <c r="A55" s="11" t="s">
        <v>54</v>
      </c>
      <c r="B55" s="12">
        <v>0</v>
      </c>
      <c r="C55" s="12">
        <v>2</v>
      </c>
      <c r="D55" s="12">
        <v>0</v>
      </c>
      <c r="E55" s="12">
        <v>0</v>
      </c>
      <c r="F55" s="12">
        <v>0</v>
      </c>
      <c r="H55">
        <f>B55-'8 or greater'!B55-'12 or greater'!B55</f>
        <v>0</v>
      </c>
      <c r="I55">
        <f>C55-'8 or greater'!C55-'12 or greater'!C55</f>
        <v>2</v>
      </c>
      <c r="J55">
        <f>D55-'8 or greater'!D55-'12 or greater'!D55</f>
        <v>0</v>
      </c>
      <c r="K55">
        <f>E55-'8 or greater'!E55-'12 or greater'!E55</f>
        <v>0</v>
      </c>
      <c r="L55">
        <f>F55-'8 or greater'!F55-'12 or greater'!F55</f>
        <v>0</v>
      </c>
    </row>
    <row r="56" spans="1:12" ht="36.5" thickBot="1" x14ac:dyDescent="0.4">
      <c r="A56" s="13" t="s">
        <v>55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H56">
        <f>B56-'8 or greater'!B56-'12 or greater'!B56</f>
        <v>0</v>
      </c>
      <c r="I56">
        <f>C56-'8 or greater'!C56-'12 or greater'!C56</f>
        <v>0</v>
      </c>
      <c r="J56">
        <f>D56-'8 or greater'!D56-'12 or greater'!D56</f>
        <v>0</v>
      </c>
      <c r="K56">
        <f>E56-'8 or greater'!E56-'12 or greater'!E56</f>
        <v>0</v>
      </c>
      <c r="L56">
        <f>F56-'8 or greater'!F56-'12 or greater'!F56</f>
        <v>0</v>
      </c>
    </row>
    <row r="57" spans="1:12" ht="36.5" thickBot="1" x14ac:dyDescent="0.4">
      <c r="A57" s="11" t="s">
        <v>56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H57">
        <f>B57-'8 or greater'!B57-'12 or greater'!B57</f>
        <v>0</v>
      </c>
      <c r="I57">
        <f>C57-'8 or greater'!C57-'12 or greater'!C57</f>
        <v>1</v>
      </c>
      <c r="J57">
        <f>D57-'8 or greater'!D57-'12 or greater'!D57</f>
        <v>1</v>
      </c>
      <c r="K57">
        <f>E57-'8 or greater'!E57-'12 or greater'!E57</f>
        <v>0</v>
      </c>
      <c r="L57">
        <f>F57-'8 or greater'!F57-'12 or greater'!F57</f>
        <v>0</v>
      </c>
    </row>
    <row r="58" spans="1:12" ht="36.5" thickBot="1" x14ac:dyDescent="0.4">
      <c r="A58" s="13" t="s">
        <v>57</v>
      </c>
      <c r="B58" s="14">
        <v>0</v>
      </c>
      <c r="C58" s="14">
        <v>0</v>
      </c>
      <c r="D58" s="14">
        <v>0</v>
      </c>
      <c r="E58" s="14">
        <v>0</v>
      </c>
      <c r="F58" s="14">
        <v>1</v>
      </c>
      <c r="H58">
        <f>B58-'8 or greater'!B58-'12 or greater'!B58</f>
        <v>0</v>
      </c>
      <c r="I58">
        <f>C58-'8 or greater'!C58-'12 or greater'!C58</f>
        <v>0</v>
      </c>
      <c r="J58">
        <f>D58-'8 or greater'!D58-'12 or greater'!D58</f>
        <v>0</v>
      </c>
      <c r="K58">
        <f>E58-'8 or greater'!E58-'12 or greater'!E58</f>
        <v>0</v>
      </c>
      <c r="L58">
        <f>F58-'8 or greater'!F58-'12 or greater'!F58</f>
        <v>0</v>
      </c>
    </row>
    <row r="59" spans="1:12" ht="36.5" thickBot="1" x14ac:dyDescent="0.4">
      <c r="A59" s="11" t="s">
        <v>58</v>
      </c>
      <c r="B59" s="12">
        <v>0</v>
      </c>
      <c r="C59" s="12">
        <v>0</v>
      </c>
      <c r="D59" s="12">
        <v>1</v>
      </c>
      <c r="E59" s="12">
        <v>0</v>
      </c>
      <c r="F59" s="12">
        <v>1</v>
      </c>
      <c r="H59">
        <f>B59-'8 or greater'!B59-'12 or greater'!B59</f>
        <v>0</v>
      </c>
      <c r="I59">
        <f>C59-'8 or greater'!C59-'12 or greater'!C59</f>
        <v>0</v>
      </c>
      <c r="J59">
        <f>D59-'8 or greater'!D59-'12 or greater'!D59</f>
        <v>1</v>
      </c>
      <c r="K59">
        <f>E59-'8 or greater'!E59-'12 or greater'!E59</f>
        <v>0</v>
      </c>
      <c r="L59">
        <f>F59-'8 or greater'!F59-'12 or greater'!F59</f>
        <v>0</v>
      </c>
    </row>
    <row r="60" spans="1:12" ht="36.5" thickBot="1" x14ac:dyDescent="0.4">
      <c r="A60" s="13" t="s">
        <v>59</v>
      </c>
      <c r="B60" s="14">
        <v>0</v>
      </c>
      <c r="C60" s="14">
        <v>0</v>
      </c>
      <c r="D60" s="14">
        <v>0</v>
      </c>
      <c r="E60" s="14">
        <v>0</v>
      </c>
      <c r="F60" s="14">
        <v>0</v>
      </c>
      <c r="H60">
        <f>B60-'8 or greater'!B60-'12 or greater'!B60</f>
        <v>0</v>
      </c>
      <c r="I60">
        <f>C60-'8 or greater'!C60-'12 or greater'!C60</f>
        <v>0</v>
      </c>
      <c r="J60">
        <f>D60-'8 or greater'!D60-'12 or greater'!D60</f>
        <v>0</v>
      </c>
      <c r="K60">
        <f>E60-'8 or greater'!E60-'12 or greater'!E60</f>
        <v>0</v>
      </c>
      <c r="L60">
        <f>F60-'8 or greater'!F60-'12 or greater'!F60</f>
        <v>0</v>
      </c>
    </row>
    <row r="61" spans="1:12" ht="36.5" thickBot="1" x14ac:dyDescent="0.4">
      <c r="A61" s="11" t="s">
        <v>60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H61">
        <f>B61-'8 or greater'!B61-'12 or greater'!B61</f>
        <v>0</v>
      </c>
      <c r="I61">
        <f>C61-'8 or greater'!C61-'12 or greater'!C61</f>
        <v>0</v>
      </c>
      <c r="J61">
        <f>D61-'8 or greater'!D61-'12 or greater'!D61</f>
        <v>0</v>
      </c>
      <c r="K61">
        <f>E61-'8 or greater'!E61-'12 or greater'!E61</f>
        <v>0</v>
      </c>
      <c r="L61">
        <f>F61-'8 or greater'!F61-'12 or greater'!F61</f>
        <v>0</v>
      </c>
    </row>
    <row r="62" spans="1:12" ht="36.5" thickBot="1" x14ac:dyDescent="0.4">
      <c r="A62" s="13" t="s">
        <v>61</v>
      </c>
      <c r="B62" s="14">
        <v>0</v>
      </c>
      <c r="C62" s="14">
        <v>1</v>
      </c>
      <c r="D62" s="14">
        <v>0</v>
      </c>
      <c r="E62" s="14">
        <v>0</v>
      </c>
      <c r="F62" s="14">
        <v>1</v>
      </c>
      <c r="H62">
        <f>B62-'8 or greater'!B62-'12 or greater'!B62</f>
        <v>0</v>
      </c>
      <c r="I62">
        <f>C62-'8 or greater'!C62-'12 or greater'!C62</f>
        <v>1</v>
      </c>
      <c r="J62">
        <f>D62-'8 or greater'!D62-'12 or greater'!D62</f>
        <v>0</v>
      </c>
      <c r="K62">
        <f>E62-'8 or greater'!E62-'12 or greater'!E62</f>
        <v>0</v>
      </c>
      <c r="L62">
        <f>F62-'8 or greater'!F62-'12 or greater'!F62</f>
        <v>0</v>
      </c>
    </row>
    <row r="63" spans="1:12" ht="36.5" thickBot="1" x14ac:dyDescent="0.4">
      <c r="A63" s="11" t="s">
        <v>62</v>
      </c>
      <c r="B63" s="12">
        <v>0</v>
      </c>
      <c r="C63" s="12">
        <v>0</v>
      </c>
      <c r="D63" s="12">
        <v>0</v>
      </c>
      <c r="E63" s="12">
        <v>1</v>
      </c>
      <c r="F63" s="12">
        <v>1</v>
      </c>
      <c r="H63">
        <f>B63-'8 or greater'!B63-'12 or greater'!B63</f>
        <v>0</v>
      </c>
      <c r="I63">
        <f>C63-'8 or greater'!C63-'12 or greater'!C63</f>
        <v>0</v>
      </c>
      <c r="J63">
        <f>D63-'8 or greater'!D63-'12 or greater'!D63</f>
        <v>0</v>
      </c>
      <c r="K63">
        <f>E63-'8 or greater'!E63-'12 or greater'!E63</f>
        <v>1</v>
      </c>
      <c r="L63">
        <f>F63-'8 or greater'!F63-'12 or greater'!F63</f>
        <v>1</v>
      </c>
    </row>
    <row r="64" spans="1:12" ht="36.5" thickBot="1" x14ac:dyDescent="0.4">
      <c r="A64" s="13" t="s">
        <v>63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H64">
        <f>B64-'8 or greater'!B64-'12 or greater'!B64</f>
        <v>0</v>
      </c>
      <c r="I64">
        <f>C64-'8 or greater'!C64-'12 or greater'!C64</f>
        <v>0</v>
      </c>
      <c r="J64">
        <f>D64-'8 or greater'!D64-'12 or greater'!D64</f>
        <v>0</v>
      </c>
      <c r="K64">
        <f>E64-'8 or greater'!E64-'12 or greater'!E64</f>
        <v>0</v>
      </c>
      <c r="L64">
        <f>F64-'8 or greater'!F64-'12 or greater'!F64</f>
        <v>0</v>
      </c>
    </row>
    <row r="65" spans="1:12" ht="36.5" thickBot="1" x14ac:dyDescent="0.4">
      <c r="A65" s="11" t="s">
        <v>64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H65">
        <f>B65-'8 or greater'!B65-'12 or greater'!B65</f>
        <v>0</v>
      </c>
      <c r="I65">
        <f>C65-'8 or greater'!C65-'12 or greater'!C65</f>
        <v>0</v>
      </c>
      <c r="J65">
        <f>D65-'8 or greater'!D65-'12 or greater'!D65</f>
        <v>0</v>
      </c>
      <c r="K65">
        <f>E65-'8 or greater'!E65-'12 or greater'!E65</f>
        <v>0</v>
      </c>
      <c r="L65">
        <f>F65-'8 or greater'!F65-'12 or greater'!F65</f>
        <v>0</v>
      </c>
    </row>
    <row r="66" spans="1:12" ht="36.5" thickBot="1" x14ac:dyDescent="0.4">
      <c r="A66" s="13" t="s">
        <v>65</v>
      </c>
      <c r="B66" s="14">
        <v>1</v>
      </c>
      <c r="C66" s="14">
        <v>0</v>
      </c>
      <c r="D66" s="14">
        <v>0</v>
      </c>
      <c r="E66" s="14">
        <v>0</v>
      </c>
      <c r="F66" s="14">
        <v>0</v>
      </c>
      <c r="H66">
        <f>B66-'8 or greater'!B66-'12 or greater'!B66</f>
        <v>1</v>
      </c>
      <c r="I66">
        <f>C66-'8 or greater'!C66-'12 or greater'!C66</f>
        <v>0</v>
      </c>
      <c r="J66">
        <f>D66-'8 or greater'!D66-'12 or greater'!D66</f>
        <v>0</v>
      </c>
      <c r="K66">
        <f>E66-'8 or greater'!E66-'12 or greater'!E66</f>
        <v>0</v>
      </c>
      <c r="L66">
        <f>F66-'8 or greater'!F66-'12 or greater'!F66</f>
        <v>0</v>
      </c>
    </row>
    <row r="67" spans="1:12" ht="36.5" thickBot="1" x14ac:dyDescent="0.4">
      <c r="A67" s="11" t="s">
        <v>66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H67">
        <f>B67-'8 or greater'!B67-'12 or greater'!B67</f>
        <v>0</v>
      </c>
      <c r="I67">
        <f>C67-'8 or greater'!C67-'12 or greater'!C67</f>
        <v>0</v>
      </c>
      <c r="J67">
        <f>D67-'8 or greater'!D67-'12 or greater'!D67</f>
        <v>0</v>
      </c>
      <c r="K67">
        <f>E67-'8 or greater'!E67-'12 or greater'!E67</f>
        <v>0</v>
      </c>
      <c r="L67">
        <f>F67-'8 or greater'!F67-'12 or greater'!F67</f>
        <v>0</v>
      </c>
    </row>
    <row r="68" spans="1:12" ht="36.5" thickBot="1" x14ac:dyDescent="0.4">
      <c r="A68" s="13" t="s">
        <v>67</v>
      </c>
      <c r="B68" s="14">
        <v>0</v>
      </c>
      <c r="C68" s="14">
        <v>0</v>
      </c>
      <c r="D68" s="14">
        <v>0</v>
      </c>
      <c r="E68" s="14">
        <v>0</v>
      </c>
      <c r="F68" s="14">
        <v>0</v>
      </c>
      <c r="H68">
        <f>B68-'8 or greater'!B68-'12 or greater'!B68</f>
        <v>0</v>
      </c>
      <c r="I68">
        <f>C68-'8 or greater'!C68-'12 or greater'!C68</f>
        <v>0</v>
      </c>
      <c r="J68">
        <f>D68-'8 or greater'!D68-'12 or greater'!D68</f>
        <v>0</v>
      </c>
      <c r="K68">
        <f>E68-'8 or greater'!E68-'12 or greater'!E68</f>
        <v>0</v>
      </c>
      <c r="L68">
        <f>F68-'8 or greater'!F68-'12 or greater'!F68</f>
        <v>0</v>
      </c>
    </row>
    <row r="69" spans="1:12" ht="36.5" thickBot="1" x14ac:dyDescent="0.4">
      <c r="A69" s="11" t="s">
        <v>68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H69">
        <f>B69-'8 or greater'!B69-'12 or greater'!B69</f>
        <v>0</v>
      </c>
      <c r="I69">
        <f>C69-'8 or greater'!C69-'12 or greater'!C69</f>
        <v>0</v>
      </c>
      <c r="J69">
        <f>D69-'8 or greater'!D69-'12 or greater'!D69</f>
        <v>0</v>
      </c>
      <c r="K69">
        <f>E69-'8 or greater'!E69-'12 or greater'!E69</f>
        <v>0</v>
      </c>
      <c r="L69">
        <f>F69-'8 or greater'!F69-'12 or greater'!F69</f>
        <v>0</v>
      </c>
    </row>
    <row r="70" spans="1:12" ht="36.5" thickBot="1" x14ac:dyDescent="0.4">
      <c r="A70" s="13" t="s">
        <v>69</v>
      </c>
      <c r="B70" s="14">
        <v>0</v>
      </c>
      <c r="C70" s="14">
        <v>0</v>
      </c>
      <c r="D70" s="14">
        <v>0</v>
      </c>
      <c r="E70" s="14">
        <v>0</v>
      </c>
      <c r="F70" s="14">
        <v>1</v>
      </c>
      <c r="H70">
        <f>B70-'8 or greater'!B70-'12 or greater'!B70</f>
        <v>0</v>
      </c>
      <c r="I70">
        <f>C70-'8 or greater'!C70-'12 or greater'!C70</f>
        <v>0</v>
      </c>
      <c r="J70">
        <f>D70-'8 or greater'!D70-'12 or greater'!D70</f>
        <v>0</v>
      </c>
      <c r="K70">
        <f>E70-'8 or greater'!E70-'12 or greater'!E70</f>
        <v>0</v>
      </c>
      <c r="L70">
        <f>F70-'8 or greater'!F70-'12 or greater'!F70</f>
        <v>1</v>
      </c>
    </row>
    <row r="71" spans="1:12" ht="36.5" thickBot="1" x14ac:dyDescent="0.4">
      <c r="A71" s="11" t="s">
        <v>70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H71">
        <f>B71-'8 or greater'!B71-'12 or greater'!B71</f>
        <v>0</v>
      </c>
      <c r="I71">
        <f>C71-'8 or greater'!C71-'12 or greater'!C71</f>
        <v>0</v>
      </c>
      <c r="J71">
        <f>D71-'8 or greater'!D71-'12 or greater'!D71</f>
        <v>0</v>
      </c>
      <c r="K71">
        <f>E71-'8 or greater'!E71-'12 or greater'!E71</f>
        <v>0</v>
      </c>
      <c r="L71">
        <f>F71-'8 or greater'!F71-'12 or greater'!F71</f>
        <v>0</v>
      </c>
    </row>
    <row r="72" spans="1:12" ht="36.5" thickBot="1" x14ac:dyDescent="0.4">
      <c r="A72" s="13" t="s">
        <v>71</v>
      </c>
      <c r="B72" s="14">
        <v>0</v>
      </c>
      <c r="C72" s="14">
        <v>1</v>
      </c>
      <c r="D72" s="14">
        <v>0</v>
      </c>
      <c r="E72" s="14">
        <v>1</v>
      </c>
      <c r="F72" s="14">
        <v>1</v>
      </c>
      <c r="H72">
        <f>B72-'8 or greater'!B72-'12 or greater'!B72</f>
        <v>0</v>
      </c>
      <c r="I72">
        <f>C72-'8 or greater'!C72-'12 or greater'!C72</f>
        <v>1</v>
      </c>
      <c r="J72">
        <f>D72-'8 or greater'!D72-'12 or greater'!D72</f>
        <v>0</v>
      </c>
      <c r="K72">
        <f>E72-'8 or greater'!E72-'12 or greater'!E72</f>
        <v>0</v>
      </c>
      <c r="L72">
        <f>F72-'8 or greater'!F72-'12 or greater'!F72</f>
        <v>-1</v>
      </c>
    </row>
    <row r="73" spans="1:12" ht="36.5" thickBot="1" x14ac:dyDescent="0.4">
      <c r="A73" s="11" t="s">
        <v>72</v>
      </c>
      <c r="B73" s="12">
        <v>0</v>
      </c>
      <c r="C73" s="12">
        <v>0</v>
      </c>
      <c r="D73" s="12">
        <v>0</v>
      </c>
      <c r="E73" s="12">
        <v>1</v>
      </c>
      <c r="F73" s="12">
        <v>2</v>
      </c>
      <c r="H73">
        <f>B73-'8 or greater'!B73-'12 or greater'!B73</f>
        <v>0</v>
      </c>
      <c r="I73">
        <f>C73-'8 or greater'!C73-'12 or greater'!C73</f>
        <v>0</v>
      </c>
      <c r="J73">
        <f>D73-'8 or greater'!D73-'12 or greater'!D73</f>
        <v>0</v>
      </c>
      <c r="K73">
        <f>E73-'8 or greater'!E73-'12 or greater'!E73</f>
        <v>1</v>
      </c>
      <c r="L73">
        <f>F73-'8 or greater'!F73-'12 or greater'!F73</f>
        <v>1</v>
      </c>
    </row>
    <row r="74" spans="1:12" ht="36.5" thickBot="1" x14ac:dyDescent="0.4">
      <c r="A74" s="13" t="s">
        <v>73</v>
      </c>
      <c r="B74" s="14">
        <v>0</v>
      </c>
      <c r="C74" s="14">
        <v>0</v>
      </c>
      <c r="D74" s="14">
        <v>1</v>
      </c>
      <c r="E74" s="14">
        <v>1</v>
      </c>
      <c r="F74" s="14">
        <v>0</v>
      </c>
      <c r="H74">
        <f>B74-'8 or greater'!B74-'12 or greater'!B74</f>
        <v>0</v>
      </c>
      <c r="I74">
        <f>C74-'8 or greater'!C74-'12 or greater'!C74</f>
        <v>0</v>
      </c>
      <c r="J74">
        <f>D74-'8 or greater'!D74-'12 or greater'!D74</f>
        <v>1</v>
      </c>
      <c r="K74">
        <f>E74-'8 or greater'!E74-'12 or greater'!E74</f>
        <v>1</v>
      </c>
      <c r="L74">
        <f>F74-'8 or greater'!F74-'12 or greater'!F74</f>
        <v>0</v>
      </c>
    </row>
    <row r="75" spans="1:12" ht="36.5" thickBot="1" x14ac:dyDescent="0.4">
      <c r="A75" s="11" t="s">
        <v>74</v>
      </c>
      <c r="B75" s="12">
        <v>0</v>
      </c>
      <c r="C75" s="12">
        <v>0</v>
      </c>
      <c r="D75" s="12">
        <v>0</v>
      </c>
      <c r="E75" s="12">
        <v>0</v>
      </c>
      <c r="F75" s="12">
        <v>1</v>
      </c>
      <c r="H75">
        <f>B75-'8 or greater'!B75-'12 or greater'!B75</f>
        <v>0</v>
      </c>
      <c r="I75">
        <f>C75-'8 or greater'!C75-'12 or greater'!C75</f>
        <v>0</v>
      </c>
      <c r="J75">
        <f>D75-'8 or greater'!D75-'12 or greater'!D75</f>
        <v>0</v>
      </c>
      <c r="K75">
        <f>E75-'8 or greater'!E75-'12 or greater'!E75</f>
        <v>0</v>
      </c>
      <c r="L75">
        <f>F75-'8 or greater'!F75-'12 or greater'!F75</f>
        <v>1</v>
      </c>
    </row>
    <row r="76" spans="1:12" ht="36.5" thickBot="1" x14ac:dyDescent="0.4">
      <c r="A76" s="13" t="s">
        <v>75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  <c r="H76">
        <f>B76-'8 or greater'!B76-'12 or greater'!B76</f>
        <v>0</v>
      </c>
      <c r="I76">
        <f>C76-'8 or greater'!C76-'12 or greater'!C76</f>
        <v>0</v>
      </c>
      <c r="J76">
        <f>D76-'8 or greater'!D76-'12 or greater'!D76</f>
        <v>0</v>
      </c>
      <c r="K76">
        <f>E76-'8 or greater'!E76-'12 or greater'!E76</f>
        <v>0</v>
      </c>
      <c r="L76">
        <f>F76-'8 or greater'!F76-'12 or greater'!F76</f>
        <v>0</v>
      </c>
    </row>
    <row r="77" spans="1:12" ht="36.5" thickBot="1" x14ac:dyDescent="0.4">
      <c r="A77" s="11" t="s">
        <v>76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H77">
        <f>B77-'8 or greater'!B77-'12 or greater'!B77</f>
        <v>0</v>
      </c>
      <c r="I77">
        <f>C77-'8 or greater'!C77-'12 or greater'!C77</f>
        <v>0</v>
      </c>
      <c r="J77">
        <f>D77-'8 or greater'!D77-'12 or greater'!D77</f>
        <v>0</v>
      </c>
      <c r="K77">
        <f>E77-'8 or greater'!E77-'12 or greater'!E77</f>
        <v>0</v>
      </c>
      <c r="L77">
        <f>F77-'8 or greater'!F77-'12 or greater'!F77</f>
        <v>0</v>
      </c>
    </row>
    <row r="78" spans="1:12" ht="36.5" thickBot="1" x14ac:dyDescent="0.4">
      <c r="A78" s="13" t="s">
        <v>77</v>
      </c>
      <c r="B78" s="14">
        <v>0</v>
      </c>
      <c r="C78" s="14">
        <v>1</v>
      </c>
      <c r="D78" s="14">
        <v>0</v>
      </c>
      <c r="E78" s="14">
        <v>0</v>
      </c>
      <c r="F78" s="14">
        <v>0</v>
      </c>
      <c r="H78">
        <f>B78-'8 or greater'!B78-'12 or greater'!B78</f>
        <v>0</v>
      </c>
      <c r="I78">
        <f>C78-'8 or greater'!C78-'12 or greater'!C78</f>
        <v>0</v>
      </c>
      <c r="J78">
        <f>D78-'8 or greater'!D78-'12 or greater'!D78</f>
        <v>0</v>
      </c>
      <c r="K78">
        <f>E78-'8 or greater'!E78-'12 or greater'!E78</f>
        <v>0</v>
      </c>
      <c r="L78">
        <f>F78-'8 or greater'!F78-'12 or greater'!F78</f>
        <v>0</v>
      </c>
    </row>
    <row r="79" spans="1:12" ht="36.5" thickBot="1" x14ac:dyDescent="0.4">
      <c r="A79" s="11" t="s">
        <v>78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H79">
        <f>B79-'8 or greater'!B79-'12 or greater'!B79</f>
        <v>0</v>
      </c>
      <c r="I79">
        <f>C79-'8 or greater'!C79-'12 or greater'!C79</f>
        <v>0</v>
      </c>
      <c r="J79">
        <f>D79-'8 or greater'!D79-'12 or greater'!D79</f>
        <v>0</v>
      </c>
      <c r="K79">
        <f>E79-'8 or greater'!E79-'12 or greater'!E79</f>
        <v>0</v>
      </c>
      <c r="L79">
        <f>F79-'8 or greater'!F79-'12 or greater'!F79</f>
        <v>0</v>
      </c>
    </row>
    <row r="80" spans="1:12" ht="36.5" thickBot="1" x14ac:dyDescent="0.4">
      <c r="A80" s="13" t="s">
        <v>79</v>
      </c>
      <c r="B80" s="14">
        <v>1</v>
      </c>
      <c r="C80" s="14">
        <v>0</v>
      </c>
      <c r="D80" s="14">
        <v>0</v>
      </c>
      <c r="E80" s="14">
        <v>0</v>
      </c>
      <c r="F80" s="14">
        <v>0</v>
      </c>
      <c r="H80">
        <f>B80-'8 or greater'!B80-'12 or greater'!B80</f>
        <v>0</v>
      </c>
      <c r="I80">
        <f>C80-'8 or greater'!C80-'12 or greater'!C80</f>
        <v>0</v>
      </c>
      <c r="J80">
        <f>D80-'8 or greater'!D80-'12 or greater'!D80</f>
        <v>0</v>
      </c>
      <c r="K80">
        <f>E80-'8 or greater'!E80-'12 or greater'!E80</f>
        <v>0</v>
      </c>
      <c r="L80">
        <f>F80-'8 or greater'!F80-'12 or greater'!F80</f>
        <v>0</v>
      </c>
    </row>
    <row r="81" spans="1:12" ht="36.5" thickBot="1" x14ac:dyDescent="0.4">
      <c r="A81" s="11" t="s">
        <v>80</v>
      </c>
      <c r="B81" s="12">
        <v>0</v>
      </c>
      <c r="C81" s="12">
        <v>0</v>
      </c>
      <c r="D81" s="12">
        <v>0</v>
      </c>
      <c r="E81" s="12">
        <v>0</v>
      </c>
      <c r="F81" s="12">
        <v>1</v>
      </c>
      <c r="H81">
        <f>B81-'8 or greater'!B81-'12 or greater'!B81</f>
        <v>0</v>
      </c>
      <c r="I81">
        <f>C81-'8 or greater'!C81-'12 or greater'!C81</f>
        <v>0</v>
      </c>
      <c r="J81">
        <f>D81-'8 or greater'!D81-'12 or greater'!D81</f>
        <v>0</v>
      </c>
      <c r="K81">
        <f>E81-'8 or greater'!E81-'12 or greater'!E81</f>
        <v>0</v>
      </c>
      <c r="L81">
        <f>F81-'8 or greater'!F81-'12 or greater'!F81</f>
        <v>0</v>
      </c>
    </row>
    <row r="82" spans="1:12" ht="36.5" thickBot="1" x14ac:dyDescent="0.4">
      <c r="A82" s="13" t="s">
        <v>81</v>
      </c>
      <c r="B82" s="14">
        <v>0</v>
      </c>
      <c r="C82" s="14">
        <v>0</v>
      </c>
      <c r="D82" s="14">
        <v>0</v>
      </c>
      <c r="E82" s="14">
        <v>0</v>
      </c>
      <c r="F82" s="14">
        <v>0</v>
      </c>
      <c r="H82">
        <f>B82-'8 or greater'!B82-'12 or greater'!B82</f>
        <v>0</v>
      </c>
      <c r="I82">
        <f>C82-'8 or greater'!C82-'12 or greater'!C82</f>
        <v>0</v>
      </c>
      <c r="J82">
        <f>D82-'8 or greater'!D82-'12 or greater'!D82</f>
        <v>0</v>
      </c>
      <c r="K82">
        <f>E82-'8 or greater'!E82-'12 or greater'!E82</f>
        <v>0</v>
      </c>
      <c r="L82">
        <f>F82-'8 or greater'!F82-'12 or greater'!F82</f>
        <v>0</v>
      </c>
    </row>
    <row r="83" spans="1:12" ht="36.5" thickBot="1" x14ac:dyDescent="0.4">
      <c r="A83" s="11" t="s">
        <v>82</v>
      </c>
      <c r="B83" s="12">
        <v>2</v>
      </c>
      <c r="C83" s="12">
        <v>0</v>
      </c>
      <c r="D83" s="12">
        <v>0</v>
      </c>
      <c r="E83" s="12">
        <v>0</v>
      </c>
      <c r="F83" s="12">
        <v>0</v>
      </c>
      <c r="H83">
        <f>B83-'8 or greater'!B83-'12 or greater'!B83</f>
        <v>0</v>
      </c>
      <c r="I83">
        <f>C83-'8 or greater'!C83-'12 or greater'!C83</f>
        <v>0</v>
      </c>
      <c r="J83">
        <f>D83-'8 or greater'!D83-'12 or greater'!D83</f>
        <v>0</v>
      </c>
      <c r="K83">
        <f>E83-'8 or greater'!E83-'12 or greater'!E83</f>
        <v>0</v>
      </c>
      <c r="L83">
        <f>F83-'8 or greater'!F83-'12 or greater'!F83</f>
        <v>0</v>
      </c>
    </row>
    <row r="84" spans="1:12" ht="36.5" thickBot="1" x14ac:dyDescent="0.4">
      <c r="A84" s="13" t="s">
        <v>83</v>
      </c>
      <c r="B84" s="14">
        <v>0</v>
      </c>
      <c r="C84" s="14">
        <v>0</v>
      </c>
      <c r="D84" s="14">
        <v>0</v>
      </c>
      <c r="E84" s="14">
        <v>0</v>
      </c>
      <c r="F84" s="14">
        <v>2</v>
      </c>
      <c r="H84">
        <f>B84-'8 or greater'!B84-'12 or greater'!B84</f>
        <v>0</v>
      </c>
      <c r="I84">
        <f>C84-'8 or greater'!C84-'12 or greater'!C84</f>
        <v>0</v>
      </c>
      <c r="J84">
        <f>D84-'8 or greater'!D84-'12 or greater'!D84</f>
        <v>0</v>
      </c>
      <c r="K84">
        <f>E84-'8 or greater'!E84-'12 or greater'!E84</f>
        <v>0</v>
      </c>
      <c r="L84">
        <f>F84-'8 or greater'!F84-'12 or greater'!F84</f>
        <v>1</v>
      </c>
    </row>
    <row r="85" spans="1:12" ht="36.5" thickBot="1" x14ac:dyDescent="0.4">
      <c r="A85" s="11" t="s">
        <v>84</v>
      </c>
      <c r="B85" s="12">
        <v>0</v>
      </c>
      <c r="C85" s="12">
        <v>0</v>
      </c>
      <c r="D85" s="12">
        <v>0</v>
      </c>
      <c r="E85" s="12">
        <v>1</v>
      </c>
      <c r="F85" s="12">
        <v>0</v>
      </c>
      <c r="H85">
        <f>B85-'8 or greater'!B85-'12 or greater'!B85</f>
        <v>0</v>
      </c>
      <c r="I85">
        <f>C85-'8 or greater'!C85-'12 or greater'!C85</f>
        <v>0</v>
      </c>
      <c r="J85">
        <f>D85-'8 or greater'!D85-'12 or greater'!D85</f>
        <v>0</v>
      </c>
      <c r="K85">
        <f>E85-'8 or greater'!E85-'12 or greater'!E85</f>
        <v>0</v>
      </c>
      <c r="L85">
        <f>F85-'8 or greater'!F85-'12 or greater'!F85</f>
        <v>0</v>
      </c>
    </row>
    <row r="86" spans="1:12" ht="36.5" thickBot="1" x14ac:dyDescent="0.4">
      <c r="A86" s="13" t="s">
        <v>85</v>
      </c>
      <c r="B86" s="14">
        <v>0</v>
      </c>
      <c r="C86" s="14">
        <v>0</v>
      </c>
      <c r="D86" s="14">
        <v>0</v>
      </c>
      <c r="E86" s="14">
        <v>0</v>
      </c>
      <c r="F86" s="14">
        <v>0</v>
      </c>
      <c r="H86">
        <f>B86-'8 or greater'!B86-'12 or greater'!B86</f>
        <v>0</v>
      </c>
      <c r="I86">
        <f>C86-'8 or greater'!C86-'12 or greater'!C86</f>
        <v>0</v>
      </c>
      <c r="J86">
        <f>D86-'8 or greater'!D86-'12 or greater'!D86</f>
        <v>0</v>
      </c>
      <c r="K86">
        <f>E86-'8 or greater'!E86-'12 or greater'!E86</f>
        <v>0</v>
      </c>
      <c r="L86">
        <f>F86-'8 or greater'!F86-'12 or greater'!F86</f>
        <v>0</v>
      </c>
    </row>
    <row r="87" spans="1:12" ht="36.5" thickBot="1" x14ac:dyDescent="0.4">
      <c r="A87" s="11" t="s">
        <v>86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H87">
        <f>B87-'8 or greater'!B87-'12 or greater'!B87</f>
        <v>0</v>
      </c>
      <c r="I87">
        <f>C87-'8 or greater'!C87-'12 or greater'!C87</f>
        <v>0</v>
      </c>
      <c r="J87">
        <f>D87-'8 or greater'!D87-'12 or greater'!D87</f>
        <v>0</v>
      </c>
      <c r="K87">
        <f>E87-'8 or greater'!E87-'12 or greater'!E87</f>
        <v>0</v>
      </c>
      <c r="L87">
        <f>F87-'8 or greater'!F87-'12 or greater'!F87</f>
        <v>0</v>
      </c>
    </row>
    <row r="88" spans="1:12" ht="36.5" thickBot="1" x14ac:dyDescent="0.4">
      <c r="A88" s="13" t="s">
        <v>87</v>
      </c>
      <c r="B88" s="14">
        <v>0</v>
      </c>
      <c r="C88" s="14">
        <v>0</v>
      </c>
      <c r="D88" s="14">
        <v>0</v>
      </c>
      <c r="E88" s="14">
        <v>1</v>
      </c>
      <c r="F88" s="14">
        <v>1</v>
      </c>
      <c r="H88">
        <f>B88-'8 or greater'!B88-'12 or greater'!B88</f>
        <v>0</v>
      </c>
      <c r="I88">
        <f>C88-'8 or greater'!C88-'12 or greater'!C88</f>
        <v>0</v>
      </c>
      <c r="J88">
        <f>D88-'8 or greater'!D88-'12 or greater'!D88</f>
        <v>0</v>
      </c>
      <c r="K88">
        <f>E88-'8 or greater'!E88-'12 or greater'!E88</f>
        <v>1</v>
      </c>
      <c r="L88">
        <f>F88-'8 or greater'!F88-'12 or greater'!F88</f>
        <v>0</v>
      </c>
    </row>
    <row r="89" spans="1:12" ht="36.5" thickBot="1" x14ac:dyDescent="0.4">
      <c r="A89" s="11" t="s">
        <v>88</v>
      </c>
      <c r="B89" s="12">
        <v>1</v>
      </c>
      <c r="C89" s="12">
        <v>1</v>
      </c>
      <c r="D89" s="12">
        <v>0</v>
      </c>
      <c r="E89" s="12">
        <v>0</v>
      </c>
      <c r="F89" s="12">
        <v>0</v>
      </c>
      <c r="H89">
        <f>B89-'8 or greater'!B89-'12 or greater'!B89</f>
        <v>0</v>
      </c>
      <c r="I89">
        <f>C89-'8 or greater'!C89-'12 or greater'!C89</f>
        <v>1</v>
      </c>
      <c r="J89">
        <f>D89-'8 or greater'!D89-'12 or greater'!D89</f>
        <v>0</v>
      </c>
      <c r="K89">
        <f>E89-'8 or greater'!E89-'12 or greater'!E89</f>
        <v>0</v>
      </c>
      <c r="L89">
        <f>F89-'8 or greater'!F89-'12 or greater'!F89</f>
        <v>0</v>
      </c>
    </row>
    <row r="90" spans="1:12" ht="36.5" thickBot="1" x14ac:dyDescent="0.4">
      <c r="A90" s="13" t="s">
        <v>89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H90">
        <f>B90-'8 or greater'!B90-'12 or greater'!B90</f>
        <v>0</v>
      </c>
      <c r="I90">
        <f>C90-'8 or greater'!C90-'12 or greater'!C90</f>
        <v>0</v>
      </c>
      <c r="J90">
        <f>D90-'8 or greater'!D90-'12 or greater'!D90</f>
        <v>0</v>
      </c>
      <c r="K90">
        <f>E90-'8 or greater'!E90-'12 or greater'!E90</f>
        <v>0</v>
      </c>
      <c r="L90">
        <f>F90-'8 or greater'!F90-'12 or greater'!F90</f>
        <v>0</v>
      </c>
    </row>
    <row r="91" spans="1:12" ht="36.5" thickBot="1" x14ac:dyDescent="0.4">
      <c r="A91" s="11" t="s">
        <v>90</v>
      </c>
      <c r="B91" s="12">
        <v>0</v>
      </c>
      <c r="C91" s="12">
        <v>1</v>
      </c>
      <c r="D91" s="12">
        <v>0</v>
      </c>
      <c r="E91" s="12">
        <v>0</v>
      </c>
      <c r="F91" s="12">
        <v>0</v>
      </c>
      <c r="H91">
        <f>B91-'8 or greater'!B91-'12 or greater'!B91</f>
        <v>0</v>
      </c>
      <c r="I91">
        <f>C91-'8 or greater'!C91-'12 or greater'!C91</f>
        <v>0</v>
      </c>
      <c r="J91">
        <f>D91-'8 or greater'!D91-'12 or greater'!D91</f>
        <v>0</v>
      </c>
      <c r="K91">
        <f>E91-'8 or greater'!E91-'12 or greater'!E91</f>
        <v>0</v>
      </c>
      <c r="L91">
        <f>F91-'8 or greater'!F91-'12 or greater'!F91</f>
        <v>0</v>
      </c>
    </row>
    <row r="92" spans="1:12" ht="36.5" thickBot="1" x14ac:dyDescent="0.4">
      <c r="A92" s="13" t="s">
        <v>91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H92">
        <f>B92-'8 or greater'!B92-'12 or greater'!B92</f>
        <v>0</v>
      </c>
      <c r="I92">
        <f>C92-'8 or greater'!C92-'12 or greater'!C92</f>
        <v>0</v>
      </c>
      <c r="J92">
        <f>D92-'8 or greater'!D92-'12 or greater'!D92</f>
        <v>0</v>
      </c>
      <c r="K92">
        <f>E92-'8 or greater'!E92-'12 or greater'!E92</f>
        <v>0</v>
      </c>
      <c r="L92">
        <f>F92-'8 or greater'!F92-'12 or greater'!F92</f>
        <v>0</v>
      </c>
    </row>
    <row r="93" spans="1:12" ht="36.5" thickBot="1" x14ac:dyDescent="0.4">
      <c r="A93" s="11" t="s">
        <v>92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H93">
        <f>B93-'8 or greater'!B93-'12 or greater'!B93</f>
        <v>0</v>
      </c>
      <c r="I93">
        <f>C93-'8 or greater'!C93-'12 or greater'!C93</f>
        <v>0</v>
      </c>
      <c r="J93">
        <f>D93-'8 or greater'!D93-'12 or greater'!D93</f>
        <v>0</v>
      </c>
      <c r="K93">
        <f>E93-'8 or greater'!E93-'12 or greater'!E93</f>
        <v>0</v>
      </c>
      <c r="L93">
        <f>F93-'8 or greater'!F93-'12 or greater'!F93</f>
        <v>0</v>
      </c>
    </row>
    <row r="94" spans="1:12" ht="36.5" thickBot="1" x14ac:dyDescent="0.4">
      <c r="A94" s="13" t="s">
        <v>93</v>
      </c>
      <c r="B94" s="14">
        <v>0</v>
      </c>
      <c r="C94" s="14">
        <v>0</v>
      </c>
      <c r="D94" s="14">
        <v>0</v>
      </c>
      <c r="E94" s="14">
        <v>0</v>
      </c>
      <c r="F94" s="14">
        <v>0</v>
      </c>
      <c r="H94">
        <f>B94-'8 or greater'!B94-'12 or greater'!B94</f>
        <v>0</v>
      </c>
      <c r="I94">
        <f>C94-'8 or greater'!C94-'12 or greater'!C94</f>
        <v>0</v>
      </c>
      <c r="J94">
        <f>D94-'8 or greater'!D94-'12 or greater'!D94</f>
        <v>0</v>
      </c>
      <c r="K94">
        <f>E94-'8 or greater'!E94-'12 or greater'!E94</f>
        <v>0</v>
      </c>
      <c r="L94">
        <f>F94-'8 or greater'!F94-'12 or greater'!F94</f>
        <v>0</v>
      </c>
    </row>
    <row r="95" spans="1:12" ht="36.5" thickBot="1" x14ac:dyDescent="0.4">
      <c r="A95" s="11" t="s">
        <v>94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H95">
        <f>B95-'8 or greater'!B95-'12 or greater'!B95</f>
        <v>0</v>
      </c>
      <c r="I95">
        <f>C95-'8 or greater'!C95-'12 or greater'!C95</f>
        <v>0</v>
      </c>
      <c r="J95">
        <f>D95-'8 or greater'!D95-'12 or greater'!D95</f>
        <v>0</v>
      </c>
      <c r="K95">
        <f>E95-'8 or greater'!E95-'12 or greater'!E95</f>
        <v>0</v>
      </c>
      <c r="L95">
        <f>F95-'8 or greater'!F95-'12 or greater'!F95</f>
        <v>0</v>
      </c>
    </row>
    <row r="96" spans="1:12" ht="36.5" thickBot="1" x14ac:dyDescent="0.4">
      <c r="A96" s="13" t="s">
        <v>95</v>
      </c>
      <c r="B96" s="14">
        <v>0</v>
      </c>
      <c r="C96" s="14">
        <v>1</v>
      </c>
      <c r="D96" s="14">
        <v>0</v>
      </c>
      <c r="E96" s="14">
        <v>0</v>
      </c>
      <c r="F96" s="14">
        <v>0</v>
      </c>
      <c r="H96">
        <f>B96-'8 or greater'!B96-'12 or greater'!B96</f>
        <v>0</v>
      </c>
      <c r="I96">
        <f>C96-'8 or greater'!C96-'12 or greater'!C96</f>
        <v>1</v>
      </c>
      <c r="J96">
        <f>D96-'8 or greater'!D96-'12 or greater'!D96</f>
        <v>0</v>
      </c>
      <c r="K96">
        <f>E96-'8 or greater'!E96-'12 or greater'!E96</f>
        <v>0</v>
      </c>
      <c r="L96">
        <f>F96-'8 or greater'!F96-'12 or greater'!F96</f>
        <v>0</v>
      </c>
    </row>
    <row r="97" spans="1:12" ht="36.5" thickBot="1" x14ac:dyDescent="0.4">
      <c r="A97" s="11" t="s">
        <v>96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H97">
        <f>B97-'8 or greater'!B97-'12 or greater'!B97</f>
        <v>0</v>
      </c>
      <c r="I97">
        <f>C97-'8 or greater'!C97-'12 or greater'!C97</f>
        <v>0</v>
      </c>
      <c r="J97">
        <f>D97-'8 or greater'!D97-'12 or greater'!D97</f>
        <v>0</v>
      </c>
      <c r="K97">
        <f>E97-'8 or greater'!E97-'12 or greater'!E97</f>
        <v>0</v>
      </c>
      <c r="L97">
        <f>F97-'8 or greater'!F97-'12 or greater'!F97</f>
        <v>0</v>
      </c>
    </row>
    <row r="98" spans="1:12" ht="36.5" thickBot="1" x14ac:dyDescent="0.4">
      <c r="A98" s="13" t="s">
        <v>97</v>
      </c>
      <c r="B98" s="14">
        <v>0</v>
      </c>
      <c r="C98" s="14">
        <v>0</v>
      </c>
      <c r="D98" s="14">
        <v>0</v>
      </c>
      <c r="E98" s="14">
        <v>0</v>
      </c>
      <c r="F98" s="14">
        <v>0</v>
      </c>
      <c r="H98">
        <f>B98-'8 or greater'!B98-'12 or greater'!B98</f>
        <v>0</v>
      </c>
      <c r="I98">
        <f>C98-'8 or greater'!C98-'12 or greater'!C98</f>
        <v>0</v>
      </c>
      <c r="J98">
        <f>D98-'8 or greater'!D98-'12 or greater'!D98</f>
        <v>0</v>
      </c>
      <c r="K98">
        <f>E98-'8 or greater'!E98-'12 or greater'!E98</f>
        <v>0</v>
      </c>
      <c r="L98">
        <f>F98-'8 or greater'!F98-'12 or greater'!F98</f>
        <v>0</v>
      </c>
    </row>
    <row r="99" spans="1:12" ht="36.5" thickBot="1" x14ac:dyDescent="0.4">
      <c r="A99" s="11" t="s">
        <v>98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H99">
        <f>B99-'8 or greater'!B99-'12 or greater'!B99</f>
        <v>0</v>
      </c>
      <c r="I99">
        <f>C99-'8 or greater'!C99-'12 or greater'!C99</f>
        <v>0</v>
      </c>
      <c r="J99">
        <f>D99-'8 or greater'!D99-'12 or greater'!D99</f>
        <v>0</v>
      </c>
      <c r="K99">
        <f>E99-'8 or greater'!E99-'12 or greater'!E99</f>
        <v>0</v>
      </c>
      <c r="L99">
        <f>F99-'8 or greater'!F99-'12 or greater'!F99</f>
        <v>0</v>
      </c>
    </row>
    <row r="100" spans="1:12" ht="36.5" thickBot="1" x14ac:dyDescent="0.4">
      <c r="A100" s="13" t="s">
        <v>99</v>
      </c>
      <c r="B100" s="14">
        <v>0</v>
      </c>
      <c r="C100" s="14">
        <v>0</v>
      </c>
      <c r="D100" s="14">
        <v>0</v>
      </c>
      <c r="E100" s="14">
        <v>0</v>
      </c>
      <c r="F100" s="14">
        <v>1</v>
      </c>
      <c r="H100">
        <f>B100-'8 or greater'!B100-'12 or greater'!B100</f>
        <v>0</v>
      </c>
      <c r="I100">
        <f>C100-'8 or greater'!C100-'12 or greater'!C100</f>
        <v>0</v>
      </c>
      <c r="J100">
        <f>D100-'8 or greater'!D100-'12 or greater'!D100</f>
        <v>0</v>
      </c>
      <c r="K100">
        <f>E100-'8 or greater'!E100-'12 or greater'!E100</f>
        <v>0</v>
      </c>
      <c r="L100">
        <f>F100-'8 or greater'!F100-'12 or greater'!F100</f>
        <v>0</v>
      </c>
    </row>
    <row r="101" spans="1:12" ht="36.5" thickBot="1" x14ac:dyDescent="0.4">
      <c r="A101" s="11" t="s">
        <v>100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H101">
        <f>B101-'8 or greater'!B101-'12 or greater'!B101</f>
        <v>0</v>
      </c>
      <c r="I101">
        <f>C101-'8 or greater'!C101-'12 or greater'!C101</f>
        <v>0</v>
      </c>
      <c r="J101">
        <f>D101-'8 or greater'!D101-'12 or greater'!D101</f>
        <v>0</v>
      </c>
      <c r="K101">
        <f>E101-'8 or greater'!E101-'12 or greater'!E101</f>
        <v>0</v>
      </c>
      <c r="L101">
        <f>F101-'8 or greater'!F101-'12 or greater'!F101</f>
        <v>0</v>
      </c>
    </row>
    <row r="102" spans="1:12" ht="36.5" thickBot="1" x14ac:dyDescent="0.4">
      <c r="A102" s="13" t="s">
        <v>101</v>
      </c>
      <c r="B102" s="14">
        <v>0</v>
      </c>
      <c r="C102" s="14">
        <v>0</v>
      </c>
      <c r="D102" s="14">
        <v>0</v>
      </c>
      <c r="E102" s="14">
        <v>1</v>
      </c>
      <c r="F102" s="14">
        <v>0</v>
      </c>
      <c r="H102">
        <f>B102-'8 or greater'!B102-'12 or greater'!B102</f>
        <v>0</v>
      </c>
      <c r="I102">
        <f>C102-'8 or greater'!C102-'12 or greater'!C102</f>
        <v>0</v>
      </c>
      <c r="J102">
        <f>D102-'8 or greater'!D102-'12 or greater'!D102</f>
        <v>0</v>
      </c>
      <c r="K102">
        <f>E102-'8 or greater'!E102-'12 or greater'!E102</f>
        <v>1</v>
      </c>
      <c r="L102">
        <f>F102-'8 or greater'!F102-'12 or greater'!F102</f>
        <v>0</v>
      </c>
    </row>
    <row r="103" spans="1:12" ht="36.5" thickBot="1" x14ac:dyDescent="0.4">
      <c r="A103" s="11" t="s">
        <v>102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H103">
        <f>B103-'8 or greater'!B103-'12 or greater'!B103</f>
        <v>0</v>
      </c>
      <c r="I103">
        <f>C103-'8 or greater'!C103-'12 or greater'!C103</f>
        <v>0</v>
      </c>
      <c r="J103">
        <f>D103-'8 or greater'!D103-'12 or greater'!D103</f>
        <v>0</v>
      </c>
      <c r="K103">
        <f>E103-'8 or greater'!E103-'12 or greater'!E103</f>
        <v>0</v>
      </c>
      <c r="L103">
        <f>F103-'8 or greater'!F103-'12 or greater'!F103</f>
        <v>0</v>
      </c>
    </row>
    <row r="104" spans="1:12" ht="36.5" thickBot="1" x14ac:dyDescent="0.4">
      <c r="A104" s="13" t="s">
        <v>103</v>
      </c>
      <c r="B104" s="14">
        <v>0</v>
      </c>
      <c r="C104" s="14">
        <v>0</v>
      </c>
      <c r="D104" s="14">
        <v>0</v>
      </c>
      <c r="E104" s="14">
        <v>0</v>
      </c>
      <c r="F104" s="14">
        <v>1</v>
      </c>
      <c r="H104">
        <f>B104-'8 or greater'!B104-'12 or greater'!B104</f>
        <v>0</v>
      </c>
      <c r="I104">
        <f>C104-'8 or greater'!C104-'12 or greater'!C104</f>
        <v>0</v>
      </c>
      <c r="J104">
        <f>D104-'8 or greater'!D104-'12 or greater'!D104</f>
        <v>0</v>
      </c>
      <c r="K104">
        <f>E104-'8 or greater'!E104-'12 or greater'!E104</f>
        <v>0</v>
      </c>
      <c r="L104">
        <f>F104-'8 or greater'!F104-'12 or greater'!F104</f>
        <v>1</v>
      </c>
    </row>
    <row r="105" spans="1:12" ht="36.5" thickBot="1" x14ac:dyDescent="0.4">
      <c r="A105" s="11" t="s">
        <v>104</v>
      </c>
      <c r="B105" s="12">
        <v>0</v>
      </c>
      <c r="C105" s="12">
        <v>0</v>
      </c>
      <c r="D105" s="12">
        <v>0</v>
      </c>
      <c r="E105" s="12">
        <v>0</v>
      </c>
      <c r="F105" s="12">
        <v>0</v>
      </c>
      <c r="H105">
        <f>B105-'8 or greater'!B105-'12 or greater'!B105</f>
        <v>0</v>
      </c>
      <c r="I105">
        <f>C105-'8 or greater'!C105-'12 or greater'!C105</f>
        <v>0</v>
      </c>
      <c r="J105">
        <f>D105-'8 or greater'!D105-'12 or greater'!D105</f>
        <v>0</v>
      </c>
      <c r="K105">
        <f>E105-'8 or greater'!E105-'12 or greater'!E105</f>
        <v>0</v>
      </c>
      <c r="L105">
        <f>F105-'8 or greater'!F105-'12 or greater'!F105</f>
        <v>0</v>
      </c>
    </row>
    <row r="106" spans="1:12" ht="36.5" thickBot="1" x14ac:dyDescent="0.4">
      <c r="A106" s="13" t="s">
        <v>105</v>
      </c>
      <c r="B106" s="14">
        <v>0</v>
      </c>
      <c r="C106" s="14">
        <v>0</v>
      </c>
      <c r="D106" s="14">
        <v>0</v>
      </c>
      <c r="E106" s="14">
        <v>0</v>
      </c>
      <c r="F106" s="14">
        <v>1</v>
      </c>
      <c r="H106">
        <f>B106-'8 or greater'!B106-'12 or greater'!B106</f>
        <v>0</v>
      </c>
      <c r="I106">
        <f>C106-'8 or greater'!C106-'12 or greater'!C106</f>
        <v>0</v>
      </c>
      <c r="J106">
        <f>D106-'8 or greater'!D106-'12 or greater'!D106</f>
        <v>0</v>
      </c>
      <c r="K106">
        <f>E106-'8 or greater'!E106-'12 or greater'!E106</f>
        <v>0</v>
      </c>
      <c r="L106">
        <f>F106-'8 or greater'!F106-'12 or greater'!F106</f>
        <v>0</v>
      </c>
    </row>
    <row r="107" spans="1:12" ht="36.5" thickBot="1" x14ac:dyDescent="0.4">
      <c r="A107" s="11" t="s">
        <v>106</v>
      </c>
      <c r="B107" s="12">
        <v>0</v>
      </c>
      <c r="C107" s="12">
        <v>0</v>
      </c>
      <c r="D107" s="12">
        <v>1</v>
      </c>
      <c r="E107" s="12">
        <v>0</v>
      </c>
      <c r="F107" s="12">
        <v>3</v>
      </c>
      <c r="H107">
        <f>B107-'8 or greater'!B107-'12 or greater'!B107</f>
        <v>0</v>
      </c>
      <c r="I107">
        <f>C107-'8 or greater'!C107-'12 or greater'!C107</f>
        <v>0</v>
      </c>
      <c r="J107">
        <f>D107-'8 or greater'!D107-'12 or greater'!D107</f>
        <v>-1</v>
      </c>
      <c r="K107">
        <f>E107-'8 or greater'!E107-'12 or greater'!E107</f>
        <v>0</v>
      </c>
      <c r="L107">
        <f>F107-'8 or greater'!F107-'12 or greater'!F107</f>
        <v>0</v>
      </c>
    </row>
    <row r="108" spans="1:12" ht="36.5" thickBot="1" x14ac:dyDescent="0.4">
      <c r="A108" s="13" t="s">
        <v>107</v>
      </c>
      <c r="B108" s="14">
        <v>0</v>
      </c>
      <c r="C108" s="14">
        <v>0</v>
      </c>
      <c r="D108" s="14">
        <v>1</v>
      </c>
      <c r="E108" s="14">
        <v>0</v>
      </c>
      <c r="F108" s="14">
        <v>0</v>
      </c>
      <c r="H108">
        <f>B108-'8 or greater'!B108-'12 or greater'!B108</f>
        <v>0</v>
      </c>
      <c r="I108">
        <f>C108-'8 or greater'!C108-'12 or greater'!C108</f>
        <v>0</v>
      </c>
      <c r="J108">
        <f>D108-'8 or greater'!D108-'12 or greater'!D108</f>
        <v>1</v>
      </c>
      <c r="K108">
        <f>E108-'8 or greater'!E108-'12 or greater'!E108</f>
        <v>0</v>
      </c>
      <c r="L108">
        <f>F108-'8 or greater'!F108-'12 or greater'!F108</f>
        <v>0</v>
      </c>
    </row>
    <row r="109" spans="1:12" ht="36.5" thickBot="1" x14ac:dyDescent="0.4">
      <c r="A109" s="11" t="s">
        <v>108</v>
      </c>
      <c r="B109" s="12">
        <v>0</v>
      </c>
      <c r="C109" s="12">
        <v>0</v>
      </c>
      <c r="D109" s="12">
        <v>1</v>
      </c>
      <c r="E109" s="12">
        <v>0</v>
      </c>
      <c r="F109" s="12">
        <v>1</v>
      </c>
      <c r="H109">
        <f>B109-'8 or greater'!B109-'12 or greater'!B109</f>
        <v>0</v>
      </c>
      <c r="I109">
        <f>C109-'8 or greater'!C109-'12 or greater'!C109</f>
        <v>0</v>
      </c>
      <c r="J109">
        <f>D109-'8 or greater'!D109-'12 or greater'!D109</f>
        <v>1</v>
      </c>
      <c r="K109">
        <f>E109-'8 or greater'!E109-'12 or greater'!E109</f>
        <v>0</v>
      </c>
      <c r="L109">
        <f>F109-'8 or greater'!F109-'12 or greater'!F109</f>
        <v>0</v>
      </c>
    </row>
    <row r="110" spans="1:12" ht="36.5" thickBot="1" x14ac:dyDescent="0.4">
      <c r="A110" s="13" t="s">
        <v>109</v>
      </c>
      <c r="B110" s="14">
        <v>0</v>
      </c>
      <c r="C110" s="14">
        <v>0</v>
      </c>
      <c r="D110" s="14">
        <v>0</v>
      </c>
      <c r="E110" s="14">
        <v>0</v>
      </c>
      <c r="F110" s="14">
        <v>0</v>
      </c>
      <c r="H110">
        <f>B110-'8 or greater'!B110-'12 or greater'!B110</f>
        <v>0</v>
      </c>
      <c r="I110">
        <f>C110-'8 or greater'!C110-'12 or greater'!C110</f>
        <v>0</v>
      </c>
      <c r="J110">
        <f>D110-'8 or greater'!D110-'12 or greater'!D110</f>
        <v>0</v>
      </c>
      <c r="K110">
        <f>E110-'8 or greater'!E110-'12 or greater'!E110</f>
        <v>0</v>
      </c>
      <c r="L110">
        <f>F110-'8 or greater'!F110-'12 or greater'!F110</f>
        <v>0</v>
      </c>
    </row>
    <row r="111" spans="1:12" ht="36.5" thickBot="1" x14ac:dyDescent="0.4">
      <c r="A111" s="11" t="s">
        <v>110</v>
      </c>
      <c r="B111" s="12">
        <v>0</v>
      </c>
      <c r="C111" s="12">
        <v>1</v>
      </c>
      <c r="D111" s="12">
        <v>0</v>
      </c>
      <c r="E111" s="12">
        <v>1</v>
      </c>
      <c r="F111" s="12">
        <v>0</v>
      </c>
      <c r="H111">
        <f>B111-'8 or greater'!B111-'12 or greater'!B111</f>
        <v>0</v>
      </c>
      <c r="I111">
        <f>C111-'8 or greater'!C111-'12 or greater'!C111</f>
        <v>0</v>
      </c>
      <c r="J111">
        <f>D111-'8 or greater'!D111-'12 or greater'!D111</f>
        <v>0</v>
      </c>
      <c r="K111">
        <f>E111-'8 or greater'!E111-'12 or greater'!E111</f>
        <v>0</v>
      </c>
      <c r="L111">
        <f>F111-'8 or greater'!F111-'12 or greater'!F111</f>
        <v>0</v>
      </c>
    </row>
    <row r="112" spans="1:12" ht="36.5" thickBot="1" x14ac:dyDescent="0.4">
      <c r="A112" s="13" t="s">
        <v>111</v>
      </c>
      <c r="B112" s="14">
        <v>1</v>
      </c>
      <c r="C112" s="14">
        <v>0</v>
      </c>
      <c r="D112" s="14">
        <v>0</v>
      </c>
      <c r="E112" s="14">
        <v>0</v>
      </c>
      <c r="F112" s="14">
        <v>0</v>
      </c>
      <c r="H112">
        <f>B112-'8 or greater'!B112-'12 or greater'!B112</f>
        <v>1</v>
      </c>
      <c r="I112">
        <f>C112-'8 or greater'!C112-'12 or greater'!C112</f>
        <v>0</v>
      </c>
      <c r="J112">
        <f>D112-'8 or greater'!D112-'12 or greater'!D112</f>
        <v>0</v>
      </c>
      <c r="K112">
        <f>E112-'8 or greater'!E112-'12 or greater'!E112</f>
        <v>0</v>
      </c>
      <c r="L112">
        <f>F112-'8 or greater'!F112-'12 or greater'!F112</f>
        <v>0</v>
      </c>
    </row>
    <row r="113" spans="1:12" ht="36.5" thickBot="1" x14ac:dyDescent="0.4">
      <c r="A113" s="11" t="s">
        <v>112</v>
      </c>
      <c r="B113" s="12">
        <v>0</v>
      </c>
      <c r="C113" s="12">
        <v>0</v>
      </c>
      <c r="D113" s="12">
        <v>0</v>
      </c>
      <c r="E113" s="12">
        <v>0</v>
      </c>
      <c r="F113" s="12">
        <v>0</v>
      </c>
      <c r="H113">
        <f>B113-'8 or greater'!B113-'12 or greater'!B113</f>
        <v>0</v>
      </c>
      <c r="I113">
        <f>C113-'8 or greater'!C113-'12 or greater'!C113</f>
        <v>0</v>
      </c>
      <c r="J113">
        <f>D113-'8 or greater'!D113-'12 or greater'!D113</f>
        <v>0</v>
      </c>
      <c r="K113">
        <f>E113-'8 or greater'!E113-'12 or greater'!E113</f>
        <v>0</v>
      </c>
      <c r="L113">
        <f>F113-'8 or greater'!F113-'12 or greater'!F113</f>
        <v>0</v>
      </c>
    </row>
    <row r="114" spans="1:12" ht="36.5" thickBot="1" x14ac:dyDescent="0.4">
      <c r="A114" s="13" t="s">
        <v>113</v>
      </c>
      <c r="B114" s="14">
        <v>1</v>
      </c>
      <c r="C114" s="14">
        <v>1</v>
      </c>
      <c r="D114" s="14">
        <v>0</v>
      </c>
      <c r="E114" s="14">
        <v>0</v>
      </c>
      <c r="F114" s="14">
        <v>0</v>
      </c>
      <c r="H114">
        <f>B114-'8 or greater'!B114-'12 or greater'!B114</f>
        <v>0</v>
      </c>
      <c r="I114">
        <f>C114-'8 or greater'!C114-'12 or greater'!C114</f>
        <v>1</v>
      </c>
      <c r="J114">
        <f>D114-'8 or greater'!D114-'12 or greater'!D114</f>
        <v>0</v>
      </c>
      <c r="K114">
        <f>E114-'8 or greater'!E114-'12 or greater'!E114</f>
        <v>0</v>
      </c>
      <c r="L114">
        <f>F114-'8 or greater'!F114-'12 or greater'!F114</f>
        <v>0</v>
      </c>
    </row>
    <row r="115" spans="1:12" ht="36.5" thickBot="1" x14ac:dyDescent="0.4">
      <c r="A115" s="11" t="s">
        <v>114</v>
      </c>
      <c r="B115" s="12">
        <v>0</v>
      </c>
      <c r="C115" s="12">
        <v>1</v>
      </c>
      <c r="D115" s="12">
        <v>0</v>
      </c>
      <c r="E115" s="12">
        <v>2</v>
      </c>
      <c r="F115" s="12">
        <v>0</v>
      </c>
      <c r="H115">
        <f>B115-'8 or greater'!B115-'12 or greater'!B115</f>
        <v>0</v>
      </c>
      <c r="I115">
        <f>C115-'8 or greater'!C115-'12 or greater'!C115</f>
        <v>0</v>
      </c>
      <c r="J115">
        <f>D115-'8 or greater'!D115-'12 or greater'!D115</f>
        <v>0</v>
      </c>
      <c r="K115">
        <f>E115-'8 or greater'!E115-'12 or greater'!E115</f>
        <v>2</v>
      </c>
      <c r="L115">
        <f>F115-'8 or greater'!F115-'12 or greater'!F115</f>
        <v>0</v>
      </c>
    </row>
    <row r="116" spans="1:12" ht="36.5" thickBot="1" x14ac:dyDescent="0.4">
      <c r="A116" s="13" t="s">
        <v>115</v>
      </c>
      <c r="B116" s="14">
        <v>0</v>
      </c>
      <c r="C116" s="14">
        <v>0</v>
      </c>
      <c r="D116" s="14">
        <v>1</v>
      </c>
      <c r="E116" s="14">
        <v>1</v>
      </c>
      <c r="F116" s="14">
        <v>0</v>
      </c>
      <c r="H116">
        <f>B116-'8 or greater'!B116-'12 or greater'!B116</f>
        <v>0</v>
      </c>
      <c r="I116">
        <f>C116-'8 or greater'!C116-'12 or greater'!C116</f>
        <v>0</v>
      </c>
      <c r="J116">
        <f>D116-'8 or greater'!D116-'12 or greater'!D116</f>
        <v>1</v>
      </c>
      <c r="K116">
        <f>E116-'8 or greater'!E116-'12 or greater'!E116</f>
        <v>1</v>
      </c>
      <c r="L116">
        <f>F116-'8 or greater'!F116-'12 or greater'!F116</f>
        <v>0</v>
      </c>
    </row>
    <row r="117" spans="1:12" ht="36.5" thickBot="1" x14ac:dyDescent="0.4">
      <c r="A117" s="11" t="s">
        <v>116</v>
      </c>
      <c r="B117" s="12">
        <v>0</v>
      </c>
      <c r="C117" s="12">
        <v>0</v>
      </c>
      <c r="D117" s="12">
        <v>0</v>
      </c>
      <c r="E117" s="12">
        <v>1</v>
      </c>
      <c r="F117" s="12">
        <v>0</v>
      </c>
      <c r="H117">
        <f>B117-'8 or greater'!B117-'12 or greater'!B117</f>
        <v>0</v>
      </c>
      <c r="I117">
        <f>C117-'8 or greater'!C117-'12 or greater'!C117</f>
        <v>0</v>
      </c>
      <c r="J117">
        <f>D117-'8 or greater'!D117-'12 or greater'!D117</f>
        <v>0</v>
      </c>
      <c r="K117">
        <f>E117-'8 or greater'!E117-'12 or greater'!E117</f>
        <v>0</v>
      </c>
      <c r="L117">
        <f>F117-'8 or greater'!F117-'12 or greater'!F117</f>
        <v>0</v>
      </c>
    </row>
    <row r="118" spans="1:12" ht="36.5" thickBot="1" x14ac:dyDescent="0.4">
      <c r="A118" s="13" t="s">
        <v>117</v>
      </c>
      <c r="B118" s="14">
        <v>1</v>
      </c>
      <c r="C118" s="14">
        <v>0</v>
      </c>
      <c r="D118" s="14">
        <v>1</v>
      </c>
      <c r="E118" s="14">
        <v>0</v>
      </c>
      <c r="F118" s="14">
        <v>0</v>
      </c>
      <c r="H118">
        <f>B118-'8 or greater'!B118-'12 or greater'!B118</f>
        <v>1</v>
      </c>
      <c r="I118">
        <f>C118-'8 or greater'!C118-'12 or greater'!C118</f>
        <v>0</v>
      </c>
      <c r="J118">
        <f>D118-'8 or greater'!D118-'12 or greater'!D118</f>
        <v>0</v>
      </c>
      <c r="K118">
        <f>E118-'8 or greater'!E118-'12 or greater'!E118</f>
        <v>0</v>
      </c>
      <c r="L118">
        <f>F118-'8 or greater'!F118-'12 or greater'!F118</f>
        <v>0</v>
      </c>
    </row>
    <row r="119" spans="1:12" ht="36.5" thickBot="1" x14ac:dyDescent="0.4">
      <c r="A119" s="11" t="s">
        <v>118</v>
      </c>
      <c r="B119" s="12">
        <v>0</v>
      </c>
      <c r="C119" s="12">
        <v>0</v>
      </c>
      <c r="D119" s="12">
        <v>1</v>
      </c>
      <c r="E119" s="12">
        <v>0</v>
      </c>
      <c r="F119" s="12">
        <v>0</v>
      </c>
      <c r="H119">
        <f>B119-'8 or greater'!B119-'12 or greater'!B119</f>
        <v>0</v>
      </c>
      <c r="I119">
        <f>C119-'8 or greater'!C119-'12 or greater'!C119</f>
        <v>0</v>
      </c>
      <c r="J119">
        <f>D119-'8 or greater'!D119-'12 or greater'!D119</f>
        <v>1</v>
      </c>
      <c r="K119">
        <f>E119-'8 or greater'!E119-'12 or greater'!E119</f>
        <v>0</v>
      </c>
      <c r="L119">
        <f>F119-'8 or greater'!F119-'12 or greater'!F119</f>
        <v>0</v>
      </c>
    </row>
    <row r="120" spans="1:12" ht="36.5" thickBot="1" x14ac:dyDescent="0.4">
      <c r="A120" s="13" t="s">
        <v>119</v>
      </c>
      <c r="B120" s="14">
        <v>0</v>
      </c>
      <c r="C120" s="14">
        <v>0</v>
      </c>
      <c r="D120" s="14">
        <v>1</v>
      </c>
      <c r="E120" s="14">
        <v>0</v>
      </c>
      <c r="F120" s="14">
        <v>0</v>
      </c>
      <c r="H120">
        <f>B120-'8 or greater'!B120-'12 or greater'!B120</f>
        <v>0</v>
      </c>
      <c r="I120">
        <f>C120-'8 or greater'!C120-'12 or greater'!C120</f>
        <v>0</v>
      </c>
      <c r="J120">
        <f>D120-'8 or greater'!D120-'12 or greater'!D120</f>
        <v>1</v>
      </c>
      <c r="K120">
        <f>E120-'8 or greater'!E120-'12 or greater'!E120</f>
        <v>0</v>
      </c>
      <c r="L120">
        <f>F120-'8 or greater'!F120-'12 or greater'!F120</f>
        <v>0</v>
      </c>
    </row>
    <row r="121" spans="1:12" ht="36.5" thickBot="1" x14ac:dyDescent="0.4">
      <c r="A121" s="11" t="s">
        <v>120</v>
      </c>
      <c r="B121" s="12">
        <v>0</v>
      </c>
      <c r="C121" s="12">
        <v>1</v>
      </c>
      <c r="D121" s="12">
        <v>0</v>
      </c>
      <c r="E121" s="12">
        <v>0</v>
      </c>
      <c r="F121" s="12">
        <v>0</v>
      </c>
      <c r="H121">
        <f>B121-'8 or greater'!B121-'12 or greater'!B121</f>
        <v>0</v>
      </c>
      <c r="I121">
        <f>C121-'8 or greater'!C121-'12 or greater'!C121</f>
        <v>1</v>
      </c>
      <c r="J121">
        <f>D121-'8 or greater'!D121-'12 or greater'!D121</f>
        <v>0</v>
      </c>
      <c r="K121">
        <f>E121-'8 or greater'!E121-'12 or greater'!E121</f>
        <v>0</v>
      </c>
      <c r="L121">
        <f>F121-'8 or greater'!F121-'12 or greater'!F121</f>
        <v>0</v>
      </c>
    </row>
    <row r="122" spans="1:12" ht="36.5" thickBot="1" x14ac:dyDescent="0.4">
      <c r="A122" s="13" t="s">
        <v>121</v>
      </c>
      <c r="B122" s="14">
        <v>0</v>
      </c>
      <c r="C122" s="14">
        <v>0</v>
      </c>
      <c r="D122" s="14">
        <v>0</v>
      </c>
      <c r="E122" s="14">
        <v>0</v>
      </c>
      <c r="F122" s="14">
        <v>0</v>
      </c>
      <c r="H122">
        <f>B122-'8 or greater'!B122-'12 or greater'!B122</f>
        <v>0</v>
      </c>
      <c r="I122">
        <f>C122-'8 or greater'!C122-'12 or greater'!C122</f>
        <v>0</v>
      </c>
      <c r="J122">
        <f>D122-'8 or greater'!D122-'12 or greater'!D122</f>
        <v>0</v>
      </c>
      <c r="K122">
        <f>E122-'8 or greater'!E122-'12 or greater'!E122</f>
        <v>0</v>
      </c>
      <c r="L122">
        <f>F122-'8 or greater'!F122-'12 or greater'!F122</f>
        <v>0</v>
      </c>
    </row>
    <row r="123" spans="1:12" ht="36.5" thickBot="1" x14ac:dyDescent="0.4">
      <c r="A123" s="11" t="s">
        <v>122</v>
      </c>
      <c r="B123" s="12">
        <v>0</v>
      </c>
      <c r="C123" s="12">
        <v>0</v>
      </c>
      <c r="D123" s="12">
        <v>0</v>
      </c>
      <c r="E123" s="12">
        <v>0</v>
      </c>
      <c r="F123" s="12">
        <v>1</v>
      </c>
      <c r="H123">
        <f>B123-'8 or greater'!B123-'12 or greater'!B123</f>
        <v>0</v>
      </c>
      <c r="I123">
        <f>C123-'8 or greater'!C123-'12 or greater'!C123</f>
        <v>0</v>
      </c>
      <c r="J123">
        <f>D123-'8 or greater'!D123-'12 or greater'!D123</f>
        <v>0</v>
      </c>
      <c r="K123">
        <f>E123-'8 or greater'!E123-'12 or greater'!E123</f>
        <v>0</v>
      </c>
      <c r="L123">
        <f>F123-'8 or greater'!F123-'12 or greater'!F123</f>
        <v>1</v>
      </c>
    </row>
    <row r="124" spans="1:12" ht="36.5" thickBot="1" x14ac:dyDescent="0.4">
      <c r="A124" s="13" t="s">
        <v>123</v>
      </c>
      <c r="B124" s="14">
        <v>0</v>
      </c>
      <c r="C124" s="14">
        <v>0</v>
      </c>
      <c r="D124" s="14">
        <v>0</v>
      </c>
      <c r="E124" s="14">
        <v>0</v>
      </c>
      <c r="F124" s="14">
        <v>1</v>
      </c>
      <c r="H124">
        <f>B124-'8 or greater'!B124-'12 or greater'!B124</f>
        <v>0</v>
      </c>
      <c r="I124">
        <f>C124-'8 or greater'!C124-'12 or greater'!C124</f>
        <v>0</v>
      </c>
      <c r="J124">
        <f>D124-'8 or greater'!D124-'12 or greater'!D124</f>
        <v>0</v>
      </c>
      <c r="K124">
        <f>E124-'8 or greater'!E124-'12 or greater'!E124</f>
        <v>0</v>
      </c>
      <c r="L124">
        <f>F124-'8 or greater'!F124-'12 or greater'!F124</f>
        <v>1</v>
      </c>
    </row>
    <row r="125" spans="1:12" ht="36.5" thickBot="1" x14ac:dyDescent="0.4">
      <c r="A125" s="11" t="s">
        <v>124</v>
      </c>
      <c r="B125" s="12">
        <v>0</v>
      </c>
      <c r="C125" s="12">
        <v>0</v>
      </c>
      <c r="D125" s="12">
        <v>0</v>
      </c>
      <c r="E125" s="12">
        <v>1</v>
      </c>
      <c r="F125" s="12">
        <v>1</v>
      </c>
      <c r="H125">
        <f>B125-'8 or greater'!B125-'12 or greater'!B125</f>
        <v>0</v>
      </c>
      <c r="I125">
        <f>C125-'8 or greater'!C125-'12 or greater'!C125</f>
        <v>0</v>
      </c>
      <c r="J125">
        <f>D125-'8 or greater'!D125-'12 or greater'!D125</f>
        <v>0</v>
      </c>
      <c r="K125">
        <f>E125-'8 or greater'!E125-'12 or greater'!E125</f>
        <v>1</v>
      </c>
      <c r="L125">
        <f>F125-'8 or greater'!F125-'12 or greater'!F125</f>
        <v>0</v>
      </c>
    </row>
    <row r="126" spans="1:12" ht="36.5" thickBot="1" x14ac:dyDescent="0.4">
      <c r="A126" s="13" t="s">
        <v>125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H126">
        <f>B126-'8 or greater'!B126-'12 or greater'!B126</f>
        <v>0</v>
      </c>
      <c r="I126">
        <f>C126-'8 or greater'!C126-'12 or greater'!C126</f>
        <v>0</v>
      </c>
      <c r="J126">
        <f>D126-'8 or greater'!D126-'12 or greater'!D126</f>
        <v>0</v>
      </c>
      <c r="K126">
        <f>E126-'8 or greater'!E126-'12 or greater'!E126</f>
        <v>0</v>
      </c>
      <c r="L126">
        <f>F126-'8 or greater'!F126-'12 or greater'!F126</f>
        <v>0</v>
      </c>
    </row>
    <row r="127" spans="1:12" ht="36.5" thickBot="1" x14ac:dyDescent="0.4">
      <c r="A127" s="11" t="s">
        <v>126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H127">
        <f>B127-'8 or greater'!B127-'12 or greater'!B127</f>
        <v>0</v>
      </c>
      <c r="I127">
        <f>C127-'8 or greater'!C127-'12 or greater'!C127</f>
        <v>0</v>
      </c>
      <c r="J127">
        <f>D127-'8 or greater'!D127-'12 or greater'!D127</f>
        <v>0</v>
      </c>
      <c r="K127">
        <f>E127-'8 or greater'!E127-'12 or greater'!E127</f>
        <v>0</v>
      </c>
      <c r="L127">
        <f>F127-'8 or greater'!F127-'12 or greater'!F127</f>
        <v>0</v>
      </c>
    </row>
    <row r="128" spans="1:12" ht="36.5" thickBot="1" x14ac:dyDescent="0.4">
      <c r="A128" s="13" t="s">
        <v>127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H128">
        <f>B128-'8 or greater'!B128-'12 or greater'!B128</f>
        <v>0</v>
      </c>
      <c r="I128">
        <f>C128-'8 or greater'!C128-'12 or greater'!C128</f>
        <v>0</v>
      </c>
      <c r="J128">
        <f>D128-'8 or greater'!D128-'12 or greater'!D128</f>
        <v>0</v>
      </c>
      <c r="K128">
        <f>E128-'8 or greater'!E128-'12 or greater'!E128</f>
        <v>0</v>
      </c>
      <c r="L128">
        <f>F128-'8 or greater'!F128-'12 or greater'!F128</f>
        <v>0</v>
      </c>
    </row>
    <row r="129" spans="1:12" ht="36.5" thickBot="1" x14ac:dyDescent="0.4">
      <c r="A129" s="11" t="s">
        <v>128</v>
      </c>
      <c r="B129" s="12">
        <v>0</v>
      </c>
      <c r="C129" s="12">
        <v>0</v>
      </c>
      <c r="D129" s="12">
        <v>0</v>
      </c>
      <c r="E129" s="12">
        <v>0</v>
      </c>
      <c r="F129" s="12">
        <v>0</v>
      </c>
      <c r="H129">
        <f>B129-'8 or greater'!B129-'12 or greater'!B129</f>
        <v>0</v>
      </c>
      <c r="I129">
        <f>C129-'8 or greater'!C129-'12 or greater'!C129</f>
        <v>0</v>
      </c>
      <c r="J129">
        <f>D129-'8 or greater'!D129-'12 or greater'!D129</f>
        <v>0</v>
      </c>
      <c r="K129">
        <f>E129-'8 or greater'!E129-'12 or greater'!E129</f>
        <v>0</v>
      </c>
      <c r="L129">
        <f>F129-'8 or greater'!F129-'12 or greater'!F129</f>
        <v>0</v>
      </c>
    </row>
    <row r="130" spans="1:12" ht="36.5" thickBot="1" x14ac:dyDescent="0.4">
      <c r="A130" s="13" t="s">
        <v>129</v>
      </c>
      <c r="B130" s="14">
        <v>0</v>
      </c>
      <c r="C130" s="14">
        <v>0</v>
      </c>
      <c r="D130" s="14">
        <v>0</v>
      </c>
      <c r="E130" s="14">
        <v>0</v>
      </c>
      <c r="F130" s="14">
        <v>1</v>
      </c>
      <c r="H130">
        <f>B130-'8 or greater'!B130-'12 or greater'!B130</f>
        <v>0</v>
      </c>
      <c r="I130">
        <f>C130-'8 or greater'!C130-'12 or greater'!C130</f>
        <v>0</v>
      </c>
      <c r="J130">
        <f>D130-'8 or greater'!D130-'12 or greater'!D130</f>
        <v>0</v>
      </c>
      <c r="K130">
        <f>E130-'8 or greater'!E130-'12 or greater'!E130</f>
        <v>0</v>
      </c>
      <c r="L130">
        <f>F130-'8 or greater'!F130-'12 or greater'!F130</f>
        <v>1</v>
      </c>
    </row>
    <row r="131" spans="1:12" ht="36.5" thickBot="1" x14ac:dyDescent="0.4">
      <c r="A131" s="11" t="s">
        <v>130</v>
      </c>
      <c r="B131" s="12">
        <v>0</v>
      </c>
      <c r="C131" s="12">
        <v>0</v>
      </c>
      <c r="D131" s="12">
        <v>0</v>
      </c>
      <c r="E131" s="12">
        <v>0</v>
      </c>
      <c r="F131" s="12">
        <v>0</v>
      </c>
      <c r="H131">
        <f>B131-'8 or greater'!B131-'12 or greater'!B131</f>
        <v>0</v>
      </c>
      <c r="I131">
        <f>C131-'8 or greater'!C131-'12 or greater'!C131</f>
        <v>0</v>
      </c>
      <c r="J131">
        <f>D131-'8 or greater'!D131-'12 or greater'!D131</f>
        <v>0</v>
      </c>
      <c r="K131">
        <f>E131-'8 or greater'!E131-'12 or greater'!E131</f>
        <v>0</v>
      </c>
      <c r="L131">
        <f>F131-'8 or greater'!F131-'12 or greater'!F131</f>
        <v>0</v>
      </c>
    </row>
    <row r="132" spans="1:12" ht="36.5" thickBot="1" x14ac:dyDescent="0.4">
      <c r="A132" s="13" t="s">
        <v>131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H132">
        <f>B132-'8 or greater'!B132-'12 or greater'!B132</f>
        <v>0</v>
      </c>
      <c r="I132">
        <f>C132-'8 or greater'!C132-'12 or greater'!C132</f>
        <v>0</v>
      </c>
      <c r="J132">
        <f>D132-'8 or greater'!D132-'12 or greater'!D132</f>
        <v>0</v>
      </c>
      <c r="K132">
        <f>E132-'8 or greater'!E132-'12 or greater'!E132</f>
        <v>0</v>
      </c>
      <c r="L132">
        <f>F132-'8 or greater'!F132-'12 or greater'!F132</f>
        <v>0</v>
      </c>
    </row>
    <row r="133" spans="1:12" ht="36.5" thickBot="1" x14ac:dyDescent="0.4">
      <c r="A133" s="11" t="s">
        <v>132</v>
      </c>
      <c r="B133" s="12">
        <v>0</v>
      </c>
      <c r="C133" s="12">
        <v>0</v>
      </c>
      <c r="D133" s="12">
        <v>0</v>
      </c>
      <c r="E133" s="12">
        <v>0</v>
      </c>
      <c r="F133" s="12">
        <v>0</v>
      </c>
      <c r="H133">
        <f>B133-'8 or greater'!B133-'12 or greater'!B133</f>
        <v>0</v>
      </c>
      <c r="I133">
        <f>C133-'8 or greater'!C133-'12 or greater'!C133</f>
        <v>0</v>
      </c>
      <c r="J133">
        <f>D133-'8 or greater'!D133-'12 or greater'!D133</f>
        <v>0</v>
      </c>
      <c r="K133">
        <f>E133-'8 or greater'!E133-'12 or greater'!E133</f>
        <v>0</v>
      </c>
      <c r="L133">
        <f>F133-'8 or greater'!F133-'12 or greater'!F133</f>
        <v>0</v>
      </c>
    </row>
    <row r="134" spans="1:12" ht="36.5" thickBot="1" x14ac:dyDescent="0.4">
      <c r="A134" s="13" t="s">
        <v>133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H134">
        <f>B134-'8 or greater'!B134-'12 or greater'!B134</f>
        <v>0</v>
      </c>
      <c r="I134">
        <f>C134-'8 or greater'!C134-'12 or greater'!C134</f>
        <v>0</v>
      </c>
      <c r="J134">
        <f>D134-'8 or greater'!D134-'12 or greater'!D134</f>
        <v>0</v>
      </c>
      <c r="K134">
        <f>E134-'8 or greater'!E134-'12 or greater'!E134</f>
        <v>0</v>
      </c>
      <c r="L134">
        <f>F134-'8 or greater'!F134-'12 or greater'!F134</f>
        <v>0</v>
      </c>
    </row>
    <row r="135" spans="1:12" ht="36.5" thickBot="1" x14ac:dyDescent="0.4">
      <c r="A135" s="11" t="s">
        <v>134</v>
      </c>
      <c r="B135" s="12">
        <v>0</v>
      </c>
      <c r="C135" s="12">
        <v>0</v>
      </c>
      <c r="D135" s="12">
        <v>0</v>
      </c>
      <c r="E135" s="12">
        <v>0</v>
      </c>
      <c r="F135" s="12">
        <v>0</v>
      </c>
      <c r="H135">
        <f>B135-'8 or greater'!B135-'12 or greater'!B135</f>
        <v>0</v>
      </c>
      <c r="I135">
        <f>C135-'8 or greater'!C135-'12 or greater'!C135</f>
        <v>0</v>
      </c>
      <c r="J135">
        <f>D135-'8 or greater'!D135-'12 or greater'!D135</f>
        <v>0</v>
      </c>
      <c r="K135">
        <f>E135-'8 or greater'!E135-'12 or greater'!E135</f>
        <v>0</v>
      </c>
      <c r="L135">
        <f>F135-'8 or greater'!F135-'12 or greater'!F135</f>
        <v>0</v>
      </c>
    </row>
    <row r="136" spans="1:12" ht="36.5" thickBot="1" x14ac:dyDescent="0.4">
      <c r="A136" s="13" t="s">
        <v>135</v>
      </c>
      <c r="B136" s="14">
        <v>0</v>
      </c>
      <c r="C136" s="14">
        <v>0</v>
      </c>
      <c r="D136" s="14">
        <v>0</v>
      </c>
      <c r="E136" s="14">
        <v>0</v>
      </c>
      <c r="F136" s="14">
        <v>0</v>
      </c>
      <c r="H136">
        <f>B136-'8 or greater'!B136-'12 or greater'!B136</f>
        <v>0</v>
      </c>
      <c r="I136">
        <f>C136-'8 or greater'!C136-'12 or greater'!C136</f>
        <v>0</v>
      </c>
      <c r="J136">
        <f>D136-'8 or greater'!D136-'12 or greater'!D136</f>
        <v>0</v>
      </c>
      <c r="K136">
        <f>E136-'8 or greater'!E136-'12 or greater'!E136</f>
        <v>0</v>
      </c>
      <c r="L136">
        <f>F136-'8 or greater'!F136-'12 or greater'!F136</f>
        <v>0</v>
      </c>
    </row>
    <row r="137" spans="1:12" ht="36.5" thickBot="1" x14ac:dyDescent="0.4">
      <c r="A137" s="11" t="s">
        <v>136</v>
      </c>
      <c r="B137" s="12">
        <v>1</v>
      </c>
      <c r="C137" s="12">
        <v>0</v>
      </c>
      <c r="D137" s="12">
        <v>1</v>
      </c>
      <c r="E137" s="12">
        <v>0</v>
      </c>
      <c r="F137" s="12">
        <v>0</v>
      </c>
      <c r="H137">
        <f>B137-'8 or greater'!B137-'12 or greater'!B137</f>
        <v>0</v>
      </c>
      <c r="I137">
        <f>C137-'8 or greater'!C137-'12 or greater'!C137</f>
        <v>0</v>
      </c>
      <c r="J137">
        <f>D137-'8 or greater'!D137-'12 or greater'!D137</f>
        <v>0</v>
      </c>
      <c r="K137">
        <f>E137-'8 or greater'!E137-'12 or greater'!E137</f>
        <v>0</v>
      </c>
      <c r="L137">
        <f>F137-'8 or greater'!F137-'12 or greater'!F137</f>
        <v>0</v>
      </c>
    </row>
    <row r="138" spans="1:12" ht="36.5" thickBot="1" x14ac:dyDescent="0.4">
      <c r="A138" s="13" t="s">
        <v>137</v>
      </c>
      <c r="B138" s="14">
        <v>0</v>
      </c>
      <c r="C138" s="14">
        <v>0</v>
      </c>
      <c r="D138" s="14">
        <v>0</v>
      </c>
      <c r="E138" s="14">
        <v>0</v>
      </c>
      <c r="F138" s="14">
        <v>1</v>
      </c>
      <c r="H138">
        <f>B138-'8 or greater'!B138-'12 or greater'!B138</f>
        <v>0</v>
      </c>
      <c r="I138">
        <f>C138-'8 or greater'!C138-'12 or greater'!C138</f>
        <v>0</v>
      </c>
      <c r="J138">
        <f>D138-'8 or greater'!D138-'12 or greater'!D138</f>
        <v>0</v>
      </c>
      <c r="K138">
        <f>E138-'8 or greater'!E138-'12 or greater'!E138</f>
        <v>0</v>
      </c>
      <c r="L138">
        <f>F138-'8 or greater'!F138-'12 or greater'!F138</f>
        <v>1</v>
      </c>
    </row>
    <row r="139" spans="1:12" ht="36" x14ac:dyDescent="0.35">
      <c r="A139" s="11" t="s">
        <v>138</v>
      </c>
      <c r="B139" s="12">
        <v>0</v>
      </c>
      <c r="C139" s="12">
        <v>0</v>
      </c>
      <c r="D139" s="12">
        <v>0</v>
      </c>
      <c r="E139" s="12">
        <v>0</v>
      </c>
      <c r="F139" s="12">
        <v>0</v>
      </c>
      <c r="H139">
        <f>B139-'8 or greater'!B139-'12 or greater'!B139</f>
        <v>0</v>
      </c>
      <c r="I139">
        <f>C139-'8 or greater'!C139-'12 or greater'!C139</f>
        <v>0</v>
      </c>
      <c r="J139">
        <f>D139-'8 or greater'!D139-'12 or greater'!D139</f>
        <v>0</v>
      </c>
      <c r="K139">
        <f>E139-'8 or greater'!E139-'12 or greater'!E139</f>
        <v>0</v>
      </c>
      <c r="L139">
        <f>F139-'8 or greater'!F139-'12 or greater'!F139</f>
        <v>0</v>
      </c>
    </row>
    <row r="140" spans="1:12" ht="18.5" thickBot="1" x14ac:dyDescent="0.4">
      <c r="A140" s="15" t="s">
        <v>139</v>
      </c>
      <c r="B140" s="15" t="s">
        <v>140</v>
      </c>
      <c r="C140" s="15" t="s">
        <v>141</v>
      </c>
      <c r="D140" s="15" t="s">
        <v>142</v>
      </c>
      <c r="E140" s="15" t="s">
        <v>143</v>
      </c>
      <c r="F140" s="15" t="s">
        <v>144</v>
      </c>
      <c r="G140" s="15" t="s">
        <v>139</v>
      </c>
      <c r="H140" s="15" t="s">
        <v>140</v>
      </c>
      <c r="I140" s="15" t="s">
        <v>141</v>
      </c>
      <c r="J140" s="15" t="s">
        <v>142</v>
      </c>
      <c r="K140" s="15" t="s">
        <v>143</v>
      </c>
      <c r="L140" s="15" t="s">
        <v>144</v>
      </c>
    </row>
  </sheetData>
  <autoFilter ref="P1:Y1" xr:uid="{20326B1E-2E31-45C6-B31B-D1EAFDC0340E}">
    <sortState xmlns:xlrd2="http://schemas.microsoft.com/office/spreadsheetml/2017/richdata2" ref="P2:Y5">
      <sortCondition ref="T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5A058-12D5-4B04-86E5-9CB7396E64B4}">
  <dimension ref="A1:Y139"/>
  <sheetViews>
    <sheetView topLeftCell="J1" workbookViewId="0">
      <selection activeCell="X1" sqref="X1:Y4"/>
    </sheetView>
  </sheetViews>
  <sheetFormatPr defaultRowHeight="14.5" x14ac:dyDescent="0.35"/>
  <cols>
    <col min="7" max="7" width="9.1796875" style="19"/>
  </cols>
  <sheetData>
    <row r="1" spans="1:25" x14ac:dyDescent="0.35">
      <c r="B1" t="s">
        <v>140</v>
      </c>
      <c r="C1" t="s">
        <v>141</v>
      </c>
      <c r="D1" t="s">
        <v>142</v>
      </c>
      <c r="E1" t="s">
        <v>143</v>
      </c>
      <c r="F1" t="s">
        <v>144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P1" t="s">
        <v>140</v>
      </c>
      <c r="Q1" t="s">
        <v>187</v>
      </c>
      <c r="R1" t="s">
        <v>141</v>
      </c>
      <c r="S1" t="s">
        <v>188</v>
      </c>
      <c r="T1" t="s">
        <v>142</v>
      </c>
      <c r="U1" t="s">
        <v>189</v>
      </c>
      <c r="V1" t="s">
        <v>143</v>
      </c>
      <c r="W1" t="s">
        <v>190</v>
      </c>
      <c r="X1" t="s">
        <v>144</v>
      </c>
      <c r="Y1" t="s">
        <v>191</v>
      </c>
    </row>
    <row r="2" spans="1:25" ht="36.5" thickBot="1" x14ac:dyDescent="0.4">
      <c r="A2" s="9" t="s">
        <v>1</v>
      </c>
      <c r="B2" s="10">
        <v>0</v>
      </c>
      <c r="C2" s="10">
        <v>1</v>
      </c>
      <c r="D2" s="10">
        <v>0</v>
      </c>
      <c r="E2" s="10">
        <v>0</v>
      </c>
      <c r="F2" s="10">
        <v>0</v>
      </c>
      <c r="H2">
        <f>B2-'12 or greater'!B2</f>
        <v>0</v>
      </c>
      <c r="I2">
        <f>C2-'12 or greater'!C2</f>
        <v>1</v>
      </c>
      <c r="J2">
        <f>D2-'12 or greater'!D2</f>
        <v>0</v>
      </c>
      <c r="K2">
        <f>E2-'12 or greater'!E2</f>
        <v>0</v>
      </c>
      <c r="L2">
        <f>F2-'12 or greater'!F2</f>
        <v>0</v>
      </c>
      <c r="P2">
        <v>0</v>
      </c>
      <c r="Q2">
        <f>COUNTIF($H$2:$H$139,P2)</f>
        <v>130</v>
      </c>
      <c r="R2">
        <v>1</v>
      </c>
      <c r="S2">
        <f>COUNTIF($I$2:$I$139,R2)</f>
        <v>9</v>
      </c>
      <c r="T2">
        <v>0</v>
      </c>
      <c r="U2">
        <f>COUNTIF($J$2:$J$139,T2)</f>
        <v>134</v>
      </c>
      <c r="V2">
        <v>0</v>
      </c>
      <c r="W2">
        <f>COUNTIF($K$2:$K$139,V2)</f>
        <v>129</v>
      </c>
      <c r="X2">
        <v>0</v>
      </c>
      <c r="Y2">
        <f>COUNTIF($L$2:$L$139,X2)</f>
        <v>121</v>
      </c>
    </row>
    <row r="3" spans="1:25" ht="36.5" thickBot="1" x14ac:dyDescent="0.4">
      <c r="A3" s="11" t="s">
        <v>2</v>
      </c>
      <c r="B3" s="12">
        <v>0</v>
      </c>
      <c r="C3" s="12">
        <v>1</v>
      </c>
      <c r="D3" s="12">
        <v>0</v>
      </c>
      <c r="E3" s="12">
        <v>0</v>
      </c>
      <c r="F3" s="12">
        <v>0</v>
      </c>
      <c r="H3">
        <f>B3-'12 or greater'!B3</f>
        <v>0</v>
      </c>
      <c r="I3">
        <f>C3-'12 or greater'!C3</f>
        <v>1</v>
      </c>
      <c r="J3">
        <f>D3-'12 or greater'!D3</f>
        <v>0</v>
      </c>
      <c r="K3">
        <f>E3-'12 or greater'!E3</f>
        <v>0</v>
      </c>
      <c r="L3">
        <f>F3-'12 or greater'!F3</f>
        <v>0</v>
      </c>
      <c r="P3">
        <v>1</v>
      </c>
      <c r="Q3">
        <f>COUNTIF($H$2:$H$139,P3)</f>
        <v>7</v>
      </c>
      <c r="R3">
        <v>0</v>
      </c>
      <c r="S3">
        <f>COUNTIF($I$2:$I$139,R3)</f>
        <v>129</v>
      </c>
      <c r="T3">
        <v>1</v>
      </c>
      <c r="U3">
        <f>COUNTIF($J$2:$J$139,T3)</f>
        <v>4</v>
      </c>
      <c r="V3">
        <v>1</v>
      </c>
      <c r="W3">
        <f>COUNTIF($K$2:$K$139,V3)</f>
        <v>9</v>
      </c>
      <c r="X3">
        <v>1</v>
      </c>
      <c r="Y3">
        <f>COUNTIF($L$2:$L$139,X3)</f>
        <v>16</v>
      </c>
    </row>
    <row r="4" spans="1:25" ht="36.5" thickBot="1" x14ac:dyDescent="0.4">
      <c r="A4" s="13" t="s">
        <v>3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H4">
        <f>B4-'12 or greater'!B4</f>
        <v>0</v>
      </c>
      <c r="I4">
        <f>C4-'12 or greater'!C4</f>
        <v>0</v>
      </c>
      <c r="J4">
        <f>D4-'12 or greater'!D4</f>
        <v>0</v>
      </c>
      <c r="K4">
        <f>E4-'12 or greater'!E4</f>
        <v>0</v>
      </c>
      <c r="L4">
        <f>F4-'12 or greater'!F4</f>
        <v>0</v>
      </c>
      <c r="P4">
        <v>2</v>
      </c>
      <c r="Q4">
        <f>COUNTIF($H$2:$H$139,P4)</f>
        <v>1</v>
      </c>
      <c r="X4">
        <v>3</v>
      </c>
      <c r="Y4">
        <f>COUNTIF($L$2:$L$139,X4)</f>
        <v>1</v>
      </c>
    </row>
    <row r="5" spans="1:25" ht="36.5" thickBot="1" x14ac:dyDescent="0.4">
      <c r="A5" s="11" t="s">
        <v>4</v>
      </c>
      <c r="B5" s="12">
        <v>0</v>
      </c>
      <c r="C5" s="12">
        <v>0</v>
      </c>
      <c r="D5" s="12">
        <v>0</v>
      </c>
      <c r="E5" s="12">
        <v>1</v>
      </c>
      <c r="F5" s="12">
        <v>0</v>
      </c>
      <c r="H5">
        <f>B5-'12 or greater'!B5</f>
        <v>0</v>
      </c>
      <c r="I5">
        <f>C5-'12 or greater'!C5</f>
        <v>0</v>
      </c>
      <c r="J5">
        <f>D5-'12 or greater'!D5</f>
        <v>0</v>
      </c>
      <c r="K5">
        <f>E5-'12 or greater'!E5</f>
        <v>1</v>
      </c>
      <c r="L5">
        <f>F5-'12 or greater'!F5</f>
        <v>0</v>
      </c>
    </row>
    <row r="6" spans="1:25" ht="36.5" thickBot="1" x14ac:dyDescent="0.4">
      <c r="A6" s="13" t="s">
        <v>5</v>
      </c>
      <c r="B6" s="14">
        <v>0</v>
      </c>
      <c r="C6" s="14">
        <v>0</v>
      </c>
      <c r="D6" s="14">
        <v>1</v>
      </c>
      <c r="E6" s="14">
        <v>0</v>
      </c>
      <c r="F6" s="14">
        <v>0</v>
      </c>
      <c r="H6">
        <f>B6-'12 or greater'!B6</f>
        <v>0</v>
      </c>
      <c r="I6">
        <f>C6-'12 or greater'!C6</f>
        <v>0</v>
      </c>
      <c r="J6">
        <f>D6-'12 or greater'!D6</f>
        <v>0</v>
      </c>
      <c r="K6">
        <f>E6-'12 or greater'!E6</f>
        <v>0</v>
      </c>
      <c r="L6">
        <f>F6-'12 or greater'!F6</f>
        <v>0</v>
      </c>
    </row>
    <row r="7" spans="1:25" ht="36.5" thickBot="1" x14ac:dyDescent="0.4">
      <c r="A7" s="11" t="s">
        <v>6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H7">
        <f>B7-'12 or greater'!B7</f>
        <v>0</v>
      </c>
      <c r="I7">
        <f>C7-'12 or greater'!C7</f>
        <v>0</v>
      </c>
      <c r="J7">
        <f>D7-'12 or greater'!D7</f>
        <v>0</v>
      </c>
      <c r="K7">
        <f>E7-'12 or greater'!E7</f>
        <v>0</v>
      </c>
      <c r="L7">
        <f>F7-'12 or greater'!F7</f>
        <v>0</v>
      </c>
    </row>
    <row r="8" spans="1:25" ht="36.5" thickBot="1" x14ac:dyDescent="0.4">
      <c r="A8" s="13" t="s">
        <v>7</v>
      </c>
      <c r="B8" s="14">
        <v>0</v>
      </c>
      <c r="C8" s="14">
        <v>0</v>
      </c>
      <c r="D8" s="14">
        <v>0</v>
      </c>
      <c r="E8" s="14">
        <v>1</v>
      </c>
      <c r="F8" s="14">
        <v>0</v>
      </c>
      <c r="H8">
        <f>B8-'12 or greater'!B8</f>
        <v>0</v>
      </c>
      <c r="I8">
        <f>C8-'12 or greater'!C8</f>
        <v>0</v>
      </c>
      <c r="J8">
        <f>D8-'12 or greater'!D8</f>
        <v>0</v>
      </c>
      <c r="K8">
        <f>E8-'12 or greater'!E8</f>
        <v>1</v>
      </c>
      <c r="L8">
        <f>F8-'12 or greater'!F8</f>
        <v>0</v>
      </c>
    </row>
    <row r="9" spans="1:25" ht="36.5" thickBot="1" x14ac:dyDescent="0.4">
      <c r="A9" s="11" t="s">
        <v>8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H9">
        <f>B9-'12 or greater'!B9</f>
        <v>0</v>
      </c>
      <c r="I9">
        <f>C9-'12 or greater'!C9</f>
        <v>0</v>
      </c>
      <c r="J9">
        <f>D9-'12 or greater'!D9</f>
        <v>0</v>
      </c>
      <c r="K9">
        <f>E9-'12 or greater'!E9</f>
        <v>0</v>
      </c>
      <c r="L9">
        <f>F9-'12 or greater'!F9</f>
        <v>0</v>
      </c>
    </row>
    <row r="10" spans="1:25" ht="36.5" thickBot="1" x14ac:dyDescent="0.4">
      <c r="A10" s="13" t="s">
        <v>9</v>
      </c>
      <c r="B10" s="14">
        <v>0</v>
      </c>
      <c r="C10" s="14">
        <v>0</v>
      </c>
      <c r="D10" s="14">
        <v>0</v>
      </c>
      <c r="E10" s="14">
        <v>1</v>
      </c>
      <c r="F10" s="14">
        <v>0</v>
      </c>
      <c r="H10">
        <f>B10-'12 or greater'!B10</f>
        <v>0</v>
      </c>
      <c r="I10">
        <f>C10-'12 or greater'!C10</f>
        <v>0</v>
      </c>
      <c r="J10">
        <f>D10-'12 or greater'!D10</f>
        <v>0</v>
      </c>
      <c r="K10">
        <f>E10-'12 or greater'!E10</f>
        <v>1</v>
      </c>
      <c r="L10">
        <f>F10-'12 or greater'!F10</f>
        <v>0</v>
      </c>
    </row>
    <row r="11" spans="1:25" ht="36.5" thickBot="1" x14ac:dyDescent="0.4">
      <c r="A11" s="11" t="s">
        <v>10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H11">
        <f>B11-'12 or greater'!B11</f>
        <v>0</v>
      </c>
      <c r="I11">
        <f>C11-'12 or greater'!C11</f>
        <v>1</v>
      </c>
      <c r="J11">
        <f>D11-'12 or greater'!D11</f>
        <v>0</v>
      </c>
      <c r="K11">
        <f>E11-'12 or greater'!E11</f>
        <v>0</v>
      </c>
      <c r="L11">
        <f>F11-'12 or greater'!F11</f>
        <v>0</v>
      </c>
    </row>
    <row r="12" spans="1:25" ht="36.5" thickBot="1" x14ac:dyDescent="0.4">
      <c r="A12" s="13" t="s">
        <v>11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H12">
        <f>B12-'12 or greater'!B12</f>
        <v>0</v>
      </c>
      <c r="I12">
        <f>C12-'12 or greater'!C12</f>
        <v>0</v>
      </c>
      <c r="J12">
        <f>D12-'12 or greater'!D12</f>
        <v>0</v>
      </c>
      <c r="K12">
        <f>E12-'12 or greater'!E12</f>
        <v>0</v>
      </c>
      <c r="L12">
        <f>F12-'12 or greater'!F12</f>
        <v>0</v>
      </c>
    </row>
    <row r="13" spans="1:25" ht="36.5" thickBot="1" x14ac:dyDescent="0.4">
      <c r="A13" s="11" t="s">
        <v>12</v>
      </c>
      <c r="B13" s="12">
        <v>0</v>
      </c>
      <c r="C13" s="12">
        <v>1</v>
      </c>
      <c r="D13" s="12">
        <v>0</v>
      </c>
      <c r="E13" s="12">
        <v>1</v>
      </c>
      <c r="F13" s="12">
        <v>0</v>
      </c>
      <c r="H13">
        <f>B13-'12 or greater'!B13</f>
        <v>0</v>
      </c>
      <c r="I13">
        <f>C13-'12 or greater'!C13</f>
        <v>0</v>
      </c>
      <c r="J13">
        <f>D13-'12 or greater'!D13</f>
        <v>0</v>
      </c>
      <c r="K13">
        <f>E13-'12 or greater'!E13</f>
        <v>1</v>
      </c>
      <c r="L13">
        <f>F13-'12 or greater'!F13</f>
        <v>0</v>
      </c>
    </row>
    <row r="14" spans="1:25" ht="36.5" thickBot="1" x14ac:dyDescent="0.4">
      <c r="A14" s="13" t="s">
        <v>13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H14">
        <f>B14-'12 or greater'!B14</f>
        <v>0</v>
      </c>
      <c r="I14">
        <f>C14-'12 or greater'!C14</f>
        <v>0</v>
      </c>
      <c r="J14">
        <f>D14-'12 or greater'!D14</f>
        <v>0</v>
      </c>
      <c r="K14">
        <f>E14-'12 or greater'!E14</f>
        <v>0</v>
      </c>
      <c r="L14">
        <f>F14-'12 or greater'!F14</f>
        <v>0</v>
      </c>
    </row>
    <row r="15" spans="1:25" ht="36.5" thickBot="1" x14ac:dyDescent="0.4">
      <c r="A15" s="11" t="s">
        <v>14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H15">
        <f>B15-'12 or greater'!B15</f>
        <v>0</v>
      </c>
      <c r="I15">
        <f>C15-'12 or greater'!C15</f>
        <v>0</v>
      </c>
      <c r="J15">
        <f>D15-'12 or greater'!D15</f>
        <v>0</v>
      </c>
      <c r="K15">
        <f>E15-'12 or greater'!E15</f>
        <v>0</v>
      </c>
      <c r="L15">
        <f>F15-'12 or greater'!F15</f>
        <v>0</v>
      </c>
    </row>
    <row r="16" spans="1:25" ht="36.5" thickBot="1" x14ac:dyDescent="0.4">
      <c r="A16" s="13" t="s">
        <v>15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H16">
        <f>B16-'12 or greater'!B16</f>
        <v>0</v>
      </c>
      <c r="I16">
        <f>C16-'12 or greater'!C16</f>
        <v>0</v>
      </c>
      <c r="J16">
        <f>D16-'12 or greater'!D16</f>
        <v>0</v>
      </c>
      <c r="K16">
        <f>E16-'12 or greater'!E16</f>
        <v>0</v>
      </c>
      <c r="L16">
        <f>F16-'12 or greater'!F16</f>
        <v>0</v>
      </c>
    </row>
    <row r="17" spans="1:12" ht="36.5" thickBot="1" x14ac:dyDescent="0.4">
      <c r="A17" s="11" t="s">
        <v>16</v>
      </c>
      <c r="B17" s="12">
        <v>0</v>
      </c>
      <c r="C17" s="12">
        <v>0</v>
      </c>
      <c r="D17" s="12">
        <v>0</v>
      </c>
      <c r="E17" s="12">
        <v>0</v>
      </c>
      <c r="F17" s="12">
        <v>1</v>
      </c>
      <c r="H17">
        <f>B17-'12 or greater'!B17</f>
        <v>0</v>
      </c>
      <c r="I17">
        <f>C17-'12 or greater'!C17</f>
        <v>0</v>
      </c>
      <c r="J17">
        <f>D17-'12 or greater'!D17</f>
        <v>0</v>
      </c>
      <c r="K17">
        <f>E17-'12 or greater'!E17</f>
        <v>0</v>
      </c>
      <c r="L17">
        <f>F17-'12 or greater'!F17</f>
        <v>1</v>
      </c>
    </row>
    <row r="18" spans="1:12" ht="36.5" thickBot="1" x14ac:dyDescent="0.4">
      <c r="A18" s="13" t="s">
        <v>17</v>
      </c>
      <c r="B18" s="14">
        <v>0</v>
      </c>
      <c r="C18" s="14">
        <v>0</v>
      </c>
      <c r="D18" s="14">
        <v>0</v>
      </c>
      <c r="E18" s="14">
        <v>0</v>
      </c>
      <c r="F18" s="14">
        <v>1</v>
      </c>
      <c r="H18">
        <f>B18-'12 or greater'!B18</f>
        <v>0</v>
      </c>
      <c r="I18">
        <f>C18-'12 or greater'!C18</f>
        <v>0</v>
      </c>
      <c r="J18">
        <f>D18-'12 or greater'!D18</f>
        <v>0</v>
      </c>
      <c r="K18">
        <f>E18-'12 or greater'!E18</f>
        <v>0</v>
      </c>
      <c r="L18">
        <f>F18-'12 or greater'!F18</f>
        <v>1</v>
      </c>
    </row>
    <row r="19" spans="1:12" ht="36.5" thickBot="1" x14ac:dyDescent="0.4">
      <c r="A19" s="11" t="s">
        <v>18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H19">
        <f>B19-'12 or greater'!B19</f>
        <v>0</v>
      </c>
      <c r="I19">
        <f>C19-'12 or greater'!C19</f>
        <v>0</v>
      </c>
      <c r="J19">
        <f>D19-'12 or greater'!D19</f>
        <v>0</v>
      </c>
      <c r="K19">
        <f>E19-'12 or greater'!E19</f>
        <v>0</v>
      </c>
      <c r="L19">
        <f>F19-'12 or greater'!F19</f>
        <v>0</v>
      </c>
    </row>
    <row r="20" spans="1:12" ht="36.5" thickBot="1" x14ac:dyDescent="0.4">
      <c r="A20" s="13" t="s">
        <v>19</v>
      </c>
      <c r="B20" s="14">
        <v>0</v>
      </c>
      <c r="C20" s="14">
        <v>1</v>
      </c>
      <c r="D20" s="14">
        <v>0</v>
      </c>
      <c r="E20" s="14">
        <v>0</v>
      </c>
      <c r="F20" s="14">
        <v>0</v>
      </c>
      <c r="H20">
        <f>B20-'12 or greater'!B20</f>
        <v>0</v>
      </c>
      <c r="I20">
        <f>C20-'12 or greater'!C20</f>
        <v>1</v>
      </c>
      <c r="J20">
        <f>D20-'12 or greater'!D20</f>
        <v>0</v>
      </c>
      <c r="K20">
        <f>E20-'12 or greater'!E20</f>
        <v>0</v>
      </c>
      <c r="L20">
        <f>F20-'12 or greater'!F20</f>
        <v>0</v>
      </c>
    </row>
    <row r="21" spans="1:12" ht="36.5" thickBot="1" x14ac:dyDescent="0.4">
      <c r="A21" s="11" t="s">
        <v>20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H21">
        <f>B21-'12 or greater'!B21</f>
        <v>0</v>
      </c>
      <c r="I21">
        <f>C21-'12 or greater'!C21</f>
        <v>0</v>
      </c>
      <c r="J21">
        <f>D21-'12 or greater'!D21</f>
        <v>0</v>
      </c>
      <c r="K21">
        <f>E21-'12 or greater'!E21</f>
        <v>0</v>
      </c>
      <c r="L21">
        <f>F21-'12 or greater'!F21</f>
        <v>0</v>
      </c>
    </row>
    <row r="22" spans="1:12" ht="36.5" thickBot="1" x14ac:dyDescent="0.4">
      <c r="A22" s="13" t="s">
        <v>21</v>
      </c>
      <c r="B22" s="14">
        <v>0</v>
      </c>
      <c r="C22" s="14">
        <v>0</v>
      </c>
      <c r="D22" s="14">
        <v>0</v>
      </c>
      <c r="E22" s="14">
        <v>0</v>
      </c>
      <c r="F22" s="14">
        <v>1</v>
      </c>
      <c r="H22">
        <f>B22-'12 or greater'!B22</f>
        <v>0</v>
      </c>
      <c r="I22">
        <f>C22-'12 or greater'!C22</f>
        <v>0</v>
      </c>
      <c r="J22">
        <f>D22-'12 or greater'!D22</f>
        <v>0</v>
      </c>
      <c r="K22">
        <f>E22-'12 or greater'!E22</f>
        <v>0</v>
      </c>
      <c r="L22">
        <f>F22-'12 or greater'!F22</f>
        <v>1</v>
      </c>
    </row>
    <row r="23" spans="1:12" ht="36.5" thickBot="1" x14ac:dyDescent="0.4">
      <c r="A23" s="11" t="s">
        <v>22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H23">
        <f>B23-'12 or greater'!B23</f>
        <v>0</v>
      </c>
      <c r="I23">
        <f>C23-'12 or greater'!C23</f>
        <v>0</v>
      </c>
      <c r="J23">
        <f>D23-'12 or greater'!D23</f>
        <v>0</v>
      </c>
      <c r="K23">
        <f>E23-'12 or greater'!E23</f>
        <v>0</v>
      </c>
      <c r="L23">
        <f>F23-'12 or greater'!F23</f>
        <v>0</v>
      </c>
    </row>
    <row r="24" spans="1:12" ht="36.5" thickBot="1" x14ac:dyDescent="0.4">
      <c r="A24" s="13" t="s">
        <v>23</v>
      </c>
      <c r="B24" s="14">
        <v>0</v>
      </c>
      <c r="C24" s="14">
        <v>0</v>
      </c>
      <c r="D24" s="14">
        <v>1</v>
      </c>
      <c r="E24" s="14">
        <v>0</v>
      </c>
      <c r="F24" s="14">
        <v>0</v>
      </c>
      <c r="H24">
        <f>B24-'12 or greater'!B24</f>
        <v>0</v>
      </c>
      <c r="I24">
        <f>C24-'12 or greater'!C24</f>
        <v>0</v>
      </c>
      <c r="J24">
        <f>D24-'12 or greater'!D24</f>
        <v>1</v>
      </c>
      <c r="K24">
        <f>E24-'12 or greater'!E24</f>
        <v>0</v>
      </c>
      <c r="L24">
        <f>F24-'12 or greater'!F24</f>
        <v>0</v>
      </c>
    </row>
    <row r="25" spans="1:12" ht="36.5" thickBot="1" x14ac:dyDescent="0.4">
      <c r="A25" s="11" t="s">
        <v>24</v>
      </c>
      <c r="B25" s="12">
        <v>0</v>
      </c>
      <c r="C25" s="12">
        <v>0</v>
      </c>
      <c r="D25" s="12">
        <v>0</v>
      </c>
      <c r="E25" s="12">
        <v>0</v>
      </c>
      <c r="F25" s="12">
        <v>1</v>
      </c>
      <c r="H25">
        <f>B25-'12 or greater'!B25</f>
        <v>0</v>
      </c>
      <c r="I25">
        <f>C25-'12 or greater'!C25</f>
        <v>0</v>
      </c>
      <c r="J25">
        <f>D25-'12 or greater'!D25</f>
        <v>0</v>
      </c>
      <c r="K25">
        <f>E25-'12 or greater'!E25</f>
        <v>0</v>
      </c>
      <c r="L25">
        <f>F25-'12 or greater'!F25</f>
        <v>0</v>
      </c>
    </row>
    <row r="26" spans="1:12" ht="36.5" thickBot="1" x14ac:dyDescent="0.4">
      <c r="A26" s="13" t="s">
        <v>25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H26">
        <f>B26-'12 or greater'!B26</f>
        <v>0</v>
      </c>
      <c r="I26">
        <f>C26-'12 or greater'!C26</f>
        <v>0</v>
      </c>
      <c r="J26">
        <f>D26-'12 or greater'!D26</f>
        <v>0</v>
      </c>
      <c r="K26">
        <f>E26-'12 or greater'!E26</f>
        <v>0</v>
      </c>
      <c r="L26">
        <f>F26-'12 or greater'!F26</f>
        <v>0</v>
      </c>
    </row>
    <row r="27" spans="1:12" ht="36.5" thickBot="1" x14ac:dyDescent="0.4">
      <c r="A27" s="11" t="s">
        <v>26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H27">
        <f>B27-'12 or greater'!B27</f>
        <v>0</v>
      </c>
      <c r="I27">
        <f>C27-'12 or greater'!C27</f>
        <v>0</v>
      </c>
      <c r="J27">
        <f>D27-'12 or greater'!D27</f>
        <v>0</v>
      </c>
      <c r="K27">
        <f>E27-'12 or greater'!E27</f>
        <v>0</v>
      </c>
      <c r="L27">
        <f>F27-'12 or greater'!F27</f>
        <v>0</v>
      </c>
    </row>
    <row r="28" spans="1:12" ht="36.5" thickBot="1" x14ac:dyDescent="0.4">
      <c r="A28" s="13" t="s">
        <v>27</v>
      </c>
      <c r="B28" s="14">
        <v>0</v>
      </c>
      <c r="C28" s="14">
        <v>0</v>
      </c>
      <c r="D28" s="14">
        <v>0</v>
      </c>
      <c r="E28" s="14">
        <v>0</v>
      </c>
      <c r="F28" s="14">
        <v>0</v>
      </c>
      <c r="H28">
        <f>B28-'12 or greater'!B28</f>
        <v>0</v>
      </c>
      <c r="I28">
        <f>C28-'12 or greater'!C28</f>
        <v>0</v>
      </c>
      <c r="J28">
        <f>D28-'12 or greater'!D28</f>
        <v>0</v>
      </c>
      <c r="K28">
        <f>E28-'12 or greater'!E28</f>
        <v>0</v>
      </c>
      <c r="L28">
        <f>F28-'12 or greater'!F28</f>
        <v>0</v>
      </c>
    </row>
    <row r="29" spans="1:12" ht="36.5" thickBot="1" x14ac:dyDescent="0.4">
      <c r="A29" s="11" t="s">
        <v>28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H29">
        <f>B29-'12 or greater'!B29</f>
        <v>0</v>
      </c>
      <c r="I29">
        <f>C29-'12 or greater'!C29</f>
        <v>0</v>
      </c>
      <c r="J29">
        <f>D29-'12 or greater'!D29</f>
        <v>0</v>
      </c>
      <c r="K29">
        <f>E29-'12 or greater'!E29</f>
        <v>0</v>
      </c>
      <c r="L29">
        <f>F29-'12 or greater'!F29</f>
        <v>0</v>
      </c>
    </row>
    <row r="30" spans="1:12" ht="36.5" thickBot="1" x14ac:dyDescent="0.4">
      <c r="A30" s="13" t="s">
        <v>29</v>
      </c>
      <c r="B30" s="14">
        <v>0</v>
      </c>
      <c r="C30" s="14">
        <v>0</v>
      </c>
      <c r="D30" s="14">
        <v>1</v>
      </c>
      <c r="E30" s="14">
        <v>0</v>
      </c>
      <c r="F30" s="14">
        <v>0</v>
      </c>
      <c r="H30">
        <f>B30-'12 or greater'!B30</f>
        <v>0</v>
      </c>
      <c r="I30">
        <f>C30-'12 or greater'!C30</f>
        <v>0</v>
      </c>
      <c r="J30">
        <f>D30-'12 or greater'!D30</f>
        <v>1</v>
      </c>
      <c r="K30">
        <f>E30-'12 or greater'!E30</f>
        <v>0</v>
      </c>
      <c r="L30">
        <f>F30-'12 or greater'!F30</f>
        <v>0</v>
      </c>
    </row>
    <row r="31" spans="1:12" ht="36.5" thickBot="1" x14ac:dyDescent="0.4">
      <c r="A31" s="11" t="s">
        <v>30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H31">
        <f>B31-'12 or greater'!B31</f>
        <v>0</v>
      </c>
      <c r="I31">
        <f>C31-'12 or greater'!C31</f>
        <v>0</v>
      </c>
      <c r="J31">
        <f>D31-'12 or greater'!D31</f>
        <v>0</v>
      </c>
      <c r="K31">
        <f>E31-'12 or greater'!E31</f>
        <v>0</v>
      </c>
      <c r="L31">
        <f>F31-'12 or greater'!F31</f>
        <v>0</v>
      </c>
    </row>
    <row r="32" spans="1:12" ht="36.5" thickBot="1" x14ac:dyDescent="0.4">
      <c r="A32" s="13" t="s">
        <v>31</v>
      </c>
      <c r="B32" s="14">
        <v>2</v>
      </c>
      <c r="C32" s="14">
        <v>0</v>
      </c>
      <c r="D32" s="14">
        <v>0</v>
      </c>
      <c r="E32" s="14">
        <v>0</v>
      </c>
      <c r="F32" s="14">
        <v>0</v>
      </c>
      <c r="H32">
        <f>B32-'12 or greater'!B32</f>
        <v>0</v>
      </c>
      <c r="I32">
        <f>C32-'12 or greater'!C32</f>
        <v>0</v>
      </c>
      <c r="J32">
        <f>D32-'12 or greater'!D32</f>
        <v>0</v>
      </c>
      <c r="K32">
        <f>E32-'12 or greater'!E32</f>
        <v>0</v>
      </c>
      <c r="L32">
        <f>F32-'12 or greater'!F32</f>
        <v>0</v>
      </c>
    </row>
    <row r="33" spans="1:12" ht="36.5" thickBot="1" x14ac:dyDescent="0.4">
      <c r="A33" s="11" t="s">
        <v>32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H33">
        <f>B33-'12 or greater'!B33</f>
        <v>0</v>
      </c>
      <c r="I33">
        <f>C33-'12 or greater'!C33</f>
        <v>0</v>
      </c>
      <c r="J33">
        <f>D33-'12 or greater'!D33</f>
        <v>0</v>
      </c>
      <c r="K33">
        <f>E33-'12 or greater'!E33</f>
        <v>0</v>
      </c>
      <c r="L33">
        <f>F33-'12 or greater'!F33</f>
        <v>0</v>
      </c>
    </row>
    <row r="34" spans="1:12" ht="36.5" thickBot="1" x14ac:dyDescent="0.4">
      <c r="A34" s="13" t="s">
        <v>33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H34">
        <f>B34-'12 or greater'!B34</f>
        <v>0</v>
      </c>
      <c r="I34">
        <f>C34-'12 or greater'!C34</f>
        <v>0</v>
      </c>
      <c r="J34">
        <f>D34-'12 or greater'!D34</f>
        <v>0</v>
      </c>
      <c r="K34">
        <f>E34-'12 or greater'!E34</f>
        <v>0</v>
      </c>
      <c r="L34">
        <f>F34-'12 or greater'!F34</f>
        <v>0</v>
      </c>
    </row>
    <row r="35" spans="1:12" ht="36.5" thickBot="1" x14ac:dyDescent="0.4">
      <c r="A35" s="11" t="s">
        <v>34</v>
      </c>
      <c r="B35" s="12">
        <v>0</v>
      </c>
      <c r="C35" s="12">
        <v>0</v>
      </c>
      <c r="D35" s="12">
        <v>0</v>
      </c>
      <c r="E35" s="12">
        <v>0</v>
      </c>
      <c r="F35" s="12">
        <v>1</v>
      </c>
      <c r="H35">
        <f>B35-'12 or greater'!B35</f>
        <v>0</v>
      </c>
      <c r="I35">
        <f>C35-'12 or greater'!C35</f>
        <v>0</v>
      </c>
      <c r="J35">
        <f>D35-'12 or greater'!D35</f>
        <v>0</v>
      </c>
      <c r="K35">
        <f>E35-'12 or greater'!E35</f>
        <v>0</v>
      </c>
      <c r="L35">
        <f>F35-'12 or greater'!F35</f>
        <v>1</v>
      </c>
    </row>
    <row r="36" spans="1:12" ht="36.5" thickBot="1" x14ac:dyDescent="0.4">
      <c r="A36" s="13" t="s">
        <v>35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H36">
        <f>B36-'12 or greater'!B36</f>
        <v>0</v>
      </c>
      <c r="I36">
        <f>C36-'12 or greater'!C36</f>
        <v>0</v>
      </c>
      <c r="J36">
        <f>D36-'12 or greater'!D36</f>
        <v>0</v>
      </c>
      <c r="K36">
        <f>E36-'12 or greater'!E36</f>
        <v>0</v>
      </c>
      <c r="L36">
        <f>F36-'12 or greater'!F36</f>
        <v>0</v>
      </c>
    </row>
    <row r="37" spans="1:12" ht="36.5" thickBot="1" x14ac:dyDescent="0.4">
      <c r="A37" s="11" t="s">
        <v>36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H37">
        <f>B37-'12 or greater'!B37</f>
        <v>0</v>
      </c>
      <c r="I37">
        <f>C37-'12 or greater'!C37</f>
        <v>0</v>
      </c>
      <c r="J37">
        <f>D37-'12 or greater'!D37</f>
        <v>0</v>
      </c>
      <c r="K37">
        <f>E37-'12 or greater'!E37</f>
        <v>0</v>
      </c>
      <c r="L37">
        <f>F37-'12 or greater'!F37</f>
        <v>0</v>
      </c>
    </row>
    <row r="38" spans="1:12" ht="36.5" thickBot="1" x14ac:dyDescent="0.4">
      <c r="A38" s="13" t="s">
        <v>37</v>
      </c>
      <c r="B38" s="14">
        <v>0</v>
      </c>
      <c r="C38" s="14">
        <v>1</v>
      </c>
      <c r="D38" s="14">
        <v>0</v>
      </c>
      <c r="E38" s="14">
        <v>0</v>
      </c>
      <c r="F38" s="14">
        <v>0</v>
      </c>
      <c r="H38">
        <f>B38-'12 or greater'!B38</f>
        <v>0</v>
      </c>
      <c r="I38">
        <f>C38-'12 or greater'!C38</f>
        <v>1</v>
      </c>
      <c r="J38">
        <f>D38-'12 or greater'!D38</f>
        <v>0</v>
      </c>
      <c r="K38">
        <f>E38-'12 or greater'!E38</f>
        <v>0</v>
      </c>
      <c r="L38">
        <f>F38-'12 or greater'!F38</f>
        <v>0</v>
      </c>
    </row>
    <row r="39" spans="1:12" ht="36.5" thickBot="1" x14ac:dyDescent="0.4">
      <c r="A39" s="11" t="s">
        <v>38</v>
      </c>
      <c r="B39" s="12">
        <v>0</v>
      </c>
      <c r="C39" s="12">
        <v>0</v>
      </c>
      <c r="D39" s="12">
        <v>0</v>
      </c>
      <c r="E39" s="12">
        <v>0</v>
      </c>
      <c r="F39" s="12">
        <v>2</v>
      </c>
      <c r="H39">
        <f>B39-'12 or greater'!B39</f>
        <v>0</v>
      </c>
      <c r="I39">
        <f>C39-'12 or greater'!C39</f>
        <v>0</v>
      </c>
      <c r="J39">
        <f>D39-'12 or greater'!D39</f>
        <v>0</v>
      </c>
      <c r="K39">
        <f>E39-'12 or greater'!E39</f>
        <v>0</v>
      </c>
      <c r="L39">
        <f>F39-'12 or greater'!F39</f>
        <v>0</v>
      </c>
    </row>
    <row r="40" spans="1:12" ht="36.5" thickBot="1" x14ac:dyDescent="0.4">
      <c r="A40" s="13" t="s">
        <v>39</v>
      </c>
      <c r="B40" s="14">
        <v>1</v>
      </c>
      <c r="C40" s="14">
        <v>0</v>
      </c>
      <c r="D40" s="14">
        <v>0</v>
      </c>
      <c r="E40" s="14">
        <v>0</v>
      </c>
      <c r="F40" s="14">
        <v>1</v>
      </c>
      <c r="H40">
        <f>B40-'12 or greater'!B40</f>
        <v>1</v>
      </c>
      <c r="I40">
        <f>C40-'12 or greater'!C40</f>
        <v>0</v>
      </c>
      <c r="J40">
        <f>D40-'12 or greater'!D40</f>
        <v>0</v>
      </c>
      <c r="K40">
        <f>E40-'12 or greater'!E40</f>
        <v>0</v>
      </c>
      <c r="L40">
        <f>F40-'12 or greater'!F40</f>
        <v>1</v>
      </c>
    </row>
    <row r="41" spans="1:12" ht="36.5" thickBot="1" x14ac:dyDescent="0.4">
      <c r="A41" s="11" t="s">
        <v>40</v>
      </c>
      <c r="B41" s="12">
        <v>0</v>
      </c>
      <c r="C41" s="12">
        <v>1</v>
      </c>
      <c r="D41" s="12">
        <v>0</v>
      </c>
      <c r="E41" s="12">
        <v>0</v>
      </c>
      <c r="F41" s="12">
        <v>0</v>
      </c>
      <c r="H41">
        <f>B41-'12 or greater'!B41</f>
        <v>0</v>
      </c>
      <c r="I41">
        <f>C41-'12 or greater'!C41</f>
        <v>0</v>
      </c>
      <c r="J41">
        <f>D41-'12 or greater'!D41</f>
        <v>0</v>
      </c>
      <c r="K41">
        <f>E41-'12 or greater'!E41</f>
        <v>0</v>
      </c>
      <c r="L41">
        <f>F41-'12 or greater'!F41</f>
        <v>0</v>
      </c>
    </row>
    <row r="42" spans="1:12" ht="36.5" thickBot="1" x14ac:dyDescent="0.4">
      <c r="A42" s="13" t="s">
        <v>41</v>
      </c>
      <c r="B42" s="14">
        <v>0</v>
      </c>
      <c r="C42" s="14">
        <v>0</v>
      </c>
      <c r="D42" s="14">
        <v>2</v>
      </c>
      <c r="E42" s="14">
        <v>0</v>
      </c>
      <c r="F42" s="14">
        <v>0</v>
      </c>
      <c r="H42">
        <f>B42-'12 or greater'!B42</f>
        <v>0</v>
      </c>
      <c r="I42">
        <f>C42-'12 or greater'!C42</f>
        <v>0</v>
      </c>
      <c r="J42">
        <f>D42-'12 or greater'!D42</f>
        <v>0</v>
      </c>
      <c r="K42">
        <f>E42-'12 or greater'!E42</f>
        <v>0</v>
      </c>
      <c r="L42">
        <f>F42-'12 or greater'!F42</f>
        <v>0</v>
      </c>
    </row>
    <row r="43" spans="1:12" ht="36.5" thickBot="1" x14ac:dyDescent="0.4">
      <c r="A43" s="11" t="s">
        <v>42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H43">
        <f>B43-'12 or greater'!B43</f>
        <v>0</v>
      </c>
      <c r="I43">
        <f>C43-'12 or greater'!C43</f>
        <v>0</v>
      </c>
      <c r="J43">
        <f>D43-'12 or greater'!D43</f>
        <v>0</v>
      </c>
      <c r="K43">
        <f>E43-'12 or greater'!E43</f>
        <v>0</v>
      </c>
      <c r="L43">
        <f>F43-'12 or greater'!F43</f>
        <v>0</v>
      </c>
    </row>
    <row r="44" spans="1:12" ht="36.5" thickBot="1" x14ac:dyDescent="0.4">
      <c r="A44" s="13" t="s">
        <v>43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H44">
        <f>B44-'12 or greater'!B44</f>
        <v>0</v>
      </c>
      <c r="I44">
        <f>C44-'12 or greater'!C44</f>
        <v>0</v>
      </c>
      <c r="J44">
        <f>D44-'12 or greater'!D44</f>
        <v>0</v>
      </c>
      <c r="K44">
        <f>E44-'12 or greater'!E44</f>
        <v>0</v>
      </c>
      <c r="L44">
        <f>F44-'12 or greater'!F44</f>
        <v>0</v>
      </c>
    </row>
    <row r="45" spans="1:12" ht="36.5" thickBot="1" x14ac:dyDescent="0.4">
      <c r="A45" s="11" t="s">
        <v>44</v>
      </c>
      <c r="B45" s="12">
        <v>1</v>
      </c>
      <c r="C45" s="12">
        <v>0</v>
      </c>
      <c r="D45" s="12">
        <v>0</v>
      </c>
      <c r="E45" s="12">
        <v>0</v>
      </c>
      <c r="F45" s="12">
        <v>0</v>
      </c>
      <c r="H45">
        <f>B45-'12 or greater'!B45</f>
        <v>1</v>
      </c>
      <c r="I45">
        <f>C45-'12 or greater'!C45</f>
        <v>0</v>
      </c>
      <c r="J45">
        <f>D45-'12 or greater'!D45</f>
        <v>0</v>
      </c>
      <c r="K45">
        <f>E45-'12 or greater'!E45</f>
        <v>0</v>
      </c>
      <c r="L45">
        <f>F45-'12 or greater'!F45</f>
        <v>0</v>
      </c>
    </row>
    <row r="46" spans="1:12" ht="36.5" thickBot="1" x14ac:dyDescent="0.4">
      <c r="A46" s="13" t="s">
        <v>45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H46">
        <f>B46-'12 or greater'!B46</f>
        <v>0</v>
      </c>
      <c r="I46">
        <f>C46-'12 or greater'!C46</f>
        <v>0</v>
      </c>
      <c r="J46">
        <f>D46-'12 or greater'!D46</f>
        <v>0</v>
      </c>
      <c r="K46">
        <f>E46-'12 or greater'!E46</f>
        <v>0</v>
      </c>
      <c r="L46">
        <f>F46-'12 or greater'!F46</f>
        <v>0</v>
      </c>
    </row>
    <row r="47" spans="1:12" ht="36.5" thickBot="1" x14ac:dyDescent="0.4">
      <c r="A47" s="11" t="s">
        <v>46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H47">
        <f>B47-'12 or greater'!B47</f>
        <v>0</v>
      </c>
      <c r="I47">
        <f>C47-'12 or greater'!C47</f>
        <v>0</v>
      </c>
      <c r="J47">
        <f>D47-'12 or greater'!D47</f>
        <v>0</v>
      </c>
      <c r="K47">
        <f>E47-'12 or greater'!E47</f>
        <v>0</v>
      </c>
      <c r="L47">
        <f>F47-'12 or greater'!F47</f>
        <v>0</v>
      </c>
    </row>
    <row r="48" spans="1:12" ht="36.5" thickBot="1" x14ac:dyDescent="0.4">
      <c r="A48" s="13" t="s">
        <v>47</v>
      </c>
      <c r="B48" s="14">
        <v>1</v>
      </c>
      <c r="C48" s="14">
        <v>0</v>
      </c>
      <c r="D48" s="14">
        <v>0</v>
      </c>
      <c r="E48" s="14">
        <v>0</v>
      </c>
      <c r="F48" s="14">
        <v>0</v>
      </c>
      <c r="H48">
        <f>B48-'12 or greater'!B48</f>
        <v>1</v>
      </c>
      <c r="I48">
        <f>C48-'12 or greater'!C48</f>
        <v>0</v>
      </c>
      <c r="J48">
        <f>D48-'12 or greater'!D48</f>
        <v>0</v>
      </c>
      <c r="K48">
        <f>E48-'12 or greater'!E48</f>
        <v>0</v>
      </c>
      <c r="L48">
        <f>F48-'12 or greater'!F48</f>
        <v>0</v>
      </c>
    </row>
    <row r="49" spans="1:12" ht="36.5" thickBot="1" x14ac:dyDescent="0.4">
      <c r="A49" s="11" t="s">
        <v>48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H49">
        <f>B49-'12 or greater'!B49</f>
        <v>0</v>
      </c>
      <c r="I49">
        <f>C49-'12 or greater'!C49</f>
        <v>0</v>
      </c>
      <c r="J49">
        <f>D49-'12 or greater'!D49</f>
        <v>0</v>
      </c>
      <c r="K49">
        <f>E49-'12 or greater'!E49</f>
        <v>0</v>
      </c>
      <c r="L49">
        <f>F49-'12 or greater'!F49</f>
        <v>0</v>
      </c>
    </row>
    <row r="50" spans="1:12" ht="36.5" thickBot="1" x14ac:dyDescent="0.4">
      <c r="A50" s="13" t="s">
        <v>49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H50">
        <f>B50-'12 or greater'!B50</f>
        <v>0</v>
      </c>
      <c r="I50">
        <f>C50-'12 or greater'!C50</f>
        <v>0</v>
      </c>
      <c r="J50">
        <f>D50-'12 or greater'!D50</f>
        <v>0</v>
      </c>
      <c r="K50">
        <f>E50-'12 or greater'!E50</f>
        <v>0</v>
      </c>
      <c r="L50">
        <f>F50-'12 or greater'!F50</f>
        <v>0</v>
      </c>
    </row>
    <row r="51" spans="1:12" ht="36.5" thickBot="1" x14ac:dyDescent="0.4">
      <c r="A51" s="11" t="s">
        <v>50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H51">
        <f>B51-'12 or greater'!B51</f>
        <v>0</v>
      </c>
      <c r="I51">
        <f>C51-'12 or greater'!C51</f>
        <v>0</v>
      </c>
      <c r="J51">
        <f>D51-'12 or greater'!D51</f>
        <v>0</v>
      </c>
      <c r="K51">
        <f>E51-'12 or greater'!E51</f>
        <v>0</v>
      </c>
      <c r="L51">
        <f>F51-'12 or greater'!F51</f>
        <v>0</v>
      </c>
    </row>
    <row r="52" spans="1:12" ht="36.5" thickBot="1" x14ac:dyDescent="0.4">
      <c r="A52" s="13" t="s">
        <v>51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H52">
        <f>B52-'12 or greater'!B52</f>
        <v>0</v>
      </c>
      <c r="I52">
        <f>C52-'12 or greater'!C52</f>
        <v>0</v>
      </c>
      <c r="J52">
        <f>D52-'12 or greater'!D52</f>
        <v>0</v>
      </c>
      <c r="K52">
        <f>E52-'12 or greater'!E52</f>
        <v>0</v>
      </c>
      <c r="L52">
        <f>F52-'12 or greater'!F52</f>
        <v>0</v>
      </c>
    </row>
    <row r="53" spans="1:12" ht="36.5" thickBot="1" x14ac:dyDescent="0.4">
      <c r="A53" s="11" t="s">
        <v>52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H53">
        <f>B53-'12 or greater'!B53</f>
        <v>0</v>
      </c>
      <c r="I53">
        <f>C53-'12 or greater'!C53</f>
        <v>0</v>
      </c>
      <c r="J53">
        <f>D53-'12 or greater'!D53</f>
        <v>0</v>
      </c>
      <c r="K53">
        <f>E53-'12 or greater'!E53</f>
        <v>0</v>
      </c>
      <c r="L53">
        <f>F53-'12 or greater'!F53</f>
        <v>0</v>
      </c>
    </row>
    <row r="54" spans="1:12" ht="36.5" thickBot="1" x14ac:dyDescent="0.4">
      <c r="A54" s="13" t="s">
        <v>53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H54">
        <f>B54-'12 or greater'!B54</f>
        <v>0</v>
      </c>
      <c r="I54">
        <f>C54-'12 or greater'!C54</f>
        <v>0</v>
      </c>
      <c r="J54">
        <f>D54-'12 or greater'!D54</f>
        <v>0</v>
      </c>
      <c r="K54">
        <f>E54-'12 or greater'!E54</f>
        <v>0</v>
      </c>
      <c r="L54">
        <f>F54-'12 or greater'!F54</f>
        <v>0</v>
      </c>
    </row>
    <row r="55" spans="1:12" ht="36.5" thickBot="1" x14ac:dyDescent="0.4">
      <c r="A55" s="11" t="s">
        <v>54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H55">
        <f>B55-'12 or greater'!B55</f>
        <v>0</v>
      </c>
      <c r="I55">
        <f>C55-'12 or greater'!C55</f>
        <v>0</v>
      </c>
      <c r="J55">
        <f>D55-'12 or greater'!D55</f>
        <v>0</v>
      </c>
      <c r="K55">
        <f>E55-'12 or greater'!E55</f>
        <v>0</v>
      </c>
      <c r="L55">
        <f>F55-'12 or greater'!F55</f>
        <v>0</v>
      </c>
    </row>
    <row r="56" spans="1:12" ht="36.5" thickBot="1" x14ac:dyDescent="0.4">
      <c r="A56" s="13" t="s">
        <v>55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H56">
        <f>B56-'12 or greater'!B56</f>
        <v>0</v>
      </c>
      <c r="I56">
        <f>C56-'12 or greater'!C56</f>
        <v>0</v>
      </c>
      <c r="J56">
        <f>D56-'12 or greater'!D56</f>
        <v>0</v>
      </c>
      <c r="K56">
        <f>E56-'12 or greater'!E56</f>
        <v>0</v>
      </c>
      <c r="L56">
        <f>F56-'12 or greater'!F56</f>
        <v>0</v>
      </c>
    </row>
    <row r="57" spans="1:12" ht="36.5" thickBot="1" x14ac:dyDescent="0.4">
      <c r="A57" s="11" t="s">
        <v>56</v>
      </c>
      <c r="B57" s="12">
        <v>0</v>
      </c>
      <c r="C57" s="12">
        <v>0</v>
      </c>
      <c r="D57" s="12">
        <v>0</v>
      </c>
      <c r="E57" s="12">
        <v>1</v>
      </c>
      <c r="F57" s="12">
        <v>0</v>
      </c>
      <c r="H57">
        <f>B57-'12 or greater'!B57</f>
        <v>0</v>
      </c>
      <c r="I57">
        <f>C57-'12 or greater'!C57</f>
        <v>0</v>
      </c>
      <c r="J57">
        <f>D57-'12 or greater'!D57</f>
        <v>0</v>
      </c>
      <c r="K57">
        <f>E57-'12 or greater'!E57</f>
        <v>1</v>
      </c>
      <c r="L57">
        <f>F57-'12 or greater'!F57</f>
        <v>0</v>
      </c>
    </row>
    <row r="58" spans="1:12" ht="36.5" thickBot="1" x14ac:dyDescent="0.4">
      <c r="A58" s="13" t="s">
        <v>57</v>
      </c>
      <c r="B58" s="14">
        <v>0</v>
      </c>
      <c r="C58" s="14">
        <v>0</v>
      </c>
      <c r="D58" s="14">
        <v>0</v>
      </c>
      <c r="E58" s="14">
        <v>0</v>
      </c>
      <c r="F58" s="14">
        <v>1</v>
      </c>
      <c r="H58">
        <f>B58-'12 or greater'!B58</f>
        <v>0</v>
      </c>
      <c r="I58">
        <f>C58-'12 or greater'!C58</f>
        <v>0</v>
      </c>
      <c r="J58">
        <f>D58-'12 or greater'!D58</f>
        <v>0</v>
      </c>
      <c r="K58">
        <f>E58-'12 or greater'!E58</f>
        <v>0</v>
      </c>
      <c r="L58">
        <f>F58-'12 or greater'!F58</f>
        <v>1</v>
      </c>
    </row>
    <row r="59" spans="1:12" ht="36.5" thickBot="1" x14ac:dyDescent="0.4">
      <c r="A59" s="11" t="s">
        <v>58</v>
      </c>
      <c r="B59" s="12">
        <v>0</v>
      </c>
      <c r="C59" s="12">
        <v>0</v>
      </c>
      <c r="D59" s="12">
        <v>0</v>
      </c>
      <c r="E59" s="12">
        <v>0</v>
      </c>
      <c r="F59" s="12">
        <v>1</v>
      </c>
      <c r="H59">
        <f>B59-'12 or greater'!B59</f>
        <v>0</v>
      </c>
      <c r="I59">
        <f>C59-'12 or greater'!C59</f>
        <v>0</v>
      </c>
      <c r="J59">
        <f>D59-'12 or greater'!D59</f>
        <v>0</v>
      </c>
      <c r="K59">
        <f>E59-'12 or greater'!E59</f>
        <v>0</v>
      </c>
      <c r="L59">
        <f>F59-'12 or greater'!F59</f>
        <v>1</v>
      </c>
    </row>
    <row r="60" spans="1:12" ht="36.5" thickBot="1" x14ac:dyDescent="0.4">
      <c r="A60" s="13" t="s">
        <v>59</v>
      </c>
      <c r="B60" s="14">
        <v>0</v>
      </c>
      <c r="C60" s="14">
        <v>0</v>
      </c>
      <c r="D60" s="14">
        <v>0</v>
      </c>
      <c r="E60" s="14">
        <v>0</v>
      </c>
      <c r="F60" s="14">
        <v>0</v>
      </c>
      <c r="H60">
        <f>B60-'12 or greater'!B60</f>
        <v>0</v>
      </c>
      <c r="I60">
        <f>C60-'12 or greater'!C60</f>
        <v>0</v>
      </c>
      <c r="J60">
        <f>D60-'12 or greater'!D60</f>
        <v>0</v>
      </c>
      <c r="K60">
        <f>E60-'12 or greater'!E60</f>
        <v>0</v>
      </c>
      <c r="L60">
        <f>F60-'12 or greater'!F60</f>
        <v>0</v>
      </c>
    </row>
    <row r="61" spans="1:12" ht="36.5" thickBot="1" x14ac:dyDescent="0.4">
      <c r="A61" s="11" t="s">
        <v>60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H61">
        <f>B61-'12 or greater'!B61</f>
        <v>0</v>
      </c>
      <c r="I61">
        <f>C61-'12 or greater'!C61</f>
        <v>0</v>
      </c>
      <c r="J61">
        <f>D61-'12 or greater'!D61</f>
        <v>0</v>
      </c>
      <c r="K61">
        <f>E61-'12 or greater'!E61</f>
        <v>0</v>
      </c>
      <c r="L61">
        <f>F61-'12 or greater'!F61</f>
        <v>0</v>
      </c>
    </row>
    <row r="62" spans="1:12" ht="36.5" thickBot="1" x14ac:dyDescent="0.4">
      <c r="A62" s="13" t="s">
        <v>61</v>
      </c>
      <c r="B62" s="14">
        <v>0</v>
      </c>
      <c r="C62" s="14">
        <v>0</v>
      </c>
      <c r="D62" s="14">
        <v>0</v>
      </c>
      <c r="E62" s="14">
        <v>0</v>
      </c>
      <c r="F62" s="14">
        <v>1</v>
      </c>
      <c r="H62">
        <f>B62-'12 or greater'!B62</f>
        <v>0</v>
      </c>
      <c r="I62">
        <f>C62-'12 or greater'!C62</f>
        <v>0</v>
      </c>
      <c r="J62">
        <f>D62-'12 or greater'!D62</f>
        <v>0</v>
      </c>
      <c r="K62">
        <f>E62-'12 or greater'!E62</f>
        <v>0</v>
      </c>
      <c r="L62">
        <f>F62-'12 or greater'!F62</f>
        <v>1</v>
      </c>
    </row>
    <row r="63" spans="1:12" ht="36.5" thickBot="1" x14ac:dyDescent="0.4">
      <c r="A63" s="11" t="s">
        <v>62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H63">
        <f>B63-'12 or greater'!B63</f>
        <v>0</v>
      </c>
      <c r="I63">
        <f>C63-'12 or greater'!C63</f>
        <v>0</v>
      </c>
      <c r="J63">
        <f>D63-'12 or greater'!D63</f>
        <v>0</v>
      </c>
      <c r="K63">
        <f>E63-'12 or greater'!E63</f>
        <v>0</v>
      </c>
      <c r="L63">
        <f>F63-'12 or greater'!F63</f>
        <v>0</v>
      </c>
    </row>
    <row r="64" spans="1:12" ht="36.5" thickBot="1" x14ac:dyDescent="0.4">
      <c r="A64" s="13" t="s">
        <v>63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H64">
        <f>B64-'12 or greater'!B64</f>
        <v>0</v>
      </c>
      <c r="I64">
        <f>C64-'12 or greater'!C64</f>
        <v>0</v>
      </c>
      <c r="J64">
        <f>D64-'12 or greater'!D64</f>
        <v>0</v>
      </c>
      <c r="K64">
        <f>E64-'12 or greater'!E64</f>
        <v>0</v>
      </c>
      <c r="L64">
        <f>F64-'12 or greater'!F64</f>
        <v>0</v>
      </c>
    </row>
    <row r="65" spans="1:12" ht="36.5" thickBot="1" x14ac:dyDescent="0.4">
      <c r="A65" s="11" t="s">
        <v>64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H65">
        <f>B65-'12 or greater'!B65</f>
        <v>0</v>
      </c>
      <c r="I65">
        <f>C65-'12 or greater'!C65</f>
        <v>0</v>
      </c>
      <c r="J65">
        <f>D65-'12 or greater'!D65</f>
        <v>0</v>
      </c>
      <c r="K65">
        <f>E65-'12 or greater'!E65</f>
        <v>0</v>
      </c>
      <c r="L65">
        <f>F65-'12 or greater'!F65</f>
        <v>0</v>
      </c>
    </row>
    <row r="66" spans="1:12" ht="36.5" thickBot="1" x14ac:dyDescent="0.4">
      <c r="A66" s="13" t="s">
        <v>65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H66">
        <f>B66-'12 or greater'!B66</f>
        <v>0</v>
      </c>
      <c r="I66">
        <f>C66-'12 or greater'!C66</f>
        <v>0</v>
      </c>
      <c r="J66">
        <f>D66-'12 or greater'!D66</f>
        <v>0</v>
      </c>
      <c r="K66">
        <f>E66-'12 or greater'!E66</f>
        <v>0</v>
      </c>
      <c r="L66">
        <f>F66-'12 or greater'!F66</f>
        <v>0</v>
      </c>
    </row>
    <row r="67" spans="1:12" ht="36.5" thickBot="1" x14ac:dyDescent="0.4">
      <c r="A67" s="11" t="s">
        <v>66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H67">
        <f>B67-'12 or greater'!B67</f>
        <v>0</v>
      </c>
      <c r="I67">
        <f>C67-'12 or greater'!C67</f>
        <v>0</v>
      </c>
      <c r="J67">
        <f>D67-'12 or greater'!D67</f>
        <v>0</v>
      </c>
      <c r="K67">
        <f>E67-'12 or greater'!E67</f>
        <v>0</v>
      </c>
      <c r="L67">
        <f>F67-'12 or greater'!F67</f>
        <v>0</v>
      </c>
    </row>
    <row r="68" spans="1:12" ht="36.5" thickBot="1" x14ac:dyDescent="0.4">
      <c r="A68" s="13" t="s">
        <v>67</v>
      </c>
      <c r="B68" s="14">
        <v>0</v>
      </c>
      <c r="C68" s="14">
        <v>0</v>
      </c>
      <c r="D68" s="14">
        <v>0</v>
      </c>
      <c r="E68" s="14">
        <v>0</v>
      </c>
      <c r="F68" s="14">
        <v>0</v>
      </c>
      <c r="H68">
        <f>B68-'12 or greater'!B68</f>
        <v>0</v>
      </c>
      <c r="I68">
        <f>C68-'12 or greater'!C68</f>
        <v>0</v>
      </c>
      <c r="J68">
        <f>D68-'12 or greater'!D68</f>
        <v>0</v>
      </c>
      <c r="K68">
        <f>E68-'12 or greater'!E68</f>
        <v>0</v>
      </c>
      <c r="L68">
        <f>F68-'12 or greater'!F68</f>
        <v>0</v>
      </c>
    </row>
    <row r="69" spans="1:12" ht="36.5" thickBot="1" x14ac:dyDescent="0.4">
      <c r="A69" s="11" t="s">
        <v>68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H69">
        <f>B69-'12 or greater'!B69</f>
        <v>0</v>
      </c>
      <c r="I69">
        <f>C69-'12 or greater'!C69</f>
        <v>0</v>
      </c>
      <c r="J69">
        <f>D69-'12 or greater'!D69</f>
        <v>0</v>
      </c>
      <c r="K69">
        <f>E69-'12 or greater'!E69</f>
        <v>0</v>
      </c>
      <c r="L69">
        <f>F69-'12 or greater'!F69</f>
        <v>0</v>
      </c>
    </row>
    <row r="70" spans="1:12" ht="36.5" thickBot="1" x14ac:dyDescent="0.4">
      <c r="A70" s="13" t="s">
        <v>69</v>
      </c>
      <c r="B70" s="14">
        <v>0</v>
      </c>
      <c r="C70" s="14">
        <v>0</v>
      </c>
      <c r="D70" s="14">
        <v>0</v>
      </c>
      <c r="E70" s="14">
        <v>0</v>
      </c>
      <c r="F70" s="14">
        <v>0</v>
      </c>
      <c r="H70">
        <f>B70-'12 or greater'!B70</f>
        <v>0</v>
      </c>
      <c r="I70">
        <f>C70-'12 or greater'!C70</f>
        <v>0</v>
      </c>
      <c r="J70">
        <f>D70-'12 or greater'!D70</f>
        <v>0</v>
      </c>
      <c r="K70">
        <f>E70-'12 or greater'!E70</f>
        <v>0</v>
      </c>
      <c r="L70">
        <f>F70-'12 or greater'!F70</f>
        <v>0</v>
      </c>
    </row>
    <row r="71" spans="1:12" ht="36.5" thickBot="1" x14ac:dyDescent="0.4">
      <c r="A71" s="11" t="s">
        <v>70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H71">
        <f>B71-'12 or greater'!B71</f>
        <v>0</v>
      </c>
      <c r="I71">
        <f>C71-'12 or greater'!C71</f>
        <v>0</v>
      </c>
      <c r="J71">
        <f>D71-'12 or greater'!D71</f>
        <v>0</v>
      </c>
      <c r="K71">
        <f>E71-'12 or greater'!E71</f>
        <v>0</v>
      </c>
      <c r="L71">
        <f>F71-'12 or greater'!F71</f>
        <v>0</v>
      </c>
    </row>
    <row r="72" spans="1:12" ht="36.5" thickBot="1" x14ac:dyDescent="0.4">
      <c r="A72" s="13" t="s">
        <v>71</v>
      </c>
      <c r="B72" s="14">
        <v>0</v>
      </c>
      <c r="C72" s="14">
        <v>0</v>
      </c>
      <c r="D72" s="14">
        <v>0</v>
      </c>
      <c r="E72" s="14">
        <v>1</v>
      </c>
      <c r="F72" s="14">
        <v>1</v>
      </c>
      <c r="H72">
        <f>B72-'12 or greater'!B72</f>
        <v>0</v>
      </c>
      <c r="I72">
        <f>C72-'12 or greater'!C72</f>
        <v>0</v>
      </c>
      <c r="J72">
        <f>D72-'12 or greater'!D72</f>
        <v>0</v>
      </c>
      <c r="K72">
        <f>E72-'12 or greater'!E72</f>
        <v>1</v>
      </c>
      <c r="L72">
        <f>F72-'12 or greater'!F72</f>
        <v>0</v>
      </c>
    </row>
    <row r="73" spans="1:12" ht="36.5" thickBot="1" x14ac:dyDescent="0.4">
      <c r="A73" s="11" t="s">
        <v>72</v>
      </c>
      <c r="B73" s="12">
        <v>0</v>
      </c>
      <c r="C73" s="12">
        <v>0</v>
      </c>
      <c r="D73" s="12">
        <v>0</v>
      </c>
      <c r="E73" s="12">
        <v>0</v>
      </c>
      <c r="F73" s="12">
        <v>1</v>
      </c>
      <c r="H73">
        <f>B73-'12 or greater'!B73</f>
        <v>0</v>
      </c>
      <c r="I73">
        <f>C73-'12 or greater'!C73</f>
        <v>0</v>
      </c>
      <c r="J73">
        <f>D73-'12 or greater'!D73</f>
        <v>0</v>
      </c>
      <c r="K73">
        <f>E73-'12 or greater'!E73</f>
        <v>0</v>
      </c>
      <c r="L73">
        <f>F73-'12 or greater'!F73</f>
        <v>1</v>
      </c>
    </row>
    <row r="74" spans="1:12" ht="36.5" thickBot="1" x14ac:dyDescent="0.4">
      <c r="A74" s="13" t="s">
        <v>73</v>
      </c>
      <c r="B74" s="14">
        <v>0</v>
      </c>
      <c r="C74" s="14">
        <v>0</v>
      </c>
      <c r="D74" s="14">
        <v>0</v>
      </c>
      <c r="E74" s="14">
        <v>0</v>
      </c>
      <c r="F74" s="14">
        <v>0</v>
      </c>
      <c r="H74">
        <f>B74-'12 or greater'!B74</f>
        <v>0</v>
      </c>
      <c r="I74">
        <f>C74-'12 or greater'!C74</f>
        <v>0</v>
      </c>
      <c r="J74">
        <f>D74-'12 or greater'!D74</f>
        <v>0</v>
      </c>
      <c r="K74">
        <f>E74-'12 or greater'!E74</f>
        <v>0</v>
      </c>
      <c r="L74">
        <f>F74-'12 or greater'!F74</f>
        <v>0</v>
      </c>
    </row>
    <row r="75" spans="1:12" ht="36.5" thickBot="1" x14ac:dyDescent="0.4">
      <c r="A75" s="11" t="s">
        <v>74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H75">
        <f>B75-'12 or greater'!B75</f>
        <v>0</v>
      </c>
      <c r="I75">
        <f>C75-'12 or greater'!C75</f>
        <v>0</v>
      </c>
      <c r="J75">
        <f>D75-'12 or greater'!D75</f>
        <v>0</v>
      </c>
      <c r="K75">
        <f>E75-'12 or greater'!E75</f>
        <v>0</v>
      </c>
      <c r="L75">
        <f>F75-'12 or greater'!F75</f>
        <v>0</v>
      </c>
    </row>
    <row r="76" spans="1:12" ht="36.5" thickBot="1" x14ac:dyDescent="0.4">
      <c r="A76" s="13" t="s">
        <v>75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  <c r="H76">
        <f>B76-'12 or greater'!B76</f>
        <v>0</v>
      </c>
      <c r="I76">
        <f>C76-'12 or greater'!C76</f>
        <v>0</v>
      </c>
      <c r="J76">
        <f>D76-'12 or greater'!D76</f>
        <v>0</v>
      </c>
      <c r="K76">
        <f>E76-'12 or greater'!E76</f>
        <v>0</v>
      </c>
      <c r="L76">
        <f>F76-'12 or greater'!F76</f>
        <v>0</v>
      </c>
    </row>
    <row r="77" spans="1:12" ht="36.5" thickBot="1" x14ac:dyDescent="0.4">
      <c r="A77" s="11" t="s">
        <v>76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H77">
        <f>B77-'12 or greater'!B77</f>
        <v>0</v>
      </c>
      <c r="I77">
        <f>C77-'12 or greater'!C77</f>
        <v>0</v>
      </c>
      <c r="J77">
        <f>D77-'12 or greater'!D77</f>
        <v>0</v>
      </c>
      <c r="K77">
        <f>E77-'12 or greater'!E77</f>
        <v>0</v>
      </c>
      <c r="L77">
        <f>F77-'12 or greater'!F77</f>
        <v>0</v>
      </c>
    </row>
    <row r="78" spans="1:12" ht="36.5" thickBot="1" x14ac:dyDescent="0.4">
      <c r="A78" s="13" t="s">
        <v>77</v>
      </c>
      <c r="B78" s="14">
        <v>0</v>
      </c>
      <c r="C78" s="14">
        <v>1</v>
      </c>
      <c r="D78" s="14">
        <v>0</v>
      </c>
      <c r="E78" s="14">
        <v>0</v>
      </c>
      <c r="F78" s="14">
        <v>0</v>
      </c>
      <c r="H78">
        <f>B78-'12 or greater'!B78</f>
        <v>0</v>
      </c>
      <c r="I78">
        <f>C78-'12 or greater'!C78</f>
        <v>1</v>
      </c>
      <c r="J78">
        <f>D78-'12 or greater'!D78</f>
        <v>0</v>
      </c>
      <c r="K78">
        <f>E78-'12 or greater'!E78</f>
        <v>0</v>
      </c>
      <c r="L78">
        <f>F78-'12 or greater'!F78</f>
        <v>0</v>
      </c>
    </row>
    <row r="79" spans="1:12" ht="36.5" thickBot="1" x14ac:dyDescent="0.4">
      <c r="A79" s="11" t="s">
        <v>78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H79">
        <f>B79-'12 or greater'!B79</f>
        <v>0</v>
      </c>
      <c r="I79">
        <f>C79-'12 or greater'!C79</f>
        <v>0</v>
      </c>
      <c r="J79">
        <f>D79-'12 or greater'!D79</f>
        <v>0</v>
      </c>
      <c r="K79">
        <f>E79-'12 or greater'!E79</f>
        <v>0</v>
      </c>
      <c r="L79">
        <f>F79-'12 or greater'!F79</f>
        <v>0</v>
      </c>
    </row>
    <row r="80" spans="1:12" ht="36.5" thickBot="1" x14ac:dyDescent="0.4">
      <c r="A80" s="13" t="s">
        <v>79</v>
      </c>
      <c r="B80" s="14">
        <v>1</v>
      </c>
      <c r="C80" s="14">
        <v>0</v>
      </c>
      <c r="D80" s="14">
        <v>0</v>
      </c>
      <c r="E80" s="14">
        <v>0</v>
      </c>
      <c r="F80" s="14">
        <v>0</v>
      </c>
      <c r="H80">
        <f>B80-'12 or greater'!B80</f>
        <v>1</v>
      </c>
      <c r="I80">
        <f>C80-'12 or greater'!C80</f>
        <v>0</v>
      </c>
      <c r="J80">
        <f>D80-'12 or greater'!D80</f>
        <v>0</v>
      </c>
      <c r="K80">
        <f>E80-'12 or greater'!E80</f>
        <v>0</v>
      </c>
      <c r="L80">
        <f>F80-'12 or greater'!F80</f>
        <v>0</v>
      </c>
    </row>
    <row r="81" spans="1:12" ht="36.5" thickBot="1" x14ac:dyDescent="0.4">
      <c r="A81" s="11" t="s">
        <v>80</v>
      </c>
      <c r="B81" s="12">
        <v>0</v>
      </c>
      <c r="C81" s="12">
        <v>0</v>
      </c>
      <c r="D81" s="12">
        <v>0</v>
      </c>
      <c r="E81" s="12">
        <v>0</v>
      </c>
      <c r="F81" s="12">
        <v>1</v>
      </c>
      <c r="H81">
        <f>B81-'12 or greater'!B81</f>
        <v>0</v>
      </c>
      <c r="I81">
        <f>C81-'12 or greater'!C81</f>
        <v>0</v>
      </c>
      <c r="J81">
        <f>D81-'12 or greater'!D81</f>
        <v>0</v>
      </c>
      <c r="K81">
        <f>E81-'12 or greater'!E81</f>
        <v>0</v>
      </c>
      <c r="L81">
        <f>F81-'12 or greater'!F81</f>
        <v>1</v>
      </c>
    </row>
    <row r="82" spans="1:12" ht="36.5" thickBot="1" x14ac:dyDescent="0.4">
      <c r="A82" s="13" t="s">
        <v>81</v>
      </c>
      <c r="B82" s="14">
        <v>0</v>
      </c>
      <c r="C82" s="14">
        <v>0</v>
      </c>
      <c r="D82" s="14">
        <v>0</v>
      </c>
      <c r="E82" s="14">
        <v>0</v>
      </c>
      <c r="F82" s="14">
        <v>0</v>
      </c>
      <c r="H82">
        <f>B82-'12 or greater'!B82</f>
        <v>0</v>
      </c>
      <c r="I82">
        <f>C82-'12 or greater'!C82</f>
        <v>0</v>
      </c>
      <c r="J82">
        <f>D82-'12 or greater'!D82</f>
        <v>0</v>
      </c>
      <c r="K82">
        <f>E82-'12 or greater'!E82</f>
        <v>0</v>
      </c>
      <c r="L82">
        <f>F82-'12 or greater'!F82</f>
        <v>0</v>
      </c>
    </row>
    <row r="83" spans="1:12" ht="36.5" thickBot="1" x14ac:dyDescent="0.4">
      <c r="A83" s="11" t="s">
        <v>82</v>
      </c>
      <c r="B83" s="12">
        <v>2</v>
      </c>
      <c r="C83" s="12">
        <v>0</v>
      </c>
      <c r="D83" s="12">
        <v>0</v>
      </c>
      <c r="E83" s="12">
        <v>0</v>
      </c>
      <c r="F83" s="12">
        <v>0</v>
      </c>
      <c r="H83">
        <f>B83-'12 or greater'!B83</f>
        <v>2</v>
      </c>
      <c r="I83">
        <f>C83-'12 or greater'!C83</f>
        <v>0</v>
      </c>
      <c r="J83">
        <f>D83-'12 or greater'!D83</f>
        <v>0</v>
      </c>
      <c r="K83">
        <f>E83-'12 or greater'!E83</f>
        <v>0</v>
      </c>
      <c r="L83">
        <f>F83-'12 or greater'!F83</f>
        <v>0</v>
      </c>
    </row>
    <row r="84" spans="1:12" ht="36.5" thickBot="1" x14ac:dyDescent="0.4">
      <c r="A84" s="13" t="s">
        <v>83</v>
      </c>
      <c r="B84" s="14">
        <v>0</v>
      </c>
      <c r="C84" s="14">
        <v>0</v>
      </c>
      <c r="D84" s="14">
        <v>0</v>
      </c>
      <c r="E84" s="14">
        <v>0</v>
      </c>
      <c r="F84" s="14">
        <v>1</v>
      </c>
      <c r="H84">
        <f>B84-'12 or greater'!B84</f>
        <v>0</v>
      </c>
      <c r="I84">
        <f>C84-'12 or greater'!C84</f>
        <v>0</v>
      </c>
      <c r="J84">
        <f>D84-'12 or greater'!D84</f>
        <v>0</v>
      </c>
      <c r="K84">
        <f>E84-'12 or greater'!E84</f>
        <v>0</v>
      </c>
      <c r="L84">
        <f>F84-'12 or greater'!F84</f>
        <v>1</v>
      </c>
    </row>
    <row r="85" spans="1:12" ht="36.5" thickBot="1" x14ac:dyDescent="0.4">
      <c r="A85" s="11" t="s">
        <v>84</v>
      </c>
      <c r="B85" s="12">
        <v>0</v>
      </c>
      <c r="C85" s="12">
        <v>0</v>
      </c>
      <c r="D85" s="12">
        <v>0</v>
      </c>
      <c r="E85" s="12">
        <v>1</v>
      </c>
      <c r="F85" s="12">
        <v>0</v>
      </c>
      <c r="H85">
        <f>B85-'12 or greater'!B85</f>
        <v>0</v>
      </c>
      <c r="I85">
        <f>C85-'12 or greater'!C85</f>
        <v>0</v>
      </c>
      <c r="J85">
        <f>D85-'12 or greater'!D85</f>
        <v>0</v>
      </c>
      <c r="K85">
        <f>E85-'12 or greater'!E85</f>
        <v>1</v>
      </c>
      <c r="L85">
        <f>F85-'12 or greater'!F85</f>
        <v>0</v>
      </c>
    </row>
    <row r="86" spans="1:12" ht="36.5" thickBot="1" x14ac:dyDescent="0.4">
      <c r="A86" s="13" t="s">
        <v>85</v>
      </c>
      <c r="B86" s="14">
        <v>0</v>
      </c>
      <c r="C86" s="14">
        <v>0</v>
      </c>
      <c r="D86" s="14">
        <v>0</v>
      </c>
      <c r="E86" s="14">
        <v>0</v>
      </c>
      <c r="F86" s="14">
        <v>0</v>
      </c>
      <c r="H86">
        <f>B86-'12 or greater'!B86</f>
        <v>0</v>
      </c>
      <c r="I86">
        <f>C86-'12 or greater'!C86</f>
        <v>0</v>
      </c>
      <c r="J86">
        <f>D86-'12 or greater'!D86</f>
        <v>0</v>
      </c>
      <c r="K86">
        <f>E86-'12 or greater'!E86</f>
        <v>0</v>
      </c>
      <c r="L86">
        <f>F86-'12 or greater'!F86</f>
        <v>0</v>
      </c>
    </row>
    <row r="87" spans="1:12" ht="36.5" thickBot="1" x14ac:dyDescent="0.4">
      <c r="A87" s="11" t="s">
        <v>86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H87">
        <f>B87-'12 or greater'!B87</f>
        <v>0</v>
      </c>
      <c r="I87">
        <f>C87-'12 or greater'!C87</f>
        <v>0</v>
      </c>
      <c r="J87">
        <f>D87-'12 or greater'!D87</f>
        <v>0</v>
      </c>
      <c r="K87">
        <f>E87-'12 or greater'!E87</f>
        <v>0</v>
      </c>
      <c r="L87">
        <f>F87-'12 or greater'!F87</f>
        <v>0</v>
      </c>
    </row>
    <row r="88" spans="1:12" ht="36.5" thickBot="1" x14ac:dyDescent="0.4">
      <c r="A88" s="13" t="s">
        <v>87</v>
      </c>
      <c r="B88" s="14">
        <v>0</v>
      </c>
      <c r="C88" s="14">
        <v>0</v>
      </c>
      <c r="D88" s="14">
        <v>0</v>
      </c>
      <c r="E88" s="14">
        <v>0</v>
      </c>
      <c r="F88" s="14">
        <v>1</v>
      </c>
      <c r="H88">
        <f>B88-'12 or greater'!B88</f>
        <v>0</v>
      </c>
      <c r="I88">
        <f>C88-'12 or greater'!C88</f>
        <v>0</v>
      </c>
      <c r="J88">
        <f>D88-'12 or greater'!D88</f>
        <v>0</v>
      </c>
      <c r="K88">
        <f>E88-'12 or greater'!E88</f>
        <v>0</v>
      </c>
      <c r="L88">
        <f>F88-'12 or greater'!F88</f>
        <v>1</v>
      </c>
    </row>
    <row r="89" spans="1:12" ht="36.5" thickBot="1" x14ac:dyDescent="0.4">
      <c r="A89" s="11" t="s">
        <v>88</v>
      </c>
      <c r="B89" s="12">
        <v>1</v>
      </c>
      <c r="C89" s="12">
        <v>0</v>
      </c>
      <c r="D89" s="12">
        <v>0</v>
      </c>
      <c r="E89" s="12">
        <v>0</v>
      </c>
      <c r="F89" s="12">
        <v>0</v>
      </c>
      <c r="H89">
        <f>B89-'12 or greater'!B89</f>
        <v>1</v>
      </c>
      <c r="I89">
        <f>C89-'12 or greater'!C89</f>
        <v>0</v>
      </c>
      <c r="J89">
        <f>D89-'12 or greater'!D89</f>
        <v>0</v>
      </c>
      <c r="K89">
        <f>E89-'12 or greater'!E89</f>
        <v>0</v>
      </c>
      <c r="L89">
        <f>F89-'12 or greater'!F89</f>
        <v>0</v>
      </c>
    </row>
    <row r="90" spans="1:12" ht="36.5" thickBot="1" x14ac:dyDescent="0.4">
      <c r="A90" s="13" t="s">
        <v>89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H90">
        <f>B90-'12 or greater'!B90</f>
        <v>0</v>
      </c>
      <c r="I90">
        <f>C90-'12 or greater'!C90</f>
        <v>0</v>
      </c>
      <c r="J90">
        <f>D90-'12 or greater'!D90</f>
        <v>0</v>
      </c>
      <c r="K90">
        <f>E90-'12 or greater'!E90</f>
        <v>0</v>
      </c>
      <c r="L90">
        <f>F90-'12 or greater'!F90</f>
        <v>0</v>
      </c>
    </row>
    <row r="91" spans="1:12" ht="36.5" thickBot="1" x14ac:dyDescent="0.4">
      <c r="A91" s="11" t="s">
        <v>90</v>
      </c>
      <c r="B91" s="12">
        <v>0</v>
      </c>
      <c r="C91" s="12">
        <v>1</v>
      </c>
      <c r="D91" s="12">
        <v>0</v>
      </c>
      <c r="E91" s="12">
        <v>0</v>
      </c>
      <c r="F91" s="12">
        <v>0</v>
      </c>
      <c r="H91">
        <f>B91-'12 or greater'!B91</f>
        <v>0</v>
      </c>
      <c r="I91">
        <f>C91-'12 or greater'!C91</f>
        <v>1</v>
      </c>
      <c r="J91">
        <f>D91-'12 or greater'!D91</f>
        <v>0</v>
      </c>
      <c r="K91">
        <f>E91-'12 or greater'!E91</f>
        <v>0</v>
      </c>
      <c r="L91">
        <f>F91-'12 or greater'!F91</f>
        <v>0</v>
      </c>
    </row>
    <row r="92" spans="1:12" ht="36.5" thickBot="1" x14ac:dyDescent="0.4">
      <c r="A92" s="13" t="s">
        <v>91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H92">
        <f>B92-'12 or greater'!B92</f>
        <v>0</v>
      </c>
      <c r="I92">
        <f>C92-'12 or greater'!C92</f>
        <v>0</v>
      </c>
      <c r="J92">
        <f>D92-'12 or greater'!D92</f>
        <v>0</v>
      </c>
      <c r="K92">
        <f>E92-'12 or greater'!E92</f>
        <v>0</v>
      </c>
      <c r="L92">
        <f>F92-'12 or greater'!F92</f>
        <v>0</v>
      </c>
    </row>
    <row r="93" spans="1:12" ht="36.5" thickBot="1" x14ac:dyDescent="0.4">
      <c r="A93" s="11" t="s">
        <v>92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H93">
        <f>B93-'12 or greater'!B93</f>
        <v>0</v>
      </c>
      <c r="I93">
        <f>C93-'12 or greater'!C93</f>
        <v>0</v>
      </c>
      <c r="J93">
        <f>D93-'12 or greater'!D93</f>
        <v>0</v>
      </c>
      <c r="K93">
        <f>E93-'12 or greater'!E93</f>
        <v>0</v>
      </c>
      <c r="L93">
        <f>F93-'12 or greater'!F93</f>
        <v>0</v>
      </c>
    </row>
    <row r="94" spans="1:12" ht="36.5" thickBot="1" x14ac:dyDescent="0.4">
      <c r="A94" s="13" t="s">
        <v>93</v>
      </c>
      <c r="B94" s="14">
        <v>0</v>
      </c>
      <c r="C94" s="14">
        <v>0</v>
      </c>
      <c r="D94" s="14">
        <v>0</v>
      </c>
      <c r="E94" s="14">
        <v>0</v>
      </c>
      <c r="F94" s="14">
        <v>0</v>
      </c>
      <c r="H94">
        <f>B94-'12 or greater'!B94</f>
        <v>0</v>
      </c>
      <c r="I94">
        <f>C94-'12 or greater'!C94</f>
        <v>0</v>
      </c>
      <c r="J94">
        <f>D94-'12 or greater'!D94</f>
        <v>0</v>
      </c>
      <c r="K94">
        <f>E94-'12 or greater'!E94</f>
        <v>0</v>
      </c>
      <c r="L94">
        <f>F94-'12 or greater'!F94</f>
        <v>0</v>
      </c>
    </row>
    <row r="95" spans="1:12" ht="36.5" thickBot="1" x14ac:dyDescent="0.4">
      <c r="A95" s="11" t="s">
        <v>94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H95">
        <f>B95-'12 or greater'!B95</f>
        <v>0</v>
      </c>
      <c r="I95">
        <f>C95-'12 or greater'!C95</f>
        <v>0</v>
      </c>
      <c r="J95">
        <f>D95-'12 or greater'!D95</f>
        <v>0</v>
      </c>
      <c r="K95">
        <f>E95-'12 or greater'!E95</f>
        <v>0</v>
      </c>
      <c r="L95">
        <f>F95-'12 or greater'!F95</f>
        <v>0</v>
      </c>
    </row>
    <row r="96" spans="1:12" ht="36.5" thickBot="1" x14ac:dyDescent="0.4">
      <c r="A96" s="13" t="s">
        <v>95</v>
      </c>
      <c r="B96" s="14">
        <v>0</v>
      </c>
      <c r="C96" s="14">
        <v>0</v>
      </c>
      <c r="D96" s="14">
        <v>0</v>
      </c>
      <c r="E96" s="14">
        <v>0</v>
      </c>
      <c r="F96" s="14">
        <v>0</v>
      </c>
      <c r="H96">
        <f>B96-'12 or greater'!B96</f>
        <v>0</v>
      </c>
      <c r="I96">
        <f>C96-'12 or greater'!C96</f>
        <v>0</v>
      </c>
      <c r="J96">
        <f>D96-'12 or greater'!D96</f>
        <v>0</v>
      </c>
      <c r="K96">
        <f>E96-'12 or greater'!E96</f>
        <v>0</v>
      </c>
      <c r="L96">
        <f>F96-'12 or greater'!F96</f>
        <v>0</v>
      </c>
    </row>
    <row r="97" spans="1:12" ht="36.5" thickBot="1" x14ac:dyDescent="0.4">
      <c r="A97" s="11" t="s">
        <v>96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H97">
        <f>B97-'12 or greater'!B97</f>
        <v>0</v>
      </c>
      <c r="I97">
        <f>C97-'12 or greater'!C97</f>
        <v>0</v>
      </c>
      <c r="J97">
        <f>D97-'12 or greater'!D97</f>
        <v>0</v>
      </c>
      <c r="K97">
        <f>E97-'12 or greater'!E97</f>
        <v>0</v>
      </c>
      <c r="L97">
        <f>F97-'12 or greater'!F97</f>
        <v>0</v>
      </c>
    </row>
    <row r="98" spans="1:12" ht="36.5" thickBot="1" x14ac:dyDescent="0.4">
      <c r="A98" s="13" t="s">
        <v>97</v>
      </c>
      <c r="B98" s="14">
        <v>0</v>
      </c>
      <c r="C98" s="14">
        <v>0</v>
      </c>
      <c r="D98" s="14">
        <v>0</v>
      </c>
      <c r="E98" s="14">
        <v>0</v>
      </c>
      <c r="F98" s="14">
        <v>0</v>
      </c>
      <c r="H98">
        <f>B98-'12 or greater'!B98</f>
        <v>0</v>
      </c>
      <c r="I98">
        <f>C98-'12 or greater'!C98</f>
        <v>0</v>
      </c>
      <c r="J98">
        <f>D98-'12 or greater'!D98</f>
        <v>0</v>
      </c>
      <c r="K98">
        <f>E98-'12 or greater'!E98</f>
        <v>0</v>
      </c>
      <c r="L98">
        <f>F98-'12 or greater'!F98</f>
        <v>0</v>
      </c>
    </row>
    <row r="99" spans="1:12" ht="36.5" thickBot="1" x14ac:dyDescent="0.4">
      <c r="A99" s="11" t="s">
        <v>98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H99">
        <f>B99-'12 or greater'!B99</f>
        <v>0</v>
      </c>
      <c r="I99">
        <f>C99-'12 or greater'!C99</f>
        <v>0</v>
      </c>
      <c r="J99">
        <f>D99-'12 or greater'!D99</f>
        <v>0</v>
      </c>
      <c r="K99">
        <f>E99-'12 or greater'!E99</f>
        <v>0</v>
      </c>
      <c r="L99">
        <f>F99-'12 or greater'!F99</f>
        <v>0</v>
      </c>
    </row>
    <row r="100" spans="1:12" ht="36.5" thickBot="1" x14ac:dyDescent="0.4">
      <c r="A100" s="13" t="s">
        <v>99</v>
      </c>
      <c r="B100" s="14">
        <v>0</v>
      </c>
      <c r="C100" s="14">
        <v>0</v>
      </c>
      <c r="D100" s="14">
        <v>0</v>
      </c>
      <c r="E100" s="14">
        <v>0</v>
      </c>
      <c r="F100" s="14">
        <v>1</v>
      </c>
      <c r="H100">
        <f>B100-'12 or greater'!B100</f>
        <v>0</v>
      </c>
      <c r="I100">
        <f>C100-'12 or greater'!C100</f>
        <v>0</v>
      </c>
      <c r="J100">
        <f>D100-'12 or greater'!D100</f>
        <v>0</v>
      </c>
      <c r="K100">
        <f>E100-'12 or greater'!E100</f>
        <v>0</v>
      </c>
      <c r="L100">
        <f>F100-'12 or greater'!F100</f>
        <v>1</v>
      </c>
    </row>
    <row r="101" spans="1:12" ht="36.5" thickBot="1" x14ac:dyDescent="0.4">
      <c r="A101" s="11" t="s">
        <v>100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H101">
        <f>B101-'12 or greater'!B101</f>
        <v>0</v>
      </c>
      <c r="I101">
        <f>C101-'12 or greater'!C101</f>
        <v>0</v>
      </c>
      <c r="J101">
        <f>D101-'12 or greater'!D101</f>
        <v>0</v>
      </c>
      <c r="K101">
        <f>E101-'12 or greater'!E101</f>
        <v>0</v>
      </c>
      <c r="L101">
        <f>F101-'12 or greater'!F101</f>
        <v>0</v>
      </c>
    </row>
    <row r="102" spans="1:12" ht="36.5" thickBot="1" x14ac:dyDescent="0.4">
      <c r="A102" s="13" t="s">
        <v>101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H102">
        <f>B102-'12 or greater'!B102</f>
        <v>0</v>
      </c>
      <c r="I102">
        <f>C102-'12 or greater'!C102</f>
        <v>0</v>
      </c>
      <c r="J102">
        <f>D102-'12 or greater'!D102</f>
        <v>0</v>
      </c>
      <c r="K102">
        <f>E102-'12 or greater'!E102</f>
        <v>0</v>
      </c>
      <c r="L102">
        <f>F102-'12 or greater'!F102</f>
        <v>0</v>
      </c>
    </row>
    <row r="103" spans="1:12" ht="36.5" thickBot="1" x14ac:dyDescent="0.4">
      <c r="A103" s="11" t="s">
        <v>102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H103">
        <f>B103-'12 or greater'!B103</f>
        <v>0</v>
      </c>
      <c r="I103">
        <f>C103-'12 or greater'!C103</f>
        <v>0</v>
      </c>
      <c r="J103">
        <f>D103-'12 or greater'!D103</f>
        <v>0</v>
      </c>
      <c r="K103">
        <f>E103-'12 or greater'!E103</f>
        <v>0</v>
      </c>
      <c r="L103">
        <f>F103-'12 or greater'!F103</f>
        <v>0</v>
      </c>
    </row>
    <row r="104" spans="1:12" ht="36.5" thickBot="1" x14ac:dyDescent="0.4">
      <c r="A104" s="13" t="s">
        <v>103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H104">
        <f>B104-'12 or greater'!B104</f>
        <v>0</v>
      </c>
      <c r="I104">
        <f>C104-'12 or greater'!C104</f>
        <v>0</v>
      </c>
      <c r="J104">
        <f>D104-'12 or greater'!D104</f>
        <v>0</v>
      </c>
      <c r="K104">
        <f>E104-'12 or greater'!E104</f>
        <v>0</v>
      </c>
      <c r="L104">
        <f>F104-'12 or greater'!F104</f>
        <v>0</v>
      </c>
    </row>
    <row r="105" spans="1:12" ht="36.5" thickBot="1" x14ac:dyDescent="0.4">
      <c r="A105" s="11" t="s">
        <v>104</v>
      </c>
      <c r="B105" s="12">
        <v>0</v>
      </c>
      <c r="C105" s="12">
        <v>0</v>
      </c>
      <c r="D105" s="12">
        <v>0</v>
      </c>
      <c r="E105" s="12">
        <v>0</v>
      </c>
      <c r="F105" s="12">
        <v>0</v>
      </c>
      <c r="H105">
        <f>B105-'12 or greater'!B105</f>
        <v>0</v>
      </c>
      <c r="I105">
        <f>C105-'12 or greater'!C105</f>
        <v>0</v>
      </c>
      <c r="J105">
        <f>D105-'12 or greater'!D105</f>
        <v>0</v>
      </c>
      <c r="K105">
        <f>E105-'12 or greater'!E105</f>
        <v>0</v>
      </c>
      <c r="L105">
        <f>F105-'12 or greater'!F105</f>
        <v>0</v>
      </c>
    </row>
    <row r="106" spans="1:12" ht="36.5" thickBot="1" x14ac:dyDescent="0.4">
      <c r="A106" s="13" t="s">
        <v>105</v>
      </c>
      <c r="B106" s="14">
        <v>0</v>
      </c>
      <c r="C106" s="14">
        <v>0</v>
      </c>
      <c r="D106" s="14">
        <v>0</v>
      </c>
      <c r="E106" s="14">
        <v>0</v>
      </c>
      <c r="F106" s="14">
        <v>1</v>
      </c>
      <c r="H106">
        <f>B106-'12 or greater'!B106</f>
        <v>0</v>
      </c>
      <c r="I106">
        <f>C106-'12 or greater'!C106</f>
        <v>0</v>
      </c>
      <c r="J106">
        <f>D106-'12 or greater'!D106</f>
        <v>0</v>
      </c>
      <c r="K106">
        <f>E106-'12 or greater'!E106</f>
        <v>0</v>
      </c>
      <c r="L106">
        <f>F106-'12 or greater'!F106</f>
        <v>1</v>
      </c>
    </row>
    <row r="107" spans="1:12" ht="36.5" thickBot="1" x14ac:dyDescent="0.4">
      <c r="A107" s="11" t="s">
        <v>106</v>
      </c>
      <c r="B107" s="12">
        <v>0</v>
      </c>
      <c r="C107" s="12">
        <v>0</v>
      </c>
      <c r="D107" s="12">
        <v>1</v>
      </c>
      <c r="E107" s="12">
        <v>0</v>
      </c>
      <c r="F107" s="12">
        <v>3</v>
      </c>
      <c r="H107">
        <f>B107-'12 or greater'!B107</f>
        <v>0</v>
      </c>
      <c r="I107">
        <f>C107-'12 or greater'!C107</f>
        <v>0</v>
      </c>
      <c r="J107">
        <f>D107-'12 or greater'!D107</f>
        <v>0</v>
      </c>
      <c r="K107">
        <f>E107-'12 or greater'!E107</f>
        <v>0</v>
      </c>
      <c r="L107">
        <f>F107-'12 or greater'!F107</f>
        <v>3</v>
      </c>
    </row>
    <row r="108" spans="1:12" ht="36.5" thickBot="1" x14ac:dyDescent="0.4">
      <c r="A108" s="13" t="s">
        <v>107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H108">
        <f>B108-'12 or greater'!B108</f>
        <v>0</v>
      </c>
      <c r="I108">
        <f>C108-'12 or greater'!C108</f>
        <v>0</v>
      </c>
      <c r="J108">
        <f>D108-'12 or greater'!D108</f>
        <v>0</v>
      </c>
      <c r="K108">
        <f>E108-'12 or greater'!E108</f>
        <v>0</v>
      </c>
      <c r="L108">
        <f>F108-'12 or greater'!F108</f>
        <v>0</v>
      </c>
    </row>
    <row r="109" spans="1:12" ht="36.5" thickBot="1" x14ac:dyDescent="0.4">
      <c r="A109" s="11" t="s">
        <v>108</v>
      </c>
      <c r="B109" s="12">
        <v>0</v>
      </c>
      <c r="C109" s="12">
        <v>0</v>
      </c>
      <c r="D109" s="12">
        <v>0</v>
      </c>
      <c r="E109" s="12">
        <v>0</v>
      </c>
      <c r="F109" s="12">
        <v>1</v>
      </c>
      <c r="H109">
        <f>B109-'12 or greater'!B109</f>
        <v>0</v>
      </c>
      <c r="I109">
        <f>C109-'12 or greater'!C109</f>
        <v>0</v>
      </c>
      <c r="J109">
        <f>D109-'12 or greater'!D109</f>
        <v>0</v>
      </c>
      <c r="K109">
        <f>E109-'12 or greater'!E109</f>
        <v>0</v>
      </c>
      <c r="L109">
        <f>F109-'12 or greater'!F109</f>
        <v>1</v>
      </c>
    </row>
    <row r="110" spans="1:12" ht="36.5" thickBot="1" x14ac:dyDescent="0.4">
      <c r="A110" s="13" t="s">
        <v>109</v>
      </c>
      <c r="B110" s="14">
        <v>0</v>
      </c>
      <c r="C110" s="14">
        <v>0</v>
      </c>
      <c r="D110" s="14">
        <v>0</v>
      </c>
      <c r="E110" s="14">
        <v>0</v>
      </c>
      <c r="F110" s="14">
        <v>0</v>
      </c>
      <c r="H110">
        <f>B110-'12 or greater'!B110</f>
        <v>0</v>
      </c>
      <c r="I110">
        <f>C110-'12 or greater'!C110</f>
        <v>0</v>
      </c>
      <c r="J110">
        <f>D110-'12 or greater'!D110</f>
        <v>0</v>
      </c>
      <c r="K110">
        <f>E110-'12 or greater'!E110</f>
        <v>0</v>
      </c>
      <c r="L110">
        <f>F110-'12 or greater'!F110</f>
        <v>0</v>
      </c>
    </row>
    <row r="111" spans="1:12" ht="36.5" thickBot="1" x14ac:dyDescent="0.4">
      <c r="A111" s="11" t="s">
        <v>110</v>
      </c>
      <c r="B111" s="12">
        <v>0</v>
      </c>
      <c r="C111" s="12">
        <v>1</v>
      </c>
      <c r="D111" s="12">
        <v>0</v>
      </c>
      <c r="E111" s="12">
        <v>1</v>
      </c>
      <c r="F111" s="12">
        <v>0</v>
      </c>
      <c r="H111">
        <f>B111-'12 or greater'!B111</f>
        <v>0</v>
      </c>
      <c r="I111">
        <f>C111-'12 or greater'!C111</f>
        <v>1</v>
      </c>
      <c r="J111">
        <f>D111-'12 or greater'!D111</f>
        <v>0</v>
      </c>
      <c r="K111">
        <f>E111-'12 or greater'!E111</f>
        <v>1</v>
      </c>
      <c r="L111">
        <f>F111-'12 or greater'!F111</f>
        <v>0</v>
      </c>
    </row>
    <row r="112" spans="1:12" ht="36.5" thickBot="1" x14ac:dyDescent="0.4">
      <c r="A112" s="13" t="s">
        <v>111</v>
      </c>
      <c r="B112" s="14">
        <v>0</v>
      </c>
      <c r="C112" s="14">
        <v>0</v>
      </c>
      <c r="D112" s="14">
        <v>0</v>
      </c>
      <c r="E112" s="14">
        <v>0</v>
      </c>
      <c r="F112" s="14">
        <v>0</v>
      </c>
      <c r="H112">
        <f>B112-'12 or greater'!B112</f>
        <v>0</v>
      </c>
      <c r="I112">
        <f>C112-'12 or greater'!C112</f>
        <v>0</v>
      </c>
      <c r="J112">
        <f>D112-'12 or greater'!D112</f>
        <v>0</v>
      </c>
      <c r="K112">
        <f>E112-'12 or greater'!E112</f>
        <v>0</v>
      </c>
      <c r="L112">
        <f>F112-'12 or greater'!F112</f>
        <v>0</v>
      </c>
    </row>
    <row r="113" spans="1:12" ht="36.5" thickBot="1" x14ac:dyDescent="0.4">
      <c r="A113" s="11" t="s">
        <v>112</v>
      </c>
      <c r="B113" s="12">
        <v>0</v>
      </c>
      <c r="C113" s="12">
        <v>0</v>
      </c>
      <c r="D113" s="12">
        <v>0</v>
      </c>
      <c r="E113" s="12">
        <v>0</v>
      </c>
      <c r="F113" s="12">
        <v>0</v>
      </c>
      <c r="H113">
        <f>B113-'12 or greater'!B113</f>
        <v>0</v>
      </c>
      <c r="I113">
        <f>C113-'12 or greater'!C113</f>
        <v>0</v>
      </c>
      <c r="J113">
        <f>D113-'12 or greater'!D113</f>
        <v>0</v>
      </c>
      <c r="K113">
        <f>E113-'12 or greater'!E113</f>
        <v>0</v>
      </c>
      <c r="L113">
        <f>F113-'12 or greater'!F113</f>
        <v>0</v>
      </c>
    </row>
    <row r="114" spans="1:12" ht="36.5" thickBot="1" x14ac:dyDescent="0.4">
      <c r="A114" s="13" t="s">
        <v>113</v>
      </c>
      <c r="B114" s="14">
        <v>1</v>
      </c>
      <c r="C114" s="14">
        <v>0</v>
      </c>
      <c r="D114" s="14">
        <v>0</v>
      </c>
      <c r="E114" s="14">
        <v>0</v>
      </c>
      <c r="F114" s="14">
        <v>0</v>
      </c>
      <c r="H114">
        <f>B114-'12 or greater'!B114</f>
        <v>1</v>
      </c>
      <c r="I114">
        <f>C114-'12 or greater'!C114</f>
        <v>0</v>
      </c>
      <c r="J114">
        <f>D114-'12 or greater'!D114</f>
        <v>0</v>
      </c>
      <c r="K114">
        <f>E114-'12 or greater'!E114</f>
        <v>0</v>
      </c>
      <c r="L114">
        <f>F114-'12 or greater'!F114</f>
        <v>0</v>
      </c>
    </row>
    <row r="115" spans="1:12" ht="36.5" thickBot="1" x14ac:dyDescent="0.4">
      <c r="A115" s="11" t="s">
        <v>114</v>
      </c>
      <c r="B115" s="12">
        <v>0</v>
      </c>
      <c r="C115" s="12">
        <v>1</v>
      </c>
      <c r="D115" s="12">
        <v>0</v>
      </c>
      <c r="E115" s="12">
        <v>0</v>
      </c>
      <c r="F115" s="12">
        <v>0</v>
      </c>
      <c r="H115">
        <f>B115-'12 or greater'!B115</f>
        <v>0</v>
      </c>
      <c r="I115">
        <f>C115-'12 or greater'!C115</f>
        <v>1</v>
      </c>
      <c r="J115">
        <f>D115-'12 or greater'!D115</f>
        <v>0</v>
      </c>
      <c r="K115">
        <f>E115-'12 or greater'!E115</f>
        <v>0</v>
      </c>
      <c r="L115">
        <f>F115-'12 or greater'!F115</f>
        <v>0</v>
      </c>
    </row>
    <row r="116" spans="1:12" ht="36.5" thickBot="1" x14ac:dyDescent="0.4">
      <c r="A116" s="13" t="s">
        <v>115</v>
      </c>
      <c r="B116" s="14">
        <v>0</v>
      </c>
      <c r="C116" s="14">
        <v>0</v>
      </c>
      <c r="D116" s="14">
        <v>0</v>
      </c>
      <c r="E116" s="14">
        <v>0</v>
      </c>
      <c r="F116" s="14">
        <v>0</v>
      </c>
      <c r="H116">
        <f>B116-'12 or greater'!B116</f>
        <v>0</v>
      </c>
      <c r="I116">
        <f>C116-'12 or greater'!C116</f>
        <v>0</v>
      </c>
      <c r="J116">
        <f>D116-'12 or greater'!D116</f>
        <v>0</v>
      </c>
      <c r="K116">
        <f>E116-'12 or greater'!E116</f>
        <v>0</v>
      </c>
      <c r="L116">
        <f>F116-'12 or greater'!F116</f>
        <v>0</v>
      </c>
    </row>
    <row r="117" spans="1:12" ht="36.5" thickBot="1" x14ac:dyDescent="0.4">
      <c r="A117" s="11" t="s">
        <v>116</v>
      </c>
      <c r="B117" s="12">
        <v>0</v>
      </c>
      <c r="C117" s="12">
        <v>0</v>
      </c>
      <c r="D117" s="12">
        <v>0</v>
      </c>
      <c r="E117" s="12">
        <v>1</v>
      </c>
      <c r="F117" s="12">
        <v>0</v>
      </c>
      <c r="H117">
        <f>B117-'12 or greater'!B117</f>
        <v>0</v>
      </c>
      <c r="I117">
        <f>C117-'12 or greater'!C117</f>
        <v>0</v>
      </c>
      <c r="J117">
        <f>D117-'12 or greater'!D117</f>
        <v>0</v>
      </c>
      <c r="K117">
        <f>E117-'12 or greater'!E117</f>
        <v>1</v>
      </c>
      <c r="L117">
        <f>F117-'12 or greater'!F117</f>
        <v>0</v>
      </c>
    </row>
    <row r="118" spans="1:12" ht="36.5" thickBot="1" x14ac:dyDescent="0.4">
      <c r="A118" s="13" t="s">
        <v>117</v>
      </c>
      <c r="B118" s="14">
        <v>0</v>
      </c>
      <c r="C118" s="14">
        <v>0</v>
      </c>
      <c r="D118" s="14">
        <v>1</v>
      </c>
      <c r="E118" s="14">
        <v>0</v>
      </c>
      <c r="F118" s="14">
        <v>0</v>
      </c>
      <c r="H118">
        <f>B118-'12 or greater'!B118</f>
        <v>0</v>
      </c>
      <c r="I118">
        <f>C118-'12 or greater'!C118</f>
        <v>0</v>
      </c>
      <c r="J118">
        <f>D118-'12 or greater'!D118</f>
        <v>1</v>
      </c>
      <c r="K118">
        <f>E118-'12 or greater'!E118</f>
        <v>0</v>
      </c>
      <c r="L118">
        <f>F118-'12 or greater'!F118</f>
        <v>0</v>
      </c>
    </row>
    <row r="119" spans="1:12" ht="36.5" thickBot="1" x14ac:dyDescent="0.4">
      <c r="A119" s="11" t="s">
        <v>118</v>
      </c>
      <c r="B119" s="12">
        <v>0</v>
      </c>
      <c r="C119" s="12">
        <v>0</v>
      </c>
      <c r="D119" s="12">
        <v>0</v>
      </c>
      <c r="E119" s="12">
        <v>0</v>
      </c>
      <c r="F119" s="12">
        <v>0</v>
      </c>
      <c r="H119">
        <f>B119-'12 or greater'!B119</f>
        <v>0</v>
      </c>
      <c r="I119">
        <f>C119-'12 or greater'!C119</f>
        <v>0</v>
      </c>
      <c r="J119">
        <f>D119-'12 or greater'!D119</f>
        <v>0</v>
      </c>
      <c r="K119">
        <f>E119-'12 or greater'!E119</f>
        <v>0</v>
      </c>
      <c r="L119">
        <f>F119-'12 or greater'!F119</f>
        <v>0</v>
      </c>
    </row>
    <row r="120" spans="1:12" ht="36.5" thickBot="1" x14ac:dyDescent="0.4">
      <c r="A120" s="13" t="s">
        <v>119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H120">
        <f>B120-'12 or greater'!B120</f>
        <v>0</v>
      </c>
      <c r="I120">
        <f>C120-'12 or greater'!C120</f>
        <v>0</v>
      </c>
      <c r="J120">
        <f>D120-'12 or greater'!D120</f>
        <v>0</v>
      </c>
      <c r="K120">
        <f>E120-'12 or greater'!E120</f>
        <v>0</v>
      </c>
      <c r="L120">
        <f>F120-'12 or greater'!F120</f>
        <v>0</v>
      </c>
    </row>
    <row r="121" spans="1:12" ht="36.5" thickBot="1" x14ac:dyDescent="0.4">
      <c r="A121" s="11" t="s">
        <v>120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H121">
        <f>B121-'12 or greater'!B121</f>
        <v>0</v>
      </c>
      <c r="I121">
        <f>C121-'12 or greater'!C121</f>
        <v>0</v>
      </c>
      <c r="J121">
        <f>D121-'12 or greater'!D121</f>
        <v>0</v>
      </c>
      <c r="K121">
        <f>E121-'12 or greater'!E121</f>
        <v>0</v>
      </c>
      <c r="L121">
        <f>F121-'12 or greater'!F121</f>
        <v>0</v>
      </c>
    </row>
    <row r="122" spans="1:12" ht="36.5" thickBot="1" x14ac:dyDescent="0.4">
      <c r="A122" s="13" t="s">
        <v>121</v>
      </c>
      <c r="B122" s="14">
        <v>0</v>
      </c>
      <c r="C122" s="14">
        <v>0</v>
      </c>
      <c r="D122" s="14">
        <v>0</v>
      </c>
      <c r="E122" s="14">
        <v>0</v>
      </c>
      <c r="F122" s="14">
        <v>0</v>
      </c>
      <c r="H122">
        <f>B122-'12 or greater'!B122</f>
        <v>0</v>
      </c>
      <c r="I122">
        <f>C122-'12 or greater'!C122</f>
        <v>0</v>
      </c>
      <c r="J122">
        <f>D122-'12 or greater'!D122</f>
        <v>0</v>
      </c>
      <c r="K122">
        <f>E122-'12 or greater'!E122</f>
        <v>0</v>
      </c>
      <c r="L122">
        <f>F122-'12 or greater'!F122</f>
        <v>0</v>
      </c>
    </row>
    <row r="123" spans="1:12" ht="36.5" thickBot="1" x14ac:dyDescent="0.4">
      <c r="A123" s="11" t="s">
        <v>122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H123">
        <f>B123-'12 or greater'!B123</f>
        <v>0</v>
      </c>
      <c r="I123">
        <f>C123-'12 or greater'!C123</f>
        <v>0</v>
      </c>
      <c r="J123">
        <f>D123-'12 or greater'!D123</f>
        <v>0</v>
      </c>
      <c r="K123">
        <f>E123-'12 or greater'!E123</f>
        <v>0</v>
      </c>
      <c r="L123">
        <f>F123-'12 or greater'!F123</f>
        <v>0</v>
      </c>
    </row>
    <row r="124" spans="1:12" ht="36.5" thickBot="1" x14ac:dyDescent="0.4">
      <c r="A124" s="13" t="s">
        <v>123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H124">
        <f>B124-'12 or greater'!B124</f>
        <v>0</v>
      </c>
      <c r="I124">
        <f>C124-'12 or greater'!C124</f>
        <v>0</v>
      </c>
      <c r="J124">
        <f>D124-'12 or greater'!D124</f>
        <v>0</v>
      </c>
      <c r="K124">
        <f>E124-'12 or greater'!E124</f>
        <v>0</v>
      </c>
      <c r="L124">
        <f>F124-'12 or greater'!F124</f>
        <v>0</v>
      </c>
    </row>
    <row r="125" spans="1:12" ht="36.5" thickBot="1" x14ac:dyDescent="0.4">
      <c r="A125" s="11" t="s">
        <v>124</v>
      </c>
      <c r="B125" s="12">
        <v>0</v>
      </c>
      <c r="C125" s="12">
        <v>0</v>
      </c>
      <c r="D125" s="12">
        <v>0</v>
      </c>
      <c r="E125" s="12">
        <v>0</v>
      </c>
      <c r="F125" s="12">
        <v>1</v>
      </c>
      <c r="H125">
        <f>B125-'12 or greater'!B125</f>
        <v>0</v>
      </c>
      <c r="I125">
        <f>C125-'12 or greater'!C125</f>
        <v>0</v>
      </c>
      <c r="J125">
        <f>D125-'12 or greater'!D125</f>
        <v>0</v>
      </c>
      <c r="K125">
        <f>E125-'12 or greater'!E125</f>
        <v>0</v>
      </c>
      <c r="L125">
        <f>F125-'12 or greater'!F125</f>
        <v>1</v>
      </c>
    </row>
    <row r="126" spans="1:12" ht="36.5" thickBot="1" x14ac:dyDescent="0.4">
      <c r="A126" s="13" t="s">
        <v>125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H126">
        <f>B126-'12 or greater'!B126</f>
        <v>0</v>
      </c>
      <c r="I126">
        <f>C126-'12 or greater'!C126</f>
        <v>0</v>
      </c>
      <c r="J126">
        <f>D126-'12 or greater'!D126</f>
        <v>0</v>
      </c>
      <c r="K126">
        <f>E126-'12 or greater'!E126</f>
        <v>0</v>
      </c>
      <c r="L126">
        <f>F126-'12 or greater'!F126</f>
        <v>0</v>
      </c>
    </row>
    <row r="127" spans="1:12" ht="36.5" thickBot="1" x14ac:dyDescent="0.4">
      <c r="A127" s="11" t="s">
        <v>126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H127">
        <f>B127-'12 or greater'!B127</f>
        <v>0</v>
      </c>
      <c r="I127">
        <f>C127-'12 or greater'!C127</f>
        <v>0</v>
      </c>
      <c r="J127">
        <f>D127-'12 or greater'!D127</f>
        <v>0</v>
      </c>
      <c r="K127">
        <f>E127-'12 or greater'!E127</f>
        <v>0</v>
      </c>
      <c r="L127">
        <f>F127-'12 or greater'!F127</f>
        <v>0</v>
      </c>
    </row>
    <row r="128" spans="1:12" ht="36.5" thickBot="1" x14ac:dyDescent="0.4">
      <c r="A128" s="13" t="s">
        <v>127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H128">
        <f>B128-'12 or greater'!B128</f>
        <v>0</v>
      </c>
      <c r="I128">
        <f>C128-'12 or greater'!C128</f>
        <v>0</v>
      </c>
      <c r="J128">
        <f>D128-'12 or greater'!D128</f>
        <v>0</v>
      </c>
      <c r="K128">
        <f>E128-'12 or greater'!E128</f>
        <v>0</v>
      </c>
      <c r="L128">
        <f>F128-'12 or greater'!F128</f>
        <v>0</v>
      </c>
    </row>
    <row r="129" spans="1:12" ht="36.5" thickBot="1" x14ac:dyDescent="0.4">
      <c r="A129" s="11" t="s">
        <v>128</v>
      </c>
      <c r="B129" s="12">
        <v>0</v>
      </c>
      <c r="C129" s="12">
        <v>0</v>
      </c>
      <c r="D129" s="12">
        <v>0</v>
      </c>
      <c r="E129" s="12">
        <v>0</v>
      </c>
      <c r="F129" s="12">
        <v>0</v>
      </c>
      <c r="H129">
        <f>B129-'12 or greater'!B129</f>
        <v>0</v>
      </c>
      <c r="I129">
        <f>C129-'12 or greater'!C129</f>
        <v>0</v>
      </c>
      <c r="J129">
        <f>D129-'12 or greater'!D129</f>
        <v>0</v>
      </c>
      <c r="K129">
        <f>E129-'12 or greater'!E129</f>
        <v>0</v>
      </c>
      <c r="L129">
        <f>F129-'12 or greater'!F129</f>
        <v>0</v>
      </c>
    </row>
    <row r="130" spans="1:12" ht="36.5" thickBot="1" x14ac:dyDescent="0.4">
      <c r="A130" s="13" t="s">
        <v>129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H130">
        <f>B130-'12 or greater'!B130</f>
        <v>0</v>
      </c>
      <c r="I130">
        <f>C130-'12 or greater'!C130</f>
        <v>0</v>
      </c>
      <c r="J130">
        <f>D130-'12 or greater'!D130</f>
        <v>0</v>
      </c>
      <c r="K130">
        <f>E130-'12 or greater'!E130</f>
        <v>0</v>
      </c>
      <c r="L130">
        <f>F130-'12 or greater'!F130</f>
        <v>0</v>
      </c>
    </row>
    <row r="131" spans="1:12" ht="36.5" thickBot="1" x14ac:dyDescent="0.4">
      <c r="A131" s="11" t="s">
        <v>130</v>
      </c>
      <c r="B131" s="12">
        <v>0</v>
      </c>
      <c r="C131" s="12">
        <v>0</v>
      </c>
      <c r="D131" s="12">
        <v>0</v>
      </c>
      <c r="E131" s="12">
        <v>0</v>
      </c>
      <c r="F131" s="12">
        <v>0</v>
      </c>
      <c r="H131">
        <f>B131-'12 or greater'!B131</f>
        <v>0</v>
      </c>
      <c r="I131">
        <f>C131-'12 or greater'!C131</f>
        <v>0</v>
      </c>
      <c r="J131">
        <f>D131-'12 or greater'!D131</f>
        <v>0</v>
      </c>
      <c r="K131">
        <f>E131-'12 or greater'!E131</f>
        <v>0</v>
      </c>
      <c r="L131">
        <f>F131-'12 or greater'!F131</f>
        <v>0</v>
      </c>
    </row>
    <row r="132" spans="1:12" ht="36.5" thickBot="1" x14ac:dyDescent="0.4">
      <c r="A132" s="13" t="s">
        <v>131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H132">
        <f>B132-'12 or greater'!B132</f>
        <v>0</v>
      </c>
      <c r="I132">
        <f>C132-'12 or greater'!C132</f>
        <v>0</v>
      </c>
      <c r="J132">
        <f>D132-'12 or greater'!D132</f>
        <v>0</v>
      </c>
      <c r="K132">
        <f>E132-'12 or greater'!E132</f>
        <v>0</v>
      </c>
      <c r="L132">
        <f>F132-'12 or greater'!F132</f>
        <v>0</v>
      </c>
    </row>
    <row r="133" spans="1:12" ht="36.5" thickBot="1" x14ac:dyDescent="0.4">
      <c r="A133" s="11" t="s">
        <v>132</v>
      </c>
      <c r="B133" s="12">
        <v>0</v>
      </c>
      <c r="C133" s="12">
        <v>0</v>
      </c>
      <c r="D133" s="12">
        <v>0</v>
      </c>
      <c r="E133" s="12">
        <v>0</v>
      </c>
      <c r="F133" s="12">
        <v>0</v>
      </c>
      <c r="H133">
        <f>B133-'12 or greater'!B133</f>
        <v>0</v>
      </c>
      <c r="I133">
        <f>C133-'12 or greater'!C133</f>
        <v>0</v>
      </c>
      <c r="J133">
        <f>D133-'12 or greater'!D133</f>
        <v>0</v>
      </c>
      <c r="K133">
        <f>E133-'12 or greater'!E133</f>
        <v>0</v>
      </c>
      <c r="L133">
        <f>F133-'12 or greater'!F133</f>
        <v>0</v>
      </c>
    </row>
    <row r="134" spans="1:12" ht="36.5" thickBot="1" x14ac:dyDescent="0.4">
      <c r="A134" s="13" t="s">
        <v>133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H134">
        <f>B134-'12 or greater'!B134</f>
        <v>0</v>
      </c>
      <c r="I134">
        <f>C134-'12 or greater'!C134</f>
        <v>0</v>
      </c>
      <c r="J134">
        <f>D134-'12 or greater'!D134</f>
        <v>0</v>
      </c>
      <c r="K134">
        <f>E134-'12 or greater'!E134</f>
        <v>0</v>
      </c>
      <c r="L134">
        <f>F134-'12 or greater'!F134</f>
        <v>0</v>
      </c>
    </row>
    <row r="135" spans="1:12" ht="36.5" thickBot="1" x14ac:dyDescent="0.4">
      <c r="A135" s="11" t="s">
        <v>134</v>
      </c>
      <c r="B135" s="12">
        <v>0</v>
      </c>
      <c r="C135" s="12">
        <v>0</v>
      </c>
      <c r="D135" s="12">
        <v>0</v>
      </c>
      <c r="E135" s="12">
        <v>0</v>
      </c>
      <c r="F135" s="12">
        <v>0</v>
      </c>
      <c r="H135">
        <f>B135-'12 or greater'!B135</f>
        <v>0</v>
      </c>
      <c r="I135">
        <f>C135-'12 or greater'!C135</f>
        <v>0</v>
      </c>
      <c r="J135">
        <f>D135-'12 or greater'!D135</f>
        <v>0</v>
      </c>
      <c r="K135">
        <f>E135-'12 or greater'!E135</f>
        <v>0</v>
      </c>
      <c r="L135">
        <f>F135-'12 or greater'!F135</f>
        <v>0</v>
      </c>
    </row>
    <row r="136" spans="1:12" ht="36.5" thickBot="1" x14ac:dyDescent="0.4">
      <c r="A136" s="13" t="s">
        <v>135</v>
      </c>
      <c r="B136" s="14">
        <v>0</v>
      </c>
      <c r="C136" s="14">
        <v>0</v>
      </c>
      <c r="D136" s="14">
        <v>0</v>
      </c>
      <c r="E136" s="14">
        <v>0</v>
      </c>
      <c r="F136" s="14">
        <v>0</v>
      </c>
      <c r="H136">
        <f>B136-'12 or greater'!B136</f>
        <v>0</v>
      </c>
      <c r="I136">
        <f>C136-'12 or greater'!C136</f>
        <v>0</v>
      </c>
      <c r="J136">
        <f>D136-'12 or greater'!D136</f>
        <v>0</v>
      </c>
      <c r="K136">
        <f>E136-'12 or greater'!E136</f>
        <v>0</v>
      </c>
      <c r="L136">
        <f>F136-'12 or greater'!F136</f>
        <v>0</v>
      </c>
    </row>
    <row r="137" spans="1:12" ht="36.5" thickBot="1" x14ac:dyDescent="0.4">
      <c r="A137" s="11" t="s">
        <v>136</v>
      </c>
      <c r="B137" s="12">
        <v>1</v>
      </c>
      <c r="C137" s="12">
        <v>0</v>
      </c>
      <c r="D137" s="12">
        <v>1</v>
      </c>
      <c r="E137" s="12">
        <v>0</v>
      </c>
      <c r="F137" s="12">
        <v>0</v>
      </c>
      <c r="H137">
        <f>B137-'12 or greater'!B137</f>
        <v>1</v>
      </c>
      <c r="I137">
        <f>C137-'12 or greater'!C137</f>
        <v>0</v>
      </c>
      <c r="J137">
        <f>D137-'12 or greater'!D137</f>
        <v>1</v>
      </c>
      <c r="K137">
        <f>E137-'12 or greater'!E137</f>
        <v>0</v>
      </c>
      <c r="L137">
        <f>F137-'12 or greater'!F137</f>
        <v>0</v>
      </c>
    </row>
    <row r="138" spans="1:12" ht="36.5" thickBot="1" x14ac:dyDescent="0.4">
      <c r="A138" s="13" t="s">
        <v>137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H138">
        <f>B138-'12 or greater'!B138</f>
        <v>0</v>
      </c>
      <c r="I138">
        <f>C138-'12 or greater'!C138</f>
        <v>0</v>
      </c>
      <c r="J138">
        <f>D138-'12 or greater'!D138</f>
        <v>0</v>
      </c>
      <c r="K138">
        <f>E138-'12 or greater'!E138</f>
        <v>0</v>
      </c>
      <c r="L138">
        <f>F138-'12 or greater'!F138</f>
        <v>0</v>
      </c>
    </row>
    <row r="139" spans="1:12" ht="36" x14ac:dyDescent="0.35">
      <c r="A139" s="11" t="s">
        <v>138</v>
      </c>
      <c r="B139" s="12">
        <v>0</v>
      </c>
      <c r="C139" s="12">
        <v>0</v>
      </c>
      <c r="D139" s="12">
        <v>0</v>
      </c>
      <c r="E139" s="12">
        <v>0</v>
      </c>
      <c r="F139" s="12">
        <v>0</v>
      </c>
      <c r="H139">
        <f>B139-'12 or greater'!B139</f>
        <v>0</v>
      </c>
      <c r="I139">
        <f>C139-'12 or greater'!C139</f>
        <v>0</v>
      </c>
      <c r="J139">
        <f>D139-'12 or greater'!D139</f>
        <v>0</v>
      </c>
      <c r="K139">
        <f>E139-'12 or greater'!E139</f>
        <v>0</v>
      </c>
      <c r="L139">
        <f>F139-'12 or greater'!F139</f>
        <v>0</v>
      </c>
    </row>
  </sheetData>
  <autoFilter ref="P1:Y1" xr:uid="{1BB5A058-12D5-4B04-86E5-9CB7396E64B4}">
    <sortState xmlns:xlrd2="http://schemas.microsoft.com/office/spreadsheetml/2017/richdata2" ref="P2:Y4">
      <sortCondition ref="X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9FEBC-D20B-44AE-A547-61FA2B5A877D}">
  <dimension ref="A1:Q139"/>
  <sheetViews>
    <sheetView workbookViewId="0">
      <selection activeCell="P1" sqref="P1:Q4"/>
    </sheetView>
  </sheetViews>
  <sheetFormatPr defaultRowHeight="14.5" x14ac:dyDescent="0.35"/>
  <sheetData>
    <row r="1" spans="1:17" x14ac:dyDescent="0.35">
      <c r="B1" t="s">
        <v>140</v>
      </c>
      <c r="C1" t="s">
        <v>141</v>
      </c>
      <c r="D1" t="s">
        <v>142</v>
      </c>
      <c r="E1" t="s">
        <v>143</v>
      </c>
      <c r="F1" t="s">
        <v>144</v>
      </c>
      <c r="H1" t="s">
        <v>140</v>
      </c>
      <c r="J1" t="s">
        <v>141</v>
      </c>
      <c r="L1" t="s">
        <v>142</v>
      </c>
      <c r="N1" t="s">
        <v>143</v>
      </c>
      <c r="P1" t="s">
        <v>144</v>
      </c>
    </row>
    <row r="2" spans="1:17" ht="36.5" thickBot="1" x14ac:dyDescent="0.4">
      <c r="A2" s="9" t="s">
        <v>1</v>
      </c>
      <c r="B2" s="10">
        <v>0</v>
      </c>
      <c r="C2" s="10">
        <v>0</v>
      </c>
      <c r="D2" s="10">
        <v>0</v>
      </c>
      <c r="E2" s="10">
        <v>0</v>
      </c>
      <c r="F2" s="10">
        <v>0</v>
      </c>
      <c r="H2">
        <v>0</v>
      </c>
      <c r="I2">
        <v>137</v>
      </c>
      <c r="J2">
        <v>0</v>
      </c>
      <c r="K2">
        <v>136</v>
      </c>
      <c r="L2">
        <v>0</v>
      </c>
      <c r="M2">
        <v>135</v>
      </c>
      <c r="N2">
        <v>0</v>
      </c>
      <c r="O2">
        <v>138</v>
      </c>
      <c r="P2">
        <v>0</v>
      </c>
      <c r="Q2">
        <v>135</v>
      </c>
    </row>
    <row r="3" spans="1:17" ht="36.5" thickBot="1" x14ac:dyDescent="0.4">
      <c r="A3" s="11" t="s">
        <v>2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H3">
        <v>2</v>
      </c>
      <c r="I3">
        <v>1</v>
      </c>
      <c r="J3">
        <v>1</v>
      </c>
      <c r="K3">
        <v>2</v>
      </c>
      <c r="L3">
        <v>1</v>
      </c>
      <c r="M3">
        <v>2</v>
      </c>
      <c r="P3">
        <v>1</v>
      </c>
      <c r="Q3">
        <v>2</v>
      </c>
    </row>
    <row r="4" spans="1:17" ht="36.5" thickBot="1" x14ac:dyDescent="0.4">
      <c r="A4" s="13" t="s">
        <v>3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K4">
        <v>136</v>
      </c>
      <c r="L4">
        <v>2</v>
      </c>
      <c r="M4">
        <v>1</v>
      </c>
      <c r="P4">
        <v>2</v>
      </c>
      <c r="Q4">
        <v>1</v>
      </c>
    </row>
    <row r="5" spans="1:17" ht="36.5" thickBot="1" x14ac:dyDescent="0.4">
      <c r="A5" s="11" t="s">
        <v>4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</row>
    <row r="6" spans="1:17" ht="36.5" thickBot="1" x14ac:dyDescent="0.4">
      <c r="A6" s="13" t="s">
        <v>5</v>
      </c>
      <c r="B6" s="14">
        <v>0</v>
      </c>
      <c r="C6" s="14">
        <v>0</v>
      </c>
      <c r="D6" s="14">
        <v>1</v>
      </c>
      <c r="E6" s="14">
        <v>0</v>
      </c>
      <c r="F6" s="14">
        <v>0</v>
      </c>
    </row>
    <row r="7" spans="1:17" ht="36.5" thickBot="1" x14ac:dyDescent="0.4">
      <c r="A7" s="11" t="s">
        <v>6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</row>
    <row r="8" spans="1:17" ht="36.5" thickBot="1" x14ac:dyDescent="0.4">
      <c r="A8" s="13" t="s">
        <v>7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</row>
    <row r="9" spans="1:17" ht="36.5" thickBot="1" x14ac:dyDescent="0.4">
      <c r="A9" s="11" t="s">
        <v>8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</row>
    <row r="10" spans="1:17" ht="36.5" thickBot="1" x14ac:dyDescent="0.4">
      <c r="A10" s="13" t="s">
        <v>9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</row>
    <row r="11" spans="1:17" ht="36.5" thickBot="1" x14ac:dyDescent="0.4">
      <c r="A11" s="11" t="s">
        <v>10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</row>
    <row r="12" spans="1:17" ht="36.5" thickBot="1" x14ac:dyDescent="0.4">
      <c r="A12" s="13" t="s">
        <v>11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</row>
    <row r="13" spans="1:17" ht="36.5" thickBot="1" x14ac:dyDescent="0.4">
      <c r="A13" s="11" t="s">
        <v>12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</row>
    <row r="14" spans="1:17" ht="36.5" thickBot="1" x14ac:dyDescent="0.4">
      <c r="A14" s="13" t="s">
        <v>13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</row>
    <row r="15" spans="1:17" ht="36.5" thickBot="1" x14ac:dyDescent="0.4">
      <c r="A15" s="11" t="s">
        <v>14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</row>
    <row r="16" spans="1:17" ht="36.5" thickBot="1" x14ac:dyDescent="0.4">
      <c r="A16" s="13" t="s">
        <v>15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</row>
    <row r="17" spans="1:6" ht="36.5" thickBot="1" x14ac:dyDescent="0.4">
      <c r="A17" s="11" t="s">
        <v>16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</row>
    <row r="18" spans="1:6" ht="36.5" thickBot="1" x14ac:dyDescent="0.4">
      <c r="A18" s="13" t="s">
        <v>17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</row>
    <row r="19" spans="1:6" ht="36.5" thickBot="1" x14ac:dyDescent="0.4">
      <c r="A19" s="11" t="s">
        <v>18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</row>
    <row r="20" spans="1:6" ht="36.5" thickBot="1" x14ac:dyDescent="0.4">
      <c r="A20" s="13" t="s">
        <v>19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</row>
    <row r="21" spans="1:6" ht="36.5" thickBot="1" x14ac:dyDescent="0.4">
      <c r="A21" s="11" t="s">
        <v>20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</row>
    <row r="22" spans="1:6" ht="36.5" thickBot="1" x14ac:dyDescent="0.4">
      <c r="A22" s="13" t="s">
        <v>21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</row>
    <row r="23" spans="1:6" ht="36.5" thickBot="1" x14ac:dyDescent="0.4">
      <c r="A23" s="11" t="s">
        <v>22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</row>
    <row r="24" spans="1:6" ht="36.5" thickBot="1" x14ac:dyDescent="0.4">
      <c r="A24" s="13" t="s">
        <v>23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</row>
    <row r="25" spans="1:6" ht="36.5" thickBot="1" x14ac:dyDescent="0.4">
      <c r="A25" s="11" t="s">
        <v>24</v>
      </c>
      <c r="B25" s="12">
        <v>0</v>
      </c>
      <c r="C25" s="12">
        <v>0</v>
      </c>
      <c r="D25" s="12">
        <v>0</v>
      </c>
      <c r="E25" s="12">
        <v>0</v>
      </c>
      <c r="F25" s="12">
        <v>1</v>
      </c>
    </row>
    <row r="26" spans="1:6" ht="36.5" thickBot="1" x14ac:dyDescent="0.4">
      <c r="A26" s="13" t="s">
        <v>25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</row>
    <row r="27" spans="1:6" ht="36.5" thickBot="1" x14ac:dyDescent="0.4">
      <c r="A27" s="11" t="s">
        <v>26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</row>
    <row r="28" spans="1:6" ht="36.5" thickBot="1" x14ac:dyDescent="0.4">
      <c r="A28" s="13" t="s">
        <v>27</v>
      </c>
      <c r="B28" s="14">
        <v>0</v>
      </c>
      <c r="C28" s="14">
        <v>0</v>
      </c>
      <c r="D28" s="14">
        <v>0</v>
      </c>
      <c r="E28" s="14">
        <v>0</v>
      </c>
      <c r="F28" s="14">
        <v>0</v>
      </c>
    </row>
    <row r="29" spans="1:6" ht="36.5" thickBot="1" x14ac:dyDescent="0.4">
      <c r="A29" s="11" t="s">
        <v>28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</row>
    <row r="30" spans="1:6" ht="36.5" thickBot="1" x14ac:dyDescent="0.4">
      <c r="A30" s="13" t="s">
        <v>29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</row>
    <row r="31" spans="1:6" ht="36.5" thickBot="1" x14ac:dyDescent="0.4">
      <c r="A31" s="11" t="s">
        <v>30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</row>
    <row r="32" spans="1:6" ht="36.5" thickBot="1" x14ac:dyDescent="0.4">
      <c r="A32" s="13" t="s">
        <v>31</v>
      </c>
      <c r="B32" s="14">
        <v>2</v>
      </c>
      <c r="C32" s="14">
        <v>0</v>
      </c>
      <c r="D32" s="14">
        <v>0</v>
      </c>
      <c r="E32" s="14">
        <v>0</v>
      </c>
      <c r="F32" s="14">
        <v>0</v>
      </c>
    </row>
    <row r="33" spans="1:6" ht="36.5" thickBot="1" x14ac:dyDescent="0.4">
      <c r="A33" s="11" t="s">
        <v>32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</row>
    <row r="34" spans="1:6" ht="36.5" thickBot="1" x14ac:dyDescent="0.4">
      <c r="A34" s="13" t="s">
        <v>33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</row>
    <row r="35" spans="1:6" ht="36.5" thickBot="1" x14ac:dyDescent="0.4">
      <c r="A35" s="11" t="s">
        <v>34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</row>
    <row r="36" spans="1:6" ht="36.5" thickBot="1" x14ac:dyDescent="0.4">
      <c r="A36" s="13" t="s">
        <v>35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</row>
    <row r="37" spans="1:6" ht="36.5" thickBot="1" x14ac:dyDescent="0.4">
      <c r="A37" s="11" t="s">
        <v>36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</row>
    <row r="38" spans="1:6" ht="36.5" thickBot="1" x14ac:dyDescent="0.4">
      <c r="A38" s="13" t="s">
        <v>37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</row>
    <row r="39" spans="1:6" ht="36.5" thickBot="1" x14ac:dyDescent="0.4">
      <c r="A39" s="11" t="s">
        <v>38</v>
      </c>
      <c r="B39" s="12">
        <v>0</v>
      </c>
      <c r="C39" s="12">
        <v>0</v>
      </c>
      <c r="D39" s="12">
        <v>0</v>
      </c>
      <c r="E39" s="12">
        <v>0</v>
      </c>
      <c r="F39" s="12">
        <v>2</v>
      </c>
    </row>
    <row r="40" spans="1:6" ht="36.5" thickBot="1" x14ac:dyDescent="0.4">
      <c r="A40" s="13" t="s">
        <v>39</v>
      </c>
      <c r="B40" s="14">
        <v>0</v>
      </c>
      <c r="C40" s="14">
        <v>0</v>
      </c>
      <c r="D40" s="14">
        <v>0</v>
      </c>
      <c r="E40" s="14">
        <v>0</v>
      </c>
      <c r="F40" s="14">
        <v>0</v>
      </c>
    </row>
    <row r="41" spans="1:6" ht="36.5" thickBot="1" x14ac:dyDescent="0.4">
      <c r="A41" s="11" t="s">
        <v>40</v>
      </c>
      <c r="B41" s="12">
        <v>0</v>
      </c>
      <c r="C41" s="12">
        <v>1</v>
      </c>
      <c r="D41" s="12">
        <v>0</v>
      </c>
      <c r="E41" s="12">
        <v>0</v>
      </c>
      <c r="F41" s="12">
        <v>0</v>
      </c>
    </row>
    <row r="42" spans="1:6" ht="36.5" thickBot="1" x14ac:dyDescent="0.4">
      <c r="A42" s="13" t="s">
        <v>41</v>
      </c>
      <c r="B42" s="14">
        <v>0</v>
      </c>
      <c r="C42" s="14">
        <v>0</v>
      </c>
      <c r="D42" s="14">
        <v>2</v>
      </c>
      <c r="E42" s="14">
        <v>0</v>
      </c>
      <c r="F42" s="14">
        <v>0</v>
      </c>
    </row>
    <row r="43" spans="1:6" ht="36.5" thickBot="1" x14ac:dyDescent="0.4">
      <c r="A43" s="11" t="s">
        <v>42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</row>
    <row r="44" spans="1:6" ht="36.5" thickBot="1" x14ac:dyDescent="0.4">
      <c r="A44" s="13" t="s">
        <v>43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</row>
    <row r="45" spans="1:6" ht="36.5" thickBot="1" x14ac:dyDescent="0.4">
      <c r="A45" s="11" t="s">
        <v>44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</row>
    <row r="46" spans="1:6" ht="36.5" thickBot="1" x14ac:dyDescent="0.4">
      <c r="A46" s="13" t="s">
        <v>45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</row>
    <row r="47" spans="1:6" ht="36.5" thickBot="1" x14ac:dyDescent="0.4">
      <c r="A47" s="11" t="s">
        <v>46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</row>
    <row r="48" spans="1:6" ht="36.5" thickBot="1" x14ac:dyDescent="0.4">
      <c r="A48" s="13" t="s">
        <v>47</v>
      </c>
      <c r="B48" s="14">
        <v>0</v>
      </c>
      <c r="C48" s="14">
        <v>0</v>
      </c>
      <c r="D48" s="14">
        <v>0</v>
      </c>
      <c r="E48" s="14">
        <v>0</v>
      </c>
      <c r="F48" s="14">
        <v>0</v>
      </c>
    </row>
    <row r="49" spans="1:6" ht="36.5" thickBot="1" x14ac:dyDescent="0.4">
      <c r="A49" s="11" t="s">
        <v>48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</row>
    <row r="50" spans="1:6" ht="36.5" thickBot="1" x14ac:dyDescent="0.4">
      <c r="A50" s="13" t="s">
        <v>49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</row>
    <row r="51" spans="1:6" ht="36.5" thickBot="1" x14ac:dyDescent="0.4">
      <c r="A51" s="11" t="s">
        <v>50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</row>
    <row r="52" spans="1:6" ht="36.5" thickBot="1" x14ac:dyDescent="0.4">
      <c r="A52" s="13" t="s">
        <v>51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</row>
    <row r="53" spans="1:6" ht="36.5" thickBot="1" x14ac:dyDescent="0.4">
      <c r="A53" s="11" t="s">
        <v>52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</row>
    <row r="54" spans="1:6" ht="36.5" thickBot="1" x14ac:dyDescent="0.4">
      <c r="A54" s="13" t="s">
        <v>53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</row>
    <row r="55" spans="1:6" ht="36.5" thickBot="1" x14ac:dyDescent="0.4">
      <c r="A55" s="11" t="s">
        <v>54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</row>
    <row r="56" spans="1:6" ht="36.5" thickBot="1" x14ac:dyDescent="0.4">
      <c r="A56" s="13" t="s">
        <v>55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</row>
    <row r="57" spans="1:6" ht="36.5" thickBot="1" x14ac:dyDescent="0.4">
      <c r="A57" s="11" t="s">
        <v>56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</row>
    <row r="58" spans="1:6" ht="36.5" thickBot="1" x14ac:dyDescent="0.4">
      <c r="A58" s="13" t="s">
        <v>57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</row>
    <row r="59" spans="1:6" ht="36.5" thickBot="1" x14ac:dyDescent="0.4">
      <c r="A59" s="11" t="s">
        <v>58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</row>
    <row r="60" spans="1:6" ht="36.5" thickBot="1" x14ac:dyDescent="0.4">
      <c r="A60" s="13" t="s">
        <v>59</v>
      </c>
      <c r="B60" s="14">
        <v>0</v>
      </c>
      <c r="C60" s="14">
        <v>0</v>
      </c>
      <c r="D60" s="14">
        <v>0</v>
      </c>
      <c r="E60" s="14">
        <v>0</v>
      </c>
      <c r="F60" s="14">
        <v>0</v>
      </c>
    </row>
    <row r="61" spans="1:6" ht="36.5" thickBot="1" x14ac:dyDescent="0.4">
      <c r="A61" s="11" t="s">
        <v>60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</row>
    <row r="62" spans="1:6" ht="36.5" thickBot="1" x14ac:dyDescent="0.4">
      <c r="A62" s="13" t="s">
        <v>61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</row>
    <row r="63" spans="1:6" ht="36.5" thickBot="1" x14ac:dyDescent="0.4">
      <c r="A63" s="11" t="s">
        <v>62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</row>
    <row r="64" spans="1:6" ht="36.5" thickBot="1" x14ac:dyDescent="0.4">
      <c r="A64" s="13" t="s">
        <v>63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</row>
    <row r="65" spans="1:6" ht="36.5" thickBot="1" x14ac:dyDescent="0.4">
      <c r="A65" s="11" t="s">
        <v>64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</row>
    <row r="66" spans="1:6" ht="36.5" thickBot="1" x14ac:dyDescent="0.4">
      <c r="A66" s="13" t="s">
        <v>65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</row>
    <row r="67" spans="1:6" ht="36.5" thickBot="1" x14ac:dyDescent="0.4">
      <c r="A67" s="11" t="s">
        <v>66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</row>
    <row r="68" spans="1:6" ht="36.5" thickBot="1" x14ac:dyDescent="0.4">
      <c r="A68" s="13" t="s">
        <v>67</v>
      </c>
      <c r="B68" s="14">
        <v>0</v>
      </c>
      <c r="C68" s="14">
        <v>0</v>
      </c>
      <c r="D68" s="14">
        <v>0</v>
      </c>
      <c r="E68" s="14">
        <v>0</v>
      </c>
      <c r="F68" s="14">
        <v>0</v>
      </c>
    </row>
    <row r="69" spans="1:6" ht="36.5" thickBot="1" x14ac:dyDescent="0.4">
      <c r="A69" s="11" t="s">
        <v>68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</row>
    <row r="70" spans="1:6" ht="36.5" thickBot="1" x14ac:dyDescent="0.4">
      <c r="A70" s="13" t="s">
        <v>69</v>
      </c>
      <c r="B70" s="14">
        <v>0</v>
      </c>
      <c r="C70" s="14">
        <v>0</v>
      </c>
      <c r="D70" s="14">
        <v>0</v>
      </c>
      <c r="E70" s="14">
        <v>0</v>
      </c>
      <c r="F70" s="14">
        <v>0</v>
      </c>
    </row>
    <row r="71" spans="1:6" ht="36.5" thickBot="1" x14ac:dyDescent="0.4">
      <c r="A71" s="11" t="s">
        <v>70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</row>
    <row r="72" spans="1:6" ht="36.5" thickBot="1" x14ac:dyDescent="0.4">
      <c r="A72" s="13" t="s">
        <v>71</v>
      </c>
      <c r="B72" s="14">
        <v>0</v>
      </c>
      <c r="C72" s="14">
        <v>0</v>
      </c>
      <c r="D72" s="14">
        <v>0</v>
      </c>
      <c r="E72" s="14">
        <v>0</v>
      </c>
      <c r="F72" s="14">
        <v>1</v>
      </c>
    </row>
    <row r="73" spans="1:6" ht="36.5" thickBot="1" x14ac:dyDescent="0.4">
      <c r="A73" s="11" t="s">
        <v>72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</row>
    <row r="74" spans="1:6" ht="36.5" thickBot="1" x14ac:dyDescent="0.4">
      <c r="A74" s="13" t="s">
        <v>73</v>
      </c>
      <c r="B74" s="14">
        <v>0</v>
      </c>
      <c r="C74" s="14">
        <v>0</v>
      </c>
      <c r="D74" s="14">
        <v>0</v>
      </c>
      <c r="E74" s="14">
        <v>0</v>
      </c>
      <c r="F74" s="14">
        <v>0</v>
      </c>
    </row>
    <row r="75" spans="1:6" ht="36.5" thickBot="1" x14ac:dyDescent="0.4">
      <c r="A75" s="11" t="s">
        <v>74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</row>
    <row r="76" spans="1:6" ht="36.5" thickBot="1" x14ac:dyDescent="0.4">
      <c r="A76" s="13" t="s">
        <v>75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</row>
    <row r="77" spans="1:6" ht="36.5" thickBot="1" x14ac:dyDescent="0.4">
      <c r="A77" s="11" t="s">
        <v>76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</row>
    <row r="78" spans="1:6" ht="36.5" thickBot="1" x14ac:dyDescent="0.4">
      <c r="A78" s="13" t="s">
        <v>77</v>
      </c>
      <c r="B78" s="14">
        <v>0</v>
      </c>
      <c r="C78" s="14">
        <v>0</v>
      </c>
      <c r="D78" s="14">
        <v>0</v>
      </c>
      <c r="E78" s="14">
        <v>0</v>
      </c>
      <c r="F78" s="14">
        <v>0</v>
      </c>
    </row>
    <row r="79" spans="1:6" ht="36.5" thickBot="1" x14ac:dyDescent="0.4">
      <c r="A79" s="11" t="s">
        <v>78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</row>
    <row r="80" spans="1:6" ht="36.5" thickBot="1" x14ac:dyDescent="0.4">
      <c r="A80" s="13" t="s">
        <v>79</v>
      </c>
      <c r="B80" s="14">
        <v>0</v>
      </c>
      <c r="C80" s="14">
        <v>0</v>
      </c>
      <c r="D80" s="14">
        <v>0</v>
      </c>
      <c r="E80" s="14">
        <v>0</v>
      </c>
      <c r="F80" s="14">
        <v>0</v>
      </c>
    </row>
    <row r="81" spans="1:6" ht="36.5" thickBot="1" x14ac:dyDescent="0.4">
      <c r="A81" s="11" t="s">
        <v>80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</row>
    <row r="82" spans="1:6" ht="36.5" thickBot="1" x14ac:dyDescent="0.4">
      <c r="A82" s="13" t="s">
        <v>81</v>
      </c>
      <c r="B82" s="14">
        <v>0</v>
      </c>
      <c r="C82" s="14">
        <v>0</v>
      </c>
      <c r="D82" s="14">
        <v>0</v>
      </c>
      <c r="E82" s="14">
        <v>0</v>
      </c>
      <c r="F82" s="14">
        <v>0</v>
      </c>
    </row>
    <row r="83" spans="1:6" ht="36.5" thickBot="1" x14ac:dyDescent="0.4">
      <c r="A83" s="11" t="s">
        <v>82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</row>
    <row r="84" spans="1:6" ht="36.5" thickBot="1" x14ac:dyDescent="0.4">
      <c r="A84" s="13" t="s">
        <v>83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</row>
    <row r="85" spans="1:6" ht="36.5" thickBot="1" x14ac:dyDescent="0.4">
      <c r="A85" s="11" t="s">
        <v>84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</row>
    <row r="86" spans="1:6" ht="36.5" thickBot="1" x14ac:dyDescent="0.4">
      <c r="A86" s="13" t="s">
        <v>85</v>
      </c>
      <c r="B86" s="14">
        <v>0</v>
      </c>
      <c r="C86" s="14">
        <v>0</v>
      </c>
      <c r="D86" s="14">
        <v>0</v>
      </c>
      <c r="E86" s="14">
        <v>0</v>
      </c>
      <c r="F86" s="14">
        <v>0</v>
      </c>
    </row>
    <row r="87" spans="1:6" ht="36.5" thickBot="1" x14ac:dyDescent="0.4">
      <c r="A87" s="11" t="s">
        <v>86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</row>
    <row r="88" spans="1:6" ht="36.5" thickBot="1" x14ac:dyDescent="0.4">
      <c r="A88" s="13" t="s">
        <v>87</v>
      </c>
      <c r="B88" s="14">
        <v>0</v>
      </c>
      <c r="C88" s="14">
        <v>0</v>
      </c>
      <c r="D88" s="14">
        <v>0</v>
      </c>
      <c r="E88" s="14">
        <v>0</v>
      </c>
      <c r="F88" s="14">
        <v>0</v>
      </c>
    </row>
    <row r="89" spans="1:6" ht="36.5" thickBot="1" x14ac:dyDescent="0.4">
      <c r="A89" s="11" t="s">
        <v>88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</row>
    <row r="90" spans="1:6" ht="36.5" thickBot="1" x14ac:dyDescent="0.4">
      <c r="A90" s="13" t="s">
        <v>89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</row>
    <row r="91" spans="1:6" ht="36.5" thickBot="1" x14ac:dyDescent="0.4">
      <c r="A91" s="11" t="s">
        <v>90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</row>
    <row r="92" spans="1:6" ht="36.5" thickBot="1" x14ac:dyDescent="0.4">
      <c r="A92" s="13" t="s">
        <v>91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</row>
    <row r="93" spans="1:6" ht="36.5" thickBot="1" x14ac:dyDescent="0.4">
      <c r="A93" s="11" t="s">
        <v>92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</row>
    <row r="94" spans="1:6" ht="36.5" thickBot="1" x14ac:dyDescent="0.4">
      <c r="A94" s="13" t="s">
        <v>93</v>
      </c>
      <c r="B94" s="14">
        <v>0</v>
      </c>
      <c r="C94" s="14">
        <v>0</v>
      </c>
      <c r="D94" s="14">
        <v>0</v>
      </c>
      <c r="E94" s="14">
        <v>0</v>
      </c>
      <c r="F94" s="14">
        <v>0</v>
      </c>
    </row>
    <row r="95" spans="1:6" ht="36.5" thickBot="1" x14ac:dyDescent="0.4">
      <c r="A95" s="11" t="s">
        <v>94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</row>
    <row r="96" spans="1:6" ht="36.5" thickBot="1" x14ac:dyDescent="0.4">
      <c r="A96" s="13" t="s">
        <v>95</v>
      </c>
      <c r="B96" s="14">
        <v>0</v>
      </c>
      <c r="C96" s="14">
        <v>0</v>
      </c>
      <c r="D96" s="14">
        <v>0</v>
      </c>
      <c r="E96" s="14">
        <v>0</v>
      </c>
      <c r="F96" s="14">
        <v>0</v>
      </c>
    </row>
    <row r="97" spans="1:6" ht="36.5" thickBot="1" x14ac:dyDescent="0.4">
      <c r="A97" s="11" t="s">
        <v>96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</row>
    <row r="98" spans="1:6" ht="36.5" thickBot="1" x14ac:dyDescent="0.4">
      <c r="A98" s="13" t="s">
        <v>97</v>
      </c>
      <c r="B98" s="14">
        <v>0</v>
      </c>
      <c r="C98" s="14">
        <v>0</v>
      </c>
      <c r="D98" s="14">
        <v>0</v>
      </c>
      <c r="E98" s="14">
        <v>0</v>
      </c>
      <c r="F98" s="14">
        <v>0</v>
      </c>
    </row>
    <row r="99" spans="1:6" ht="36.5" thickBot="1" x14ac:dyDescent="0.4">
      <c r="A99" s="11" t="s">
        <v>98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</row>
    <row r="100" spans="1:6" ht="36.5" thickBot="1" x14ac:dyDescent="0.4">
      <c r="A100" s="13" t="s">
        <v>99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</row>
    <row r="101" spans="1:6" ht="36.5" thickBot="1" x14ac:dyDescent="0.4">
      <c r="A101" s="11" t="s">
        <v>100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</row>
    <row r="102" spans="1:6" ht="36.5" thickBot="1" x14ac:dyDescent="0.4">
      <c r="A102" s="13" t="s">
        <v>101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</row>
    <row r="103" spans="1:6" ht="36.5" thickBot="1" x14ac:dyDescent="0.4">
      <c r="A103" s="11" t="s">
        <v>102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</row>
    <row r="104" spans="1:6" ht="36.5" thickBot="1" x14ac:dyDescent="0.4">
      <c r="A104" s="13" t="s">
        <v>103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</row>
    <row r="105" spans="1:6" ht="36.5" thickBot="1" x14ac:dyDescent="0.4">
      <c r="A105" s="11" t="s">
        <v>104</v>
      </c>
      <c r="B105" s="12">
        <v>0</v>
      </c>
      <c r="C105" s="12">
        <v>0</v>
      </c>
      <c r="D105" s="12">
        <v>0</v>
      </c>
      <c r="E105" s="12">
        <v>0</v>
      </c>
      <c r="F105" s="12">
        <v>0</v>
      </c>
    </row>
    <row r="106" spans="1:6" ht="36.5" thickBot="1" x14ac:dyDescent="0.4">
      <c r="A106" s="13" t="s">
        <v>105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</row>
    <row r="107" spans="1:6" ht="36.5" thickBot="1" x14ac:dyDescent="0.4">
      <c r="A107" s="11" t="s">
        <v>106</v>
      </c>
      <c r="B107" s="12">
        <v>0</v>
      </c>
      <c r="C107" s="12">
        <v>0</v>
      </c>
      <c r="D107" s="12">
        <v>1</v>
      </c>
      <c r="E107" s="12">
        <v>0</v>
      </c>
      <c r="F107" s="12">
        <v>0</v>
      </c>
    </row>
    <row r="108" spans="1:6" ht="36.5" thickBot="1" x14ac:dyDescent="0.4">
      <c r="A108" s="13" t="s">
        <v>107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</row>
    <row r="109" spans="1:6" ht="36.5" thickBot="1" x14ac:dyDescent="0.4">
      <c r="A109" s="11" t="s">
        <v>108</v>
      </c>
      <c r="B109" s="12">
        <v>0</v>
      </c>
      <c r="C109" s="12">
        <v>0</v>
      </c>
      <c r="D109" s="12">
        <v>0</v>
      </c>
      <c r="E109" s="12">
        <v>0</v>
      </c>
      <c r="F109" s="12">
        <v>0</v>
      </c>
    </row>
    <row r="110" spans="1:6" ht="36.5" thickBot="1" x14ac:dyDescent="0.4">
      <c r="A110" s="13" t="s">
        <v>109</v>
      </c>
      <c r="B110" s="14">
        <v>0</v>
      </c>
      <c r="C110" s="14">
        <v>0</v>
      </c>
      <c r="D110" s="14">
        <v>0</v>
      </c>
      <c r="E110" s="14">
        <v>0</v>
      </c>
      <c r="F110" s="14">
        <v>0</v>
      </c>
    </row>
    <row r="111" spans="1:6" ht="36.5" thickBot="1" x14ac:dyDescent="0.4">
      <c r="A111" s="11" t="s">
        <v>110</v>
      </c>
      <c r="B111" s="12">
        <v>0</v>
      </c>
      <c r="C111" s="12">
        <v>0</v>
      </c>
      <c r="D111" s="12">
        <v>0</v>
      </c>
      <c r="E111" s="12">
        <v>0</v>
      </c>
      <c r="F111" s="12">
        <v>0</v>
      </c>
    </row>
    <row r="112" spans="1:6" ht="36.5" thickBot="1" x14ac:dyDescent="0.4">
      <c r="A112" s="13" t="s">
        <v>111</v>
      </c>
      <c r="B112" s="14">
        <v>0</v>
      </c>
      <c r="C112" s="14">
        <v>0</v>
      </c>
      <c r="D112" s="14">
        <v>0</v>
      </c>
      <c r="E112" s="14">
        <v>0</v>
      </c>
      <c r="F112" s="14">
        <v>0</v>
      </c>
    </row>
    <row r="113" spans="1:6" ht="36.5" thickBot="1" x14ac:dyDescent="0.4">
      <c r="A113" s="11" t="s">
        <v>112</v>
      </c>
      <c r="B113" s="12">
        <v>0</v>
      </c>
      <c r="C113" s="12">
        <v>0</v>
      </c>
      <c r="D113" s="12">
        <v>0</v>
      </c>
      <c r="E113" s="12">
        <v>0</v>
      </c>
      <c r="F113" s="12">
        <v>0</v>
      </c>
    </row>
    <row r="114" spans="1:6" ht="36.5" thickBot="1" x14ac:dyDescent="0.4">
      <c r="A114" s="13" t="s">
        <v>113</v>
      </c>
      <c r="B114" s="14">
        <v>0</v>
      </c>
      <c r="C114" s="14">
        <v>0</v>
      </c>
      <c r="D114" s="14">
        <v>0</v>
      </c>
      <c r="E114" s="14">
        <v>0</v>
      </c>
      <c r="F114" s="14">
        <v>0</v>
      </c>
    </row>
    <row r="115" spans="1:6" ht="36.5" thickBot="1" x14ac:dyDescent="0.4">
      <c r="A115" s="11" t="s">
        <v>114</v>
      </c>
      <c r="B115" s="12">
        <v>0</v>
      </c>
      <c r="C115" s="12">
        <v>0</v>
      </c>
      <c r="D115" s="12">
        <v>0</v>
      </c>
      <c r="E115" s="12">
        <v>0</v>
      </c>
      <c r="F115" s="12">
        <v>0</v>
      </c>
    </row>
    <row r="116" spans="1:6" ht="36.5" thickBot="1" x14ac:dyDescent="0.4">
      <c r="A116" s="13" t="s">
        <v>115</v>
      </c>
      <c r="B116" s="14">
        <v>0</v>
      </c>
      <c r="C116" s="14">
        <v>0</v>
      </c>
      <c r="D116" s="14">
        <v>0</v>
      </c>
      <c r="E116" s="14">
        <v>0</v>
      </c>
      <c r="F116" s="14">
        <v>0</v>
      </c>
    </row>
    <row r="117" spans="1:6" ht="36.5" thickBot="1" x14ac:dyDescent="0.4">
      <c r="A117" s="11" t="s">
        <v>116</v>
      </c>
      <c r="B117" s="12">
        <v>0</v>
      </c>
      <c r="C117" s="12">
        <v>0</v>
      </c>
      <c r="D117" s="12">
        <v>0</v>
      </c>
      <c r="E117" s="12">
        <v>0</v>
      </c>
      <c r="F117" s="12">
        <v>0</v>
      </c>
    </row>
    <row r="118" spans="1:6" ht="36.5" thickBot="1" x14ac:dyDescent="0.4">
      <c r="A118" s="13" t="s">
        <v>117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</row>
    <row r="119" spans="1:6" ht="36.5" thickBot="1" x14ac:dyDescent="0.4">
      <c r="A119" s="11" t="s">
        <v>118</v>
      </c>
      <c r="B119" s="12">
        <v>0</v>
      </c>
      <c r="C119" s="12">
        <v>0</v>
      </c>
      <c r="D119" s="12">
        <v>0</v>
      </c>
      <c r="E119" s="12">
        <v>0</v>
      </c>
      <c r="F119" s="12">
        <v>0</v>
      </c>
    </row>
    <row r="120" spans="1:6" ht="36.5" thickBot="1" x14ac:dyDescent="0.4">
      <c r="A120" s="13" t="s">
        <v>119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</row>
    <row r="121" spans="1:6" ht="36.5" thickBot="1" x14ac:dyDescent="0.4">
      <c r="A121" s="11" t="s">
        <v>120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</row>
    <row r="122" spans="1:6" ht="36.5" thickBot="1" x14ac:dyDescent="0.4">
      <c r="A122" s="13" t="s">
        <v>121</v>
      </c>
      <c r="B122" s="14">
        <v>0</v>
      </c>
      <c r="C122" s="14">
        <v>0</v>
      </c>
      <c r="D122" s="14">
        <v>0</v>
      </c>
      <c r="E122" s="14">
        <v>0</v>
      </c>
      <c r="F122" s="14">
        <v>0</v>
      </c>
    </row>
    <row r="123" spans="1:6" ht="36.5" thickBot="1" x14ac:dyDescent="0.4">
      <c r="A123" s="11" t="s">
        <v>122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</row>
    <row r="124" spans="1:6" ht="36.5" thickBot="1" x14ac:dyDescent="0.4">
      <c r="A124" s="13" t="s">
        <v>123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</row>
    <row r="125" spans="1:6" ht="36.5" thickBot="1" x14ac:dyDescent="0.4">
      <c r="A125" s="11" t="s">
        <v>124</v>
      </c>
      <c r="B125" s="12">
        <v>0</v>
      </c>
      <c r="C125" s="12">
        <v>0</v>
      </c>
      <c r="D125" s="12">
        <v>0</v>
      </c>
      <c r="E125" s="12">
        <v>0</v>
      </c>
      <c r="F125" s="12">
        <v>0</v>
      </c>
    </row>
    <row r="126" spans="1:6" ht="36.5" thickBot="1" x14ac:dyDescent="0.4">
      <c r="A126" s="13" t="s">
        <v>125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</row>
    <row r="127" spans="1:6" ht="36.5" thickBot="1" x14ac:dyDescent="0.4">
      <c r="A127" s="11" t="s">
        <v>126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</row>
    <row r="128" spans="1:6" ht="36.5" thickBot="1" x14ac:dyDescent="0.4">
      <c r="A128" s="13" t="s">
        <v>127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</row>
    <row r="129" spans="1:6" ht="36.5" thickBot="1" x14ac:dyDescent="0.4">
      <c r="A129" s="11" t="s">
        <v>128</v>
      </c>
      <c r="B129" s="12">
        <v>0</v>
      </c>
      <c r="C129" s="12">
        <v>0</v>
      </c>
      <c r="D129" s="12">
        <v>0</v>
      </c>
      <c r="E129" s="12">
        <v>0</v>
      </c>
      <c r="F129" s="12">
        <v>0</v>
      </c>
    </row>
    <row r="130" spans="1:6" ht="36.5" thickBot="1" x14ac:dyDescent="0.4">
      <c r="A130" s="13" t="s">
        <v>129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</row>
    <row r="131" spans="1:6" ht="36.5" thickBot="1" x14ac:dyDescent="0.4">
      <c r="A131" s="11" t="s">
        <v>130</v>
      </c>
      <c r="B131" s="12">
        <v>0</v>
      </c>
      <c r="C131" s="12">
        <v>0</v>
      </c>
      <c r="D131" s="12">
        <v>0</v>
      </c>
      <c r="E131" s="12">
        <v>0</v>
      </c>
      <c r="F131" s="12">
        <v>0</v>
      </c>
    </row>
    <row r="132" spans="1:6" ht="36.5" thickBot="1" x14ac:dyDescent="0.4">
      <c r="A132" s="13" t="s">
        <v>131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</row>
    <row r="133" spans="1:6" ht="36.5" thickBot="1" x14ac:dyDescent="0.4">
      <c r="A133" s="11" t="s">
        <v>132</v>
      </c>
      <c r="B133" s="12">
        <v>0</v>
      </c>
      <c r="C133" s="12">
        <v>0</v>
      </c>
      <c r="D133" s="12">
        <v>0</v>
      </c>
      <c r="E133" s="12">
        <v>0</v>
      </c>
      <c r="F133" s="12">
        <v>0</v>
      </c>
    </row>
    <row r="134" spans="1:6" ht="36.5" thickBot="1" x14ac:dyDescent="0.4">
      <c r="A134" s="13" t="s">
        <v>133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</row>
    <row r="135" spans="1:6" ht="36.5" thickBot="1" x14ac:dyDescent="0.4">
      <c r="A135" s="11" t="s">
        <v>134</v>
      </c>
      <c r="B135" s="12">
        <v>0</v>
      </c>
      <c r="C135" s="12">
        <v>0</v>
      </c>
      <c r="D135" s="12">
        <v>0</v>
      </c>
      <c r="E135" s="12">
        <v>0</v>
      </c>
      <c r="F135" s="12">
        <v>0</v>
      </c>
    </row>
    <row r="136" spans="1:6" ht="36.5" thickBot="1" x14ac:dyDescent="0.4">
      <c r="A136" s="13" t="s">
        <v>135</v>
      </c>
      <c r="B136" s="14">
        <v>0</v>
      </c>
      <c r="C136" s="14">
        <v>0</v>
      </c>
      <c r="D136" s="14">
        <v>0</v>
      </c>
      <c r="E136" s="14">
        <v>0</v>
      </c>
      <c r="F136" s="14">
        <v>0</v>
      </c>
    </row>
    <row r="137" spans="1:6" ht="36.5" thickBot="1" x14ac:dyDescent="0.4">
      <c r="A137" s="11" t="s">
        <v>136</v>
      </c>
      <c r="B137" s="12">
        <v>0</v>
      </c>
      <c r="C137" s="12">
        <v>0</v>
      </c>
      <c r="D137" s="12">
        <v>0</v>
      </c>
      <c r="E137" s="12">
        <v>0</v>
      </c>
      <c r="F137" s="12">
        <v>0</v>
      </c>
    </row>
    <row r="138" spans="1:6" ht="36.5" thickBot="1" x14ac:dyDescent="0.4">
      <c r="A138" s="13" t="s">
        <v>137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</row>
    <row r="139" spans="1:6" ht="36" x14ac:dyDescent="0.35">
      <c r="A139" s="11" t="s">
        <v>138</v>
      </c>
      <c r="B139" s="12">
        <v>0</v>
      </c>
      <c r="C139" s="12">
        <v>0</v>
      </c>
      <c r="D139" s="12">
        <v>0</v>
      </c>
      <c r="E139" s="12">
        <v>0</v>
      </c>
      <c r="F139" s="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</vt:lpstr>
      <vt:lpstr>cost sheets</vt:lpstr>
      <vt:lpstr>2 or greater</vt:lpstr>
      <vt:lpstr>4 or greater</vt:lpstr>
      <vt:lpstr>6 or greater</vt:lpstr>
      <vt:lpstr>8 or greater</vt:lpstr>
      <vt:lpstr>12 or greater</vt:lpstr>
    </vt:vector>
  </TitlesOfParts>
  <Company>SPS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Brooks</dc:creator>
  <cp:lastModifiedBy>Dylan Brooks</cp:lastModifiedBy>
  <dcterms:created xsi:type="dcterms:W3CDTF">2022-10-11T20:30:30Z</dcterms:created>
  <dcterms:modified xsi:type="dcterms:W3CDTF">2022-10-31T13:46:48Z</dcterms:modified>
</cp:coreProperties>
</file>