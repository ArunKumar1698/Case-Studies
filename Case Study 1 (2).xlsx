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brooks\Documents\"/>
    </mc:Choice>
  </mc:AlternateContent>
  <xr:revisionPtr revIDLastSave="0" documentId="13_ncr:1_{FDB83256-EAE3-4093-AC31-9F45F21E2D6C}" xr6:coauthVersionLast="47" xr6:coauthVersionMax="47" xr10:uidLastSave="{00000000-0000-0000-0000-000000000000}"/>
  <bookViews>
    <workbookView xWindow="-19310" yWindow="-110" windowWidth="19420" windowHeight="10420" xr2:uid="{3B2FCA5D-DD9F-4A0A-8D9C-3459301F84AC}"/>
  </bookViews>
  <sheets>
    <sheet name="Sheet1" sheetId="1" r:id="rId1"/>
  </sheets>
  <definedNames>
    <definedName name="Average_Profit_per_Package">Sheet1!$B$2</definedName>
    <definedName name="ff">Sheet1!$B$2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" i="1" l="1"/>
  <c r="F27" i="1"/>
  <c r="E17" i="1"/>
  <c r="E18" i="1" s="1"/>
  <c r="E19" i="1" s="1"/>
  <c r="E20" i="1" s="1"/>
  <c r="E21" i="1" s="1"/>
  <c r="E22" i="1" s="1"/>
  <c r="E23" i="1" s="1"/>
  <c r="E24" i="1" s="1"/>
  <c r="E25" i="1" s="1"/>
  <c r="E26" i="1" s="1"/>
  <c r="E16" i="1"/>
  <c r="L2" i="1"/>
  <c r="M2" i="1" s="1"/>
  <c r="L3" i="1"/>
  <c r="M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I12" i="1"/>
  <c r="K12" i="1"/>
  <c r="J12" i="1"/>
  <c r="K3" i="1"/>
  <c r="K4" i="1"/>
  <c r="K5" i="1"/>
  <c r="K6" i="1"/>
  <c r="K7" i="1"/>
  <c r="K8" i="1"/>
  <c r="K9" i="1"/>
  <c r="K10" i="1"/>
  <c r="K11" i="1"/>
  <c r="J3" i="1"/>
  <c r="J4" i="1"/>
  <c r="J5" i="1"/>
  <c r="J6" i="1"/>
  <c r="J7" i="1"/>
  <c r="J8" i="1"/>
  <c r="J9" i="1"/>
  <c r="J10" i="1"/>
  <c r="J11" i="1"/>
  <c r="J2" i="1"/>
  <c r="I2" i="1"/>
  <c r="I3" i="1" s="1"/>
  <c r="I4" i="1" s="1"/>
  <c r="I5" i="1" s="1"/>
  <c r="I6" i="1" s="1"/>
  <c r="I7" i="1" s="1"/>
  <c r="I8" i="1" s="1"/>
  <c r="I9" i="1" s="1"/>
  <c r="I10" i="1" s="1"/>
  <c r="I11" i="1" s="1"/>
  <c r="M12" i="1" l="1"/>
  <c r="F14" i="1" s="1"/>
  <c r="L12" i="1"/>
  <c r="N12" i="1" l="1"/>
</calcChain>
</file>

<file path=xl/sharedStrings.xml><?xml version="1.0" encoding="utf-8"?>
<sst xmlns="http://schemas.openxmlformats.org/spreadsheetml/2006/main" count="30" uniqueCount="29">
  <si>
    <t>Average Package Sales</t>
  </si>
  <si>
    <t xml:space="preserve">Average Profit per Package </t>
  </si>
  <si>
    <t>Size of the market</t>
  </si>
  <si>
    <t>Nozoma makret share</t>
  </si>
  <si>
    <t>market growth over next 5 years</t>
  </si>
  <si>
    <t>growth after 5 years</t>
  </si>
  <si>
    <t>Cost to build fufillmet center</t>
  </si>
  <si>
    <t>basis point increase in building the new center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</si>
  <si>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</si>
  <si>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</si>
  <si>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</si>
  <si>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</si>
  <si>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</si>
  <si>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</si>
  <si>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</si>
  <si>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</si>
  <si>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</si>
  <si>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</si>
  <si>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</t>
  </si>
  <si>
    <t>Size of market</t>
  </si>
  <si>
    <t>Nozoma profit</t>
  </si>
  <si>
    <t>Sum</t>
  </si>
  <si>
    <t>Noma Market share with new FC</t>
  </si>
  <si>
    <t>Nozoma size of Market no new FC</t>
  </si>
  <si>
    <t>Profit with new FC</t>
  </si>
  <si>
    <t>Basis point</t>
  </si>
  <si>
    <t>not build</t>
  </si>
  <si>
    <t>Total ten year profits</t>
  </si>
  <si>
    <t>Not Build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</si>
</sst>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43" fontId="0" fillId="0" borderId="0" xfId="1" applyFont="1"/>
    <xf numFmtId="9" fontId="0" fillId="0" borderId="0" xfId="3" applyFont="1"/>
    <xf numFmtId="44" fontId="0" fillId="0" borderId="0" xfId="2" applyFont="1"/>
    <xf numFmtId="43" fontId="0" fillId="0" borderId="0" xfId="0" applyNumberFormat="1"/>
    <xf numFmtId="44" fontId="0" fillId="0" borderId="0" xfId="0" applyNumberFormat="1"/>
    <xf numFmtId="0" fontId="0" fillId="0" borderId="1" xfId="0" applyBorder="1"/>
    <xf numFmtId="43" fontId="0" fillId="0" borderId="1" xfId="0" applyNumberFormat="1" applyBorder="1"/>
    <xf numFmtId="44" fontId="0" fillId="0" borderId="1" xfId="2" applyFont="1" applyBorder="1"/>
    <xf numFmtId="44" fontId="0" fillId="0" borderId="1" xfId="0" applyNumberFormat="1" applyBorder="1"/>
    <xf numFmtId="2" fontId="0" fillId="0" borderId="0" xfId="3" applyNumberFormat="1" applyFont="1"/>
    <xf numFmtId="2" fontId="0" fillId="0" borderId="0" xfId="2" applyNumberFormat="1" applyFont="1"/>
    <xf numFmtId="2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4789566929133853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Sheet1!$K$14</c:f>
              <c:strCache>
                <c:ptCount val="1"/>
                <c:pt idx="0">
                  <c:v>Total ten year profits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1AD-4CDE-979D-49A8FD94F93D}"/>
              </c:ext>
            </c:extLst>
          </c:dPt>
          <c:cat>
            <c:strRef>
              <c:f>Sheet1!$J$15:$J$27</c:f>
              <c:strCache>
                <c:ptCount val="13"/>
                <c:pt idx="0">
                  <c:v>45</c:v>
                </c:pt>
                <c:pt idx="1">
                  <c:v>50</c:v>
                </c:pt>
                <c:pt idx="2">
                  <c:v>55</c:v>
                </c:pt>
                <c:pt idx="3">
                  <c:v>60</c:v>
                </c:pt>
                <c:pt idx="4">
                  <c:v>65</c:v>
                </c:pt>
                <c:pt idx="5">
                  <c:v>70</c:v>
                </c:pt>
                <c:pt idx="6">
                  <c:v>Not Build</c:v>
                </c:pt>
                <c:pt idx="7">
                  <c:v>75</c:v>
                </c:pt>
                <c:pt idx="8">
                  <c:v>80</c:v>
                </c:pt>
                <c:pt idx="9">
                  <c:v>85</c:v>
                </c:pt>
                <c:pt idx="10">
                  <c:v>90</c:v>
                </c:pt>
                <c:pt idx="11">
                  <c:v>95</c:v>
                </c:pt>
                <c:pt idx="12">
                  <c:v>100</c:v>
                </c:pt>
              </c:strCache>
            </c:strRef>
          </c:cat>
          <c:val>
            <c:numRef>
              <c:f>Sheet1!$K$15:$K$27</c:f>
              <c:numCache>
                <c:formatCode>_("$"* #,##0.00_);_("$"* \(#,##0.00\);_("$"* "-"??_);_(@_)</c:formatCode>
                <c:ptCount val="13"/>
                <c:pt idx="0">
                  <c:v>61852015.350460872</c:v>
                </c:pt>
                <c:pt idx="1">
                  <c:v>62253506.565552354</c:v>
                </c:pt>
                <c:pt idx="2">
                  <c:v>62654997.780643836</c:v>
                </c:pt>
                <c:pt idx="3">
                  <c:v>63056488.995735317</c:v>
                </c:pt>
                <c:pt idx="4">
                  <c:v>63457980.210826807</c:v>
                </c:pt>
                <c:pt idx="5">
                  <c:v>63859471.425918289</c:v>
                </c:pt>
                <c:pt idx="6">
                  <c:v>64238594.414637506</c:v>
                </c:pt>
                <c:pt idx="7">
                  <c:v>64260962.641009763</c:v>
                </c:pt>
                <c:pt idx="8">
                  <c:v>64662453.85610126</c:v>
                </c:pt>
                <c:pt idx="9">
                  <c:v>65063945.071192734</c:v>
                </c:pt>
                <c:pt idx="10">
                  <c:v>65465436.286284223</c:v>
                </c:pt>
                <c:pt idx="11">
                  <c:v>65866927.501375705</c:v>
                </c:pt>
                <c:pt idx="12">
                  <c:v>66268418.716467187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AD-4CDE-979D-49A8FD94F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6966136"/>
        <c:axId val="636966464"/>
      </c:barChart>
      <c:catAx>
        <c:axId val="636966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Baisis point</a:t>
                </a:r>
                <a:r>
                  <a:rPr lang="en-US" baseline="0"/>
                  <a:t> gain if new FC is built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966464"/>
        <c:crosses val="autoZero"/>
        <c:auto val="1"/>
        <c:lblAlgn val="ctr"/>
        <c:lblOffset val="100"/>
        <c:noMultiLvlLbl val="0"/>
      </c:catAx>
      <c:valAx>
        <c:axId val="63696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966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80962</xdr:rowOff>
    </xdr:from>
    <xdr:to>
      <xdr:col>3</xdr:col>
      <xdr:colOff>285750</xdr:colOff>
      <xdr:row>26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B7F4A9-3299-CD87-A11C-AA67488CC7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D54122-DBA8-41CE-B4CE-201020B9048D}" name="Table1" displayName="Table1" ref="J14:K27" totalsRowShown="0">
  <autoFilter ref="J14:K27" xr:uid="{1CD54122-DBA8-41CE-B4CE-201020B9048D}"/>
  <sortState xmlns:xlrd2="http://schemas.microsoft.com/office/spreadsheetml/2017/richdata2" ref="J15:K27">
    <sortCondition ref="K14:K27"/>
  </sortState>
  <tableColumns count="2">
    <tableColumn id="1" xr3:uid="{5B0F7EF8-3B4D-4001-BDCB-AC2520D5CE56}" name="Basis point"/>
    <tableColumn id="2" xr3:uid="{8D3F54A0-F0AA-45AF-8318-6E7F8B7E05C0}" name="Total ten year profits" dataCellStyle="Currency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9322D-284A-44F7-B077-2AB42054AEC5}">
  <dimension ref="A1:N27"/>
  <sheetViews>
    <sheetView tabSelected="1" topLeftCell="A13" workbookViewId="0">
      <selection activeCell="F14" sqref="F14"/>
    </sheetView>
  </sheetViews>
  <sheetFormatPr defaultRowHeight="14.5" x14ac:dyDescent="0.35"/>
  <cols>
    <col min="1" max="1" width="39.81640625" bestFit="1" customWidth="1"/>
    <col min="2" max="2" width="15.26953125" bestFit="1" customWidth="1"/>
    <col min="5" max="6" width="15.26953125" bestFit="1" customWidth="1"/>
    <col min="9" max="9" width="19.54296875" bestFit="1" customWidth="1"/>
    <col min="10" max="10" width="29.453125" bestFit="1" customWidth="1"/>
    <col min="11" max="11" width="21.54296875" customWidth="1"/>
    <col min="12" max="12" width="28.54296875" bestFit="1" customWidth="1"/>
    <col min="13" max="13" width="17.1796875" bestFit="1" customWidth="1"/>
    <col min="14" max="14" width="13.1796875" bestFit="1" customWidth="1"/>
  </cols>
  <sheetData>
    <row r="1" spans="1:14" x14ac:dyDescent="0.35">
      <c r="A1" t="s">
        <v>0</v>
      </c>
      <c r="B1" s="3">
        <v>10.23</v>
      </c>
      <c r="H1" t="s">
        <v>18</v>
      </c>
      <c r="I1" t="s">
        <v>19</v>
      </c>
      <c r="J1" t="s">
        <v>23</v>
      </c>
      <c r="K1" t="s">
        <v>20</v>
      </c>
      <c r="L1" t="s">
        <v>22</v>
      </c>
      <c r="M1" t="s">
        <v>24</v>
      </c>
    </row>
    <row r="2" spans="1:14" x14ac:dyDescent="0.35">
      <c r="A2" t="s">
        <v>1</v>
      </c>
      <c r="B2" s="3">
        <v>0.55000000000000004</v>
      </c>
      <c r="H2" t="s">
        <v>8</v>
      </c>
      <c r="I2" s="4">
        <f>B3</f>
        <v>100000000</v>
      </c>
      <c r="J2" s="4">
        <f>I2*$B$4</f>
        <v>8000000</v>
      </c>
      <c r="K2" s="3">
        <f>J2*$B$2</f>
        <v>4400000</v>
      </c>
      <c r="L2" s="4">
        <f>$I2*($B$4+($B$8/10000))</f>
        <v>9000000</v>
      </c>
      <c r="M2" s="5">
        <f>(L2*$B$2)-($B$7)</f>
        <v>-1050000</v>
      </c>
    </row>
    <row r="3" spans="1:14" x14ac:dyDescent="0.35">
      <c r="A3" t="s">
        <v>2</v>
      </c>
      <c r="B3" s="1">
        <v>100000000</v>
      </c>
      <c r="H3" t="s">
        <v>9</v>
      </c>
      <c r="I3" s="4">
        <f>I2+(I2*$B$5)</f>
        <v>110000000</v>
      </c>
      <c r="J3" s="4">
        <f t="shared" ref="J3:J11" si="0">I3*$B$4</f>
        <v>8800000</v>
      </c>
      <c r="K3" s="3">
        <f t="shared" ref="K3:K11" si="1">J3*$B$2</f>
        <v>4840000</v>
      </c>
      <c r="L3" s="4">
        <f t="shared" ref="L3:L11" si="2">$I3*($B$4+($B$8/10000))</f>
        <v>9900000</v>
      </c>
      <c r="M3" s="5">
        <f>(L3*$B$2)</f>
        <v>5445000</v>
      </c>
    </row>
    <row r="4" spans="1:14" x14ac:dyDescent="0.35">
      <c r="A4" t="s">
        <v>3</v>
      </c>
      <c r="B4" s="2">
        <v>0.08</v>
      </c>
      <c r="H4" t="s">
        <v>10</v>
      </c>
      <c r="I4" s="4">
        <f t="shared" ref="I4:I6" si="3">I3+(I3*$B$5)</f>
        <v>121000000</v>
      </c>
      <c r="J4" s="4">
        <f t="shared" si="0"/>
        <v>9680000</v>
      </c>
      <c r="K4" s="3">
        <f t="shared" si="1"/>
        <v>5324000</v>
      </c>
      <c r="L4" s="4">
        <f t="shared" si="2"/>
        <v>10890000</v>
      </c>
      <c r="M4" s="5">
        <f t="shared" ref="M4:M10" si="4">(L4*$B$2)</f>
        <v>5989500.0000000009</v>
      </c>
    </row>
    <row r="5" spans="1:14" x14ac:dyDescent="0.35">
      <c r="A5" t="s">
        <v>4</v>
      </c>
      <c r="B5" s="2">
        <v>0.1</v>
      </c>
      <c r="H5" t="s">
        <v>11</v>
      </c>
      <c r="I5" s="4">
        <f t="shared" si="3"/>
        <v>133100000</v>
      </c>
      <c r="J5" s="4">
        <f t="shared" si="0"/>
        <v>10648000</v>
      </c>
      <c r="K5" s="3">
        <f t="shared" si="1"/>
        <v>5856400.0000000009</v>
      </c>
      <c r="L5" s="4">
        <f t="shared" si="2"/>
        <v>11979000</v>
      </c>
      <c r="M5" s="5">
        <f t="shared" si="4"/>
        <v>6588450.0000000009</v>
      </c>
    </row>
    <row r="6" spans="1:14" x14ac:dyDescent="0.35">
      <c r="A6" t="s">
        <v>5</v>
      </c>
      <c r="B6" s="2">
        <v>0.05</v>
      </c>
      <c r="H6" t="s">
        <v>12</v>
      </c>
      <c r="I6" s="4">
        <f t="shared" si="3"/>
        <v>146410000</v>
      </c>
      <c r="J6" s="4">
        <f t="shared" si="0"/>
        <v>11712800</v>
      </c>
      <c r="K6" s="3">
        <f t="shared" si="1"/>
        <v>6442040.0000000009</v>
      </c>
      <c r="L6" s="4">
        <f t="shared" si="2"/>
        <v>13176900</v>
      </c>
      <c r="M6" s="5">
        <f t="shared" si="4"/>
        <v>7247295.0000000009</v>
      </c>
    </row>
    <row r="7" spans="1:14" x14ac:dyDescent="0.35">
      <c r="A7" t="s">
        <v>6</v>
      </c>
      <c r="B7" s="3">
        <v>6000000</v>
      </c>
      <c r="H7" t="s">
        <v>13</v>
      </c>
      <c r="I7" s="4">
        <f>I6+(I6*$B$6)</f>
        <v>153730500</v>
      </c>
      <c r="J7" s="4">
        <f t="shared" si="0"/>
        <v>12298440</v>
      </c>
      <c r="K7" s="3">
        <f t="shared" si="1"/>
        <v>6764142.0000000009</v>
      </c>
      <c r="L7" s="4">
        <f t="shared" si="2"/>
        <v>13835745</v>
      </c>
      <c r="M7" s="5">
        <f t="shared" si="4"/>
        <v>7609659.7500000009</v>
      </c>
    </row>
    <row r="8" spans="1:14" x14ac:dyDescent="0.35">
      <c r="A8" t="s">
        <v>7</v>
      </c>
      <c r="B8" s="10">
        <v>100</v>
      </c>
      <c r="H8" t="s">
        <v>14</v>
      </c>
      <c r="I8" s="4">
        <f t="shared" ref="I8:I11" si="5">I7+(I7*$B$6)</f>
        <v>161417025</v>
      </c>
      <c r="J8" s="4">
        <f t="shared" si="0"/>
        <v>12913362</v>
      </c>
      <c r="K8" s="3">
        <f t="shared" si="1"/>
        <v>7102349.1000000006</v>
      </c>
      <c r="L8" s="4">
        <f t="shared" si="2"/>
        <v>14527532.25</v>
      </c>
      <c r="M8" s="5">
        <f t="shared" si="4"/>
        <v>7990142.7375000007</v>
      </c>
    </row>
    <row r="9" spans="1:14" x14ac:dyDescent="0.35">
      <c r="H9" t="s">
        <v>15</v>
      </c>
      <c r="I9" s="4">
        <f t="shared" si="5"/>
        <v>169487876.25</v>
      </c>
      <c r="J9" s="4">
        <f t="shared" si="0"/>
        <v>13559030.1</v>
      </c>
      <c r="K9" s="3">
        <f t="shared" si="1"/>
        <v>7457466.5550000006</v>
      </c>
      <c r="L9" s="4">
        <f t="shared" si="2"/>
        <v>15253908.862499999</v>
      </c>
      <c r="M9" s="5">
        <f t="shared" si="4"/>
        <v>8389649.8743750006</v>
      </c>
    </row>
    <row r="10" spans="1:14" x14ac:dyDescent="0.35">
      <c r="H10" t="s">
        <v>16</v>
      </c>
      <c r="I10" s="4">
        <f t="shared" si="5"/>
        <v>177962270.0625</v>
      </c>
      <c r="J10" s="4">
        <f t="shared" si="0"/>
        <v>14236981.605</v>
      </c>
      <c r="K10" s="3">
        <f t="shared" si="1"/>
        <v>7830339.8827500008</v>
      </c>
      <c r="L10" s="4">
        <f t="shared" si="2"/>
        <v>16016604.305624999</v>
      </c>
      <c r="M10" s="5">
        <f t="shared" si="4"/>
        <v>8809132.3680937495</v>
      </c>
    </row>
    <row r="11" spans="1:14" ht="15" thickBot="1" x14ac:dyDescent="0.4">
      <c r="H11" s="6" t="s">
        <v>17</v>
      </c>
      <c r="I11" s="7">
        <f t="shared" si="5"/>
        <v>186860383.56562501</v>
      </c>
      <c r="J11" s="7">
        <f t="shared" si="0"/>
        <v>14948830.685250001</v>
      </c>
      <c r="K11" s="8">
        <f t="shared" si="1"/>
        <v>8221856.8768875012</v>
      </c>
      <c r="L11" s="7">
        <f t="shared" si="2"/>
        <v>16817434.520906251</v>
      </c>
      <c r="M11" s="9">
        <f>(L11*$B$2)</f>
        <v>9249588.9864984397</v>
      </c>
    </row>
    <row r="12" spans="1:14" ht="15" thickTop="1" x14ac:dyDescent="0.35">
      <c r="H12" t="s">
        <v>21</v>
      </c>
      <c r="I12" s="4">
        <f>SUM(I2:I11)</f>
        <v>1459968054.878125</v>
      </c>
      <c r="J12" s="4">
        <f>SUM(J2:J11)</f>
        <v>116797444.39025</v>
      </c>
      <c r="K12" s="3">
        <f t="shared" ref="K12:L12" si="6">SUM(K2:K11)</f>
        <v>64238594.414637506</v>
      </c>
      <c r="L12" s="4">
        <f t="shared" si="6"/>
        <v>131397124.93903126</v>
      </c>
      <c r="M12" s="3">
        <f>SUM(M2:M11)</f>
        <v>66268418.716467187</v>
      </c>
      <c r="N12" s="4" t="str">
        <f>IF(M12&gt;K12,"build it","don't Build it")</f>
        <v>build it</v>
      </c>
    </row>
    <row r="14" spans="1:14" x14ac:dyDescent="0.35">
      <c r="E14" t="s">
        <v>25</v>
      </c>
      <c r="F14" s="5">
        <f>M12</f>
        <v>66268418.716467187</v>
      </c>
      <c r="J14" t="s">
        <v>25</v>
      </c>
      <c r="K14" t="s">
        <v>27</v>
      </c>
    </row>
    <row r="15" spans="1:14" x14ac:dyDescent="0.35">
      <c r="E15" s="12">
        <v>100</v>
      </c>
      <c r="F15" s="3">
        <f t="dataTable" ref="F15:F26" dt2D="0" dtr="0" r1="B8"/>
        <v>66268418.716467187</v>
      </c>
      <c r="J15">
        <v>45</v>
      </c>
      <c r="K15" s="3">
        <v>61852015.350460872</v>
      </c>
    </row>
    <row r="16" spans="1:14" x14ac:dyDescent="0.35">
      <c r="E16" s="11">
        <f>E15-5</f>
        <v>95</v>
      </c>
      <c r="F16" s="3">
        <v>65866927.501375705</v>
      </c>
      <c r="J16">
        <v>50</v>
      </c>
      <c r="K16" s="3">
        <v>62253506.565552354</v>
      </c>
    </row>
    <row r="17" spans="5:11" x14ac:dyDescent="0.35">
      <c r="E17" s="11">
        <f t="shared" ref="E17:E26" si="7">E16-5</f>
        <v>90</v>
      </c>
      <c r="F17" s="3">
        <v>65465436.286284223</v>
      </c>
      <c r="J17">
        <v>55</v>
      </c>
      <c r="K17" s="3">
        <v>62654997.780643836</v>
      </c>
    </row>
    <row r="18" spans="5:11" x14ac:dyDescent="0.35">
      <c r="E18" s="11">
        <f t="shared" si="7"/>
        <v>85</v>
      </c>
      <c r="F18" s="3">
        <v>65063945.071192734</v>
      </c>
      <c r="J18">
        <v>60</v>
      </c>
      <c r="K18" s="3">
        <v>63056488.995735317</v>
      </c>
    </row>
    <row r="19" spans="5:11" x14ac:dyDescent="0.35">
      <c r="E19" s="11">
        <f t="shared" si="7"/>
        <v>80</v>
      </c>
      <c r="F19" s="3">
        <v>64662453.85610126</v>
      </c>
      <c r="J19">
        <v>65</v>
      </c>
      <c r="K19" s="3">
        <v>63457980.210826807</v>
      </c>
    </row>
    <row r="20" spans="5:11" x14ac:dyDescent="0.35">
      <c r="E20" s="11">
        <f t="shared" si="7"/>
        <v>75</v>
      </c>
      <c r="F20" s="3">
        <v>64260962.641009763</v>
      </c>
      <c r="J20">
        <v>70</v>
      </c>
      <c r="K20" s="3">
        <v>63859471.425918289</v>
      </c>
    </row>
    <row r="21" spans="5:11" x14ac:dyDescent="0.35">
      <c r="E21" s="11">
        <f t="shared" si="7"/>
        <v>70</v>
      </c>
      <c r="F21" s="3">
        <v>63859471.425918289</v>
      </c>
      <c r="J21" t="s">
        <v>28</v>
      </c>
      <c r="K21" s="3">
        <v>64238594.414637506</v>
      </c>
    </row>
    <row r="22" spans="5:11" x14ac:dyDescent="0.35">
      <c r="E22" s="11">
        <f t="shared" si="7"/>
        <v>65</v>
      </c>
      <c r="F22" s="3">
        <v>63457980.210826807</v>
      </c>
      <c r="J22">
        <v>75</v>
      </c>
      <c r="K22" s="3">
        <v>64260962.641009763</v>
      </c>
    </row>
    <row r="23" spans="5:11" x14ac:dyDescent="0.35">
      <c r="E23" s="11">
        <f t="shared" si="7"/>
        <v>60</v>
      </c>
      <c r="F23" s="3">
        <v>63056488.995735317</v>
      </c>
      <c r="J23">
        <v>80</v>
      </c>
      <c r="K23" s="3">
        <v>64662453.85610126</v>
      </c>
    </row>
    <row r="24" spans="5:11" x14ac:dyDescent="0.35">
      <c r="E24" s="11">
        <f t="shared" si="7"/>
        <v>55</v>
      </c>
      <c r="F24" s="3">
        <v>62654997.780643836</v>
      </c>
      <c r="J24">
        <v>85</v>
      </c>
      <c r="K24" s="3">
        <v>65063945.071192734</v>
      </c>
    </row>
    <row r="25" spans="5:11" x14ac:dyDescent="0.35">
      <c r="E25" s="11">
        <f t="shared" si="7"/>
        <v>50</v>
      </c>
      <c r="F25" s="3">
        <v>62253506.565552354</v>
      </c>
      <c r="J25">
        <v>90</v>
      </c>
      <c r="K25" s="3">
        <v>65465436.286284223</v>
      </c>
    </row>
    <row r="26" spans="5:11" x14ac:dyDescent="0.35">
      <c r="E26" s="11">
        <f t="shared" si="7"/>
        <v>45</v>
      </c>
      <c r="F26" s="3">
        <v>61852015.350460872</v>
      </c>
      <c r="J26">
        <v>95</v>
      </c>
      <c r="K26" s="3">
        <v>65866927.501375705</v>
      </c>
    </row>
    <row r="27" spans="5:11" x14ac:dyDescent="0.35">
      <c r="E27" t="s">
        <v>26</v>
      </c>
      <c r="F27" s="5">
        <f>K12</f>
        <v>64238594.414637506</v>
      </c>
      <c r="J27">
        <v>100</v>
      </c>
      <c r="K27" s="3">
        <v>66268418.716467187</v>
      </c>
    </row>
  </sheetData>
  <scenarios current="0" show="0">
    <scenario name="Baisis point change" locked="1" count="1" user="Dylan Brooks" comment="Created by Dylan Brooks on 9/28/2022_x000a_Modified by Dylan Brooks on 9/28/2022">
      <inputCells r="B8" val="95" numFmtId="2"/>
    </scenario>
  </scenarios>
  <phoneticPr fontId="2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Average_Profit_per_Package</vt:lpstr>
      <vt:lpstr>ff</vt:lpstr>
    </vt:vector>
  </TitlesOfParts>
  <Company>SPS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Brooks</dc:creator>
  <cp:lastModifiedBy>Dylan Brooks</cp:lastModifiedBy>
  <dcterms:created xsi:type="dcterms:W3CDTF">2022-09-27T23:46:56Z</dcterms:created>
  <dcterms:modified xsi:type="dcterms:W3CDTF">2022-09-29T13:13:12Z</dcterms:modified>
</cp:coreProperties>
</file>